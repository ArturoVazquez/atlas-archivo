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/>
  <xr:revisionPtr revIDLastSave="0" documentId="13_ncr:1_{3999079B-0CA1-4CA5-A5EB-8633BDA9A8A6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Inicio" sheetId="11" r:id="rId1"/>
    <sheet name="Conexiones Internacionales" sheetId="3" r:id="rId2"/>
    <sheet name="Plantas de regasificación" sheetId="2" r:id="rId3"/>
    <sheet name="Todos" sheetId="10" r:id="rId4"/>
  </sheets>
  <definedNames>
    <definedName name="_xlnm._FilterDatabase" localSheetId="1" hidden="1">'Conexiones Internacionales'!$A$6:$B$54</definedName>
    <definedName name="_xlnm._FilterDatabase" localSheetId="2" hidden="1">'Plantas de regasificación'!$A$6:$B$6</definedName>
    <definedName name="_xlnm._FilterDatabase" localSheetId="3" hidden="1">Todos!$A$6:$B$54</definedName>
    <definedName name="_xlnm.Print_Area" localSheetId="1">'Conexiones Internacionales'!$A$2:$L$53</definedName>
    <definedName name="_xlnm.Print_Area" localSheetId="0">Inicio!$A$2:$G$17</definedName>
    <definedName name="_xlnm.Print_Area" localSheetId="2">'Plantas de regasificación'!$A$2:$K$54</definedName>
    <definedName name="_xlnm.Print_Area" localSheetId="3">Todos!$A$2:$W$37</definedName>
    <definedName name="_xlnm.Print_Titles" localSheetId="1">'Conexiones Internacionales'!$2:$6</definedName>
    <definedName name="_xlnm.Print_Titles" localSheetId="2">'Plantas de regasificación'!$2:$6</definedName>
    <definedName name="_xlnm.Print_Titles" localSheetId="3">Todos!$A:$B,Todos!$2:$6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C58" i="2"/>
  <c r="J7" i="2" l="1"/>
  <c r="J8" i="2"/>
  <c r="J9" i="2"/>
  <c r="J10" i="2"/>
  <c r="J11" i="2"/>
  <c r="J12" i="2"/>
  <c r="I6" i="10" l="1"/>
  <c r="L61" i="3" l="1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L62" i="3"/>
  <c r="L63" i="3"/>
  <c r="L64" i="3"/>
  <c r="L65" i="3"/>
  <c r="J47" i="2" l="1"/>
  <c r="J46" i="2"/>
  <c r="C58" i="3"/>
  <c r="J48" i="3"/>
  <c r="J46" i="3"/>
  <c r="J47" i="3"/>
  <c r="J6" i="10" l="1"/>
  <c r="D6" i="10"/>
  <c r="E6" i="10"/>
  <c r="F6" i="10"/>
  <c r="H6" i="10"/>
  <c r="C6" i="10"/>
  <c r="C19" i="2" l="1"/>
  <c r="D19" i="2"/>
  <c r="E19" i="2"/>
  <c r="F19" i="2"/>
  <c r="G19" i="2"/>
  <c r="I19" i="2"/>
  <c r="R6" i="10" l="1"/>
  <c r="N6" i="10"/>
  <c r="O6" i="10"/>
  <c r="P6" i="10"/>
  <c r="I58" i="2"/>
  <c r="G58" i="2"/>
  <c r="F58" i="2"/>
  <c r="E58" i="2"/>
  <c r="D58" i="2"/>
  <c r="J57" i="2"/>
  <c r="J56" i="2"/>
  <c r="J55" i="2"/>
  <c r="J54" i="2"/>
  <c r="J53" i="2"/>
  <c r="J52" i="2"/>
  <c r="J51" i="2"/>
  <c r="J50" i="2"/>
  <c r="J49" i="2"/>
  <c r="J48" i="2"/>
  <c r="J44" i="2"/>
  <c r="J43" i="2"/>
  <c r="J42" i="2"/>
  <c r="J41" i="2"/>
  <c r="J40" i="2"/>
  <c r="J39" i="2"/>
  <c r="J38" i="2"/>
  <c r="J37" i="2"/>
  <c r="J36" i="2"/>
  <c r="J35" i="2"/>
  <c r="J34" i="2"/>
  <c r="J33" i="2"/>
  <c r="J31" i="2"/>
  <c r="J30" i="2"/>
  <c r="J29" i="2"/>
  <c r="J28" i="2"/>
  <c r="J27" i="2"/>
  <c r="J26" i="2"/>
  <c r="J25" i="2"/>
  <c r="J24" i="2"/>
  <c r="J23" i="2"/>
  <c r="J22" i="2"/>
  <c r="J21" i="2"/>
  <c r="J20" i="2"/>
  <c r="J18" i="2"/>
  <c r="J17" i="2"/>
  <c r="J16" i="2"/>
  <c r="J15" i="2"/>
  <c r="J14" i="2"/>
  <c r="J13" i="2"/>
  <c r="I45" i="2"/>
  <c r="G45" i="2"/>
  <c r="F45" i="2"/>
  <c r="E45" i="2"/>
  <c r="D45" i="2"/>
  <c r="I32" i="2"/>
  <c r="G32" i="2"/>
  <c r="F32" i="2"/>
  <c r="E32" i="2"/>
  <c r="D32" i="2"/>
  <c r="C32" i="2"/>
  <c r="L5" i="10"/>
  <c r="C5" i="10"/>
  <c r="J45" i="2" l="1"/>
  <c r="J32" i="2"/>
  <c r="J19" i="2"/>
  <c r="J58" i="2"/>
  <c r="H58" i="3"/>
  <c r="F58" i="3"/>
  <c r="E58" i="3"/>
  <c r="D58" i="3"/>
  <c r="H45" i="3"/>
  <c r="F45" i="3"/>
  <c r="E45" i="3"/>
  <c r="D45" i="3"/>
  <c r="C45" i="3"/>
  <c r="H32" i="3"/>
  <c r="F32" i="3"/>
  <c r="E32" i="3"/>
  <c r="D32" i="3"/>
  <c r="C32" i="3"/>
  <c r="H19" i="3"/>
  <c r="F19" i="3"/>
  <c r="E19" i="3"/>
  <c r="D19" i="3"/>
  <c r="C19" i="3"/>
  <c r="J13" i="3"/>
  <c r="J9" i="3"/>
  <c r="J57" i="3"/>
  <c r="J56" i="3"/>
  <c r="J55" i="3"/>
  <c r="J54" i="3"/>
  <c r="J53" i="3"/>
  <c r="J52" i="3"/>
  <c r="J51" i="3"/>
  <c r="J50" i="3"/>
  <c r="J49" i="3"/>
  <c r="J44" i="3"/>
  <c r="J43" i="3"/>
  <c r="J42" i="3"/>
  <c r="J41" i="3"/>
  <c r="J40" i="3"/>
  <c r="J39" i="3"/>
  <c r="J38" i="3"/>
  <c r="J37" i="3"/>
  <c r="J36" i="3"/>
  <c r="J35" i="3"/>
  <c r="J34" i="3"/>
  <c r="J33" i="3"/>
  <c r="J31" i="3"/>
  <c r="J30" i="3"/>
  <c r="J29" i="3"/>
  <c r="J28" i="3"/>
  <c r="J27" i="3"/>
  <c r="J26" i="3"/>
  <c r="J25" i="3"/>
  <c r="J24" i="3"/>
  <c r="J23" i="3"/>
  <c r="J22" i="3"/>
  <c r="J21" i="3"/>
  <c r="J20" i="3"/>
  <c r="J18" i="3"/>
  <c r="J17" i="3"/>
  <c r="J16" i="3"/>
  <c r="J15" i="3"/>
  <c r="J14" i="3"/>
  <c r="J12" i="3"/>
  <c r="J11" i="3"/>
  <c r="J10" i="3"/>
  <c r="J8" i="3"/>
  <c r="J7" i="3"/>
  <c r="J58" i="3" l="1"/>
  <c r="J45" i="3"/>
  <c r="J32" i="3"/>
  <c r="J19" i="3"/>
  <c r="C3" i="10"/>
  <c r="C3" i="2"/>
  <c r="C3" i="3"/>
  <c r="S6" i="10" l="1"/>
  <c r="M6" i="10"/>
  <c r="L6" i="10"/>
  <c r="A4" i="10" l="1"/>
  <c r="A4" i="2"/>
  <c r="A4" i="3"/>
</calcChain>
</file>

<file path=xl/sharedStrings.xml><?xml version="1.0" encoding="utf-8"?>
<sst xmlns="http://schemas.openxmlformats.org/spreadsheetml/2006/main" count="1708" uniqueCount="52">
  <si>
    <t>Total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</si>
  <si>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</si>
  <si>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</si>
  <si>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</si>
  <si>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</si>
  <si>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</si>
  <si>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</si>
  <si>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</si>
  <si>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</si>
  <si>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</si>
  <si>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</si>
  <si>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</si>
  <si>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</si>
  <si>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</si>
  <si>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</si>
  <si>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</si>
  <si>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Unidad: gigavatio hora</t>
  </si>
  <si>
    <t>Total GNL</t>
  </si>
  <si>
    <t>Total GN</t>
  </si>
  <si>
    <t>Badajoz</t>
  </si>
  <si>
    <t>Irún</t>
  </si>
  <si>
    <t>Larrau</t>
  </si>
  <si>
    <t>Conexiones Internacionales</t>
  </si>
  <si>
    <t>Total Conexiones internacionales</t>
  </si>
  <si>
    <t>Tuy</t>
  </si>
  <si>
    <t>Barcelona</t>
  </si>
  <si>
    <t>Bilbao</t>
  </si>
  <si>
    <t>Cartagena</t>
  </si>
  <si>
    <t>Huelva</t>
  </si>
  <si>
    <t>Mugardos</t>
  </si>
  <si>
    <t>Sagunto</t>
  </si>
  <si>
    <t>Exportaciones de gas natural por puntos de salida</t>
  </si>
  <si>
    <t>^ mayor que 0</t>
  </si>
  <si>
    <t>VIP Ibérico</t>
  </si>
  <si>
    <t>VIP Pirineos</t>
  </si>
  <si>
    <t>Por adaptación a la legislación europea, desde enero de 2015, desaparece el concepto de contrato de tránsito de gas, tratándose en adelante como una importación y una exportación más. En consecuencia los datos de 2014 y 2015 no siempre son comparables.</t>
  </si>
  <si>
    <t/>
  </si>
  <si>
    <t>Plantas de regasificación*</t>
  </si>
  <si>
    <t>Total Plantas de regasificación</t>
  </si>
  <si>
    <t xml:space="preserve">* Se incluyen puestas en frío y suministro directo a buques consumidores
                                                                                                                                                                                                                         </t>
  </si>
  <si>
    <t>Fuente/Notas</t>
  </si>
  <si>
    <t>enero 2010-actualidad</t>
  </si>
  <si>
    <t>enero 2015-actualidad</t>
  </si>
  <si>
    <t>Anejos de la Resolución del 15 de diciembre 2008</t>
  </si>
  <si>
    <t>Otras Salidas</t>
  </si>
  <si>
    <t>Para más información: cores.institucional@cores.es. Tlf.: +34 91 360 09 10, o visite: www.cores.es</t>
  </si>
  <si>
    <t>Zahara de los Atunes</t>
  </si>
  <si>
    <t>Desde octubre 2014</t>
  </si>
  <si>
    <t>De conformidad con la normativa europea, se agrupan las interconexiones en VIP Ibérico (Badajoz, Tuy y VIP Portugal) y VIP Pirineos (Irún y Larrau)</t>
  </si>
  <si>
    <t>Musel</t>
  </si>
  <si>
    <t xml:space="preserve">Se incluyen cisternas o asimilables cuyo punto de salida declarado no forma parte del sistema gasista.
</t>
  </si>
  <si>
    <t>Actualizado el 13-07-2026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</si>
</sst>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&quot; &quot;"/>
    <numFmt numFmtId="165" formatCode="#,##0.000"/>
    <numFmt numFmtId="166" formatCode="####;;&quot; &quot;"/>
    <numFmt numFmtId="167" formatCode="#,###;;&quot; &quot;"/>
    <numFmt numFmtId="168" formatCode="0.0000000"/>
    <numFmt numFmtId="169" formatCode="#,###;&quot; &quot;"/>
  </numFmts>
  <fonts count="3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8"/>
      <color theme="2" tint="-0.499984740745262"/>
      <name val="Arial"/>
      <family val="2"/>
    </font>
    <font>
      <b/>
      <sz val="10"/>
      <color theme="1"/>
      <name val="Calibri"/>
      <family val="2"/>
      <scheme val="minor"/>
    </font>
    <font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b/>
      <sz val="11"/>
      <color theme="1"/>
      <name val="Arial"/>
      <family val="2"/>
    </font>
    <font>
      <i/>
      <sz val="9"/>
      <color theme="2" tint="-0.499984740745262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sz val="20"/>
      <color theme="2" tint="-0.499984740745262"/>
      <name val="Arial"/>
      <family val="2"/>
    </font>
    <font>
      <b/>
      <sz val="11"/>
      <color theme="0"/>
      <name val="Arial"/>
      <family val="2"/>
    </font>
    <font>
      <sz val="10"/>
      <color rgb="FF1F497D"/>
      <name val="Comic Sans MS"/>
      <family val="4"/>
    </font>
    <font>
      <i/>
      <sz val="11"/>
      <color theme="0"/>
      <name val="Arial"/>
      <family val="2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i/>
      <sz val="9"/>
      <color theme="2" tint="-0.49998474074526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6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indexed="64"/>
      </top>
      <bottom style="thick">
        <color theme="0" tint="-0.14996795556505021"/>
      </bottom>
      <diagonal/>
    </border>
    <border>
      <left/>
      <right/>
      <top style="thin">
        <color theme="2" tint="-0.499984740745262"/>
      </top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5" fillId="0" borderId="1" xfId="6" applyFont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horizontal="right"/>
    </xf>
    <xf numFmtId="0" fontId="2" fillId="0" borderId="2" xfId="6" applyFont="1" applyBorder="1" applyAlignment="1">
      <alignment horizontal="center" vertical="center" wrapText="1"/>
    </xf>
    <xf numFmtId="3" fontId="2" fillId="0" borderId="2" xfId="6" applyNumberFormat="1" applyFont="1" applyBorder="1" applyAlignment="1">
      <alignment horizontal="center" vertical="center" wrapText="1"/>
    </xf>
    <xf numFmtId="3" fontId="18" fillId="0" borderId="2" xfId="6" applyNumberFormat="1" applyFont="1" applyBorder="1" applyAlignment="1">
      <alignment horizontal="center" vertical="center" wrapText="1"/>
    </xf>
    <xf numFmtId="17" fontId="5" fillId="0" borderId="1" xfId="6" applyNumberFormat="1" applyFont="1" applyBorder="1" applyAlignment="1">
      <alignment vertical="center"/>
    </xf>
    <xf numFmtId="0" fontId="13" fillId="0" borderId="1" xfId="0" applyFont="1" applyBorder="1"/>
    <xf numFmtId="0" fontId="19" fillId="0" borderId="2" xfId="0" applyFont="1" applyBorder="1" applyAlignment="1">
      <alignment horizontal="left" vertical="center"/>
    </xf>
    <xf numFmtId="17" fontId="5" fillId="0" borderId="2" xfId="6" applyNumberFormat="1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/>
    <xf numFmtId="0" fontId="21" fillId="0" borderId="2" xfId="0" applyFont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2" xfId="0" applyBorder="1"/>
    <xf numFmtId="0" fontId="10" fillId="0" borderId="0" xfId="0" applyFont="1"/>
    <xf numFmtId="0" fontId="23" fillId="0" borderId="0" xfId="0" applyFont="1"/>
    <xf numFmtId="0" fontId="23" fillId="0" borderId="3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12" fillId="0" borderId="0" xfId="0" applyFont="1"/>
    <xf numFmtId="0" fontId="27" fillId="0" borderId="0" xfId="0" applyFont="1"/>
    <xf numFmtId="0" fontId="9" fillId="0" borderId="2" xfId="0" applyFont="1" applyBorder="1"/>
    <xf numFmtId="0" fontId="25" fillId="0" borderId="0" xfId="0" applyFont="1" applyAlignment="1">
      <alignment vertical="center"/>
    </xf>
    <xf numFmtId="3" fontId="19" fillId="0" borderId="0" xfId="6" applyNumberFormat="1" applyFont="1" applyAlignment="1">
      <alignment vertical="center" wrapText="1"/>
    </xf>
    <xf numFmtId="3" fontId="6" fillId="0" borderId="0" xfId="6" applyNumberFormat="1" applyFont="1" applyAlignment="1">
      <alignment horizontal="center" vertical="center" wrapText="1"/>
    </xf>
    <xf numFmtId="0" fontId="9" fillId="0" borderId="1" xfId="0" applyFont="1" applyBorder="1"/>
    <xf numFmtId="164" fontId="7" fillId="0" borderId="0" xfId="5" applyNumberFormat="1" applyFont="1"/>
    <xf numFmtId="164" fontId="7" fillId="0" borderId="0" xfId="5" applyNumberFormat="1" applyFont="1" applyAlignment="1">
      <alignment vertical="center"/>
    </xf>
    <xf numFmtId="164" fontId="20" fillId="0" borderId="0" xfId="0" applyNumberFormat="1" applyFont="1" applyAlignment="1">
      <alignment horizontal="right"/>
    </xf>
    <xf numFmtId="164" fontId="20" fillId="0" borderId="0" xfId="6" applyNumberFormat="1" applyFont="1" applyAlignment="1">
      <alignment horizontal="right" vertical="center" wrapText="1"/>
    </xf>
    <xf numFmtId="164" fontId="20" fillId="0" borderId="0" xfId="5" applyNumberFormat="1" applyFont="1"/>
    <xf numFmtId="164" fontId="9" fillId="0" borderId="0" xfId="0" applyNumberFormat="1" applyFont="1"/>
    <xf numFmtId="14" fontId="9" fillId="0" borderId="0" xfId="0" applyNumberFormat="1" applyFont="1"/>
    <xf numFmtId="0" fontId="0" fillId="0" borderId="0" xfId="0" applyAlignment="1">
      <alignment vertical="center"/>
    </xf>
    <xf numFmtId="165" fontId="29" fillId="0" borderId="0" xfId="0" applyNumberFormat="1" applyFont="1"/>
    <xf numFmtId="0" fontId="2" fillId="0" borderId="0" xfId="0" quotePrefix="1" applyFont="1" applyAlignment="1">
      <alignment horizontal="left" vertical="top"/>
    </xf>
    <xf numFmtId="166" fontId="13" fillId="0" borderId="0" xfId="0" applyNumberFormat="1" applyFont="1" applyAlignment="1">
      <alignment horizontal="left"/>
    </xf>
    <xf numFmtId="164" fontId="30" fillId="0" borderId="0" xfId="0" applyNumberFormat="1" applyFont="1"/>
    <xf numFmtId="1" fontId="30" fillId="0" borderId="0" xfId="0" applyNumberFormat="1" applyFont="1"/>
    <xf numFmtId="165" fontId="31" fillId="0" borderId="0" xfId="0" applyNumberFormat="1" applyFont="1"/>
    <xf numFmtId="0" fontId="30" fillId="0" borderId="0" xfId="0" applyFont="1"/>
    <xf numFmtId="3" fontId="30" fillId="0" borderId="0" xfId="0" applyNumberFormat="1" applyFont="1"/>
    <xf numFmtId="14" fontId="30" fillId="0" borderId="0" xfId="0" applyNumberFormat="1" applyFont="1"/>
    <xf numFmtId="0" fontId="3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30" fillId="0" borderId="0" xfId="0" applyNumberFormat="1" applyFont="1" applyAlignment="1">
      <alignment vertical="center"/>
    </xf>
    <xf numFmtId="167" fontId="23" fillId="0" borderId="0" xfId="5" applyNumberFormat="1" applyFont="1"/>
    <xf numFmtId="0" fontId="23" fillId="0" borderId="6" xfId="0" applyFont="1" applyBorder="1"/>
    <xf numFmtId="0" fontId="19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/>
    </xf>
    <xf numFmtId="0" fontId="6" fillId="0" borderId="0" xfId="6" applyFont="1" applyAlignment="1">
      <alignment horizontal="center" vertical="center" wrapText="1"/>
    </xf>
    <xf numFmtId="3" fontId="7" fillId="0" borderId="0" xfId="0" quotePrefix="1" applyNumberFormat="1" applyFont="1" applyAlignment="1">
      <alignment horizontal="right" vertical="top"/>
    </xf>
    <xf numFmtId="167" fontId="23" fillId="0" borderId="0" xfId="0" applyNumberFormat="1" applyFont="1" applyAlignment="1">
      <alignment horizontal="right"/>
    </xf>
    <xf numFmtId="167" fontId="7" fillId="0" borderId="0" xfId="0" quotePrefix="1" applyNumberFormat="1" applyFont="1" applyAlignment="1">
      <alignment horizontal="right" vertical="top"/>
    </xf>
    <xf numFmtId="164" fontId="7" fillId="0" borderId="0" xfId="0" quotePrefix="1" applyNumberFormat="1" applyFont="1" applyAlignment="1">
      <alignment horizontal="right" vertical="top"/>
    </xf>
    <xf numFmtId="17" fontId="5" fillId="0" borderId="0" xfId="6" applyNumberFormat="1" applyFont="1" applyAlignment="1">
      <alignment horizontal="left" vertical="center"/>
    </xf>
    <xf numFmtId="17" fontId="2" fillId="0" borderId="0" xfId="6" applyNumberFormat="1" applyFont="1" applyAlignment="1">
      <alignment horizontal="center" vertical="center"/>
    </xf>
    <xf numFmtId="17" fontId="2" fillId="0" borderId="0" xfId="6" applyNumberFormat="1" applyFont="1" applyAlignment="1">
      <alignment horizontal="center" vertical="center" wrapText="1"/>
    </xf>
    <xf numFmtId="17" fontId="6" fillId="0" borderId="0" xfId="6" applyNumberFormat="1" applyFont="1" applyAlignment="1">
      <alignment horizontal="center" vertical="center" wrapText="1"/>
    </xf>
    <xf numFmtId="3" fontId="23" fillId="0" borderId="0" xfId="0" applyNumberFormat="1" applyFont="1"/>
    <xf numFmtId="14" fontId="23" fillId="0" borderId="0" xfId="0" applyNumberFormat="1" applyFont="1"/>
    <xf numFmtId="168" fontId="23" fillId="0" borderId="0" xfId="0" applyNumberFormat="1" applyFont="1"/>
    <xf numFmtId="3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5" fillId="0" borderId="7" xfId="6" applyFont="1" applyBorder="1" applyAlignment="1">
      <alignment vertical="center" wrapText="1"/>
    </xf>
    <xf numFmtId="0" fontId="23" fillId="0" borderId="3" xfId="0" applyFont="1" applyBorder="1" applyAlignment="1">
      <alignment vertical="top" wrapText="1"/>
    </xf>
    <xf numFmtId="164" fontId="33" fillId="0" borderId="2" xfId="5" applyNumberFormat="1" applyFont="1" applyBorder="1"/>
    <xf numFmtId="164" fontId="33" fillId="0" borderId="0" xfId="5" applyNumberFormat="1" applyFont="1"/>
    <xf numFmtId="167" fontId="32" fillId="0" borderId="0" xfId="0" applyNumberFormat="1" applyFont="1" applyAlignment="1">
      <alignment horizontal="right"/>
    </xf>
    <xf numFmtId="164" fontId="34" fillId="0" borderId="0" xfId="0" applyNumberFormat="1" applyFont="1" applyAlignment="1">
      <alignment horizontal="right"/>
    </xf>
    <xf numFmtId="164" fontId="32" fillId="0" borderId="2" xfId="5" applyNumberFormat="1" applyFont="1" applyBorder="1"/>
    <xf numFmtId="164" fontId="32" fillId="0" borderId="0" xfId="5" applyNumberFormat="1" applyFont="1"/>
    <xf numFmtId="169" fontId="33" fillId="0" borderId="0" xfId="5" applyNumberFormat="1" applyFont="1"/>
    <xf numFmtId="164" fontId="32" fillId="0" borderId="1" xfId="5" applyNumberFormat="1" applyFont="1" applyBorder="1"/>
    <xf numFmtId="164" fontId="32" fillId="0" borderId="1" xfId="6" applyNumberFormat="1" applyFont="1" applyBorder="1" applyAlignment="1">
      <alignment horizontal="right" vertical="center" wrapText="1"/>
    </xf>
    <xf numFmtId="164" fontId="32" fillId="0" borderId="0" xfId="6" applyNumberFormat="1" applyFont="1" applyAlignment="1">
      <alignment horizontal="right" vertical="center" wrapText="1"/>
    </xf>
    <xf numFmtId="0" fontId="6" fillId="0" borderId="0" xfId="0" quotePrefix="1" applyFont="1" applyAlignment="1">
      <alignment horizontal="left" vertical="top"/>
    </xf>
    <xf numFmtId="167" fontId="33" fillId="0" borderId="0" xfId="0" quotePrefix="1" applyNumberFormat="1" applyFont="1" applyAlignment="1">
      <alignment horizontal="right" vertical="top"/>
    </xf>
    <xf numFmtId="164" fontId="33" fillId="0" borderId="0" xfId="5" applyNumberFormat="1" applyFont="1" applyAlignment="1">
      <alignment vertical="center"/>
    </xf>
    <xf numFmtId="164" fontId="34" fillId="0" borderId="0" xfId="5" applyNumberFormat="1" applyFont="1"/>
    <xf numFmtId="0" fontId="35" fillId="0" borderId="0" xfId="0" applyFont="1"/>
    <xf numFmtId="1" fontId="36" fillId="0" borderId="0" xfId="0" applyNumberFormat="1" applyFont="1" applyAlignment="1">
      <alignment horizontal="left"/>
    </xf>
    <xf numFmtId="166" fontId="36" fillId="0" borderId="0" xfId="0" applyNumberFormat="1" applyFont="1" applyAlignment="1">
      <alignment horizontal="left"/>
    </xf>
    <xf numFmtId="167" fontId="32" fillId="0" borderId="2" xfId="0" applyNumberFormat="1" applyFont="1" applyBorder="1" applyAlignment="1">
      <alignment horizontal="right"/>
    </xf>
    <xf numFmtId="0" fontId="24" fillId="0" borderId="8" xfId="0" applyFont="1" applyBorder="1" applyAlignment="1">
      <alignment vertical="top"/>
    </xf>
    <xf numFmtId="164" fontId="7" fillId="0" borderId="2" xfId="5" applyNumberFormat="1" applyFont="1" applyBorder="1"/>
    <xf numFmtId="164" fontId="34" fillId="0" borderId="2" xfId="0" applyNumberFormat="1" applyFont="1" applyBorder="1" applyAlignment="1">
      <alignment horizontal="right"/>
    </xf>
    <xf numFmtId="167" fontId="7" fillId="0" borderId="0" xfId="5" applyNumberFormat="1" applyFont="1"/>
    <xf numFmtId="0" fontId="23" fillId="0" borderId="3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center" indent="1"/>
    </xf>
    <xf numFmtId="0" fontId="23" fillId="0" borderId="3" xfId="0" quotePrefix="1" applyFont="1" applyBorder="1" applyAlignment="1">
      <alignment horizontal="left" vertical="top" wrapText="1"/>
    </xf>
    <xf numFmtId="0" fontId="19" fillId="0" borderId="4" xfId="6" applyFont="1" applyBorder="1" applyAlignment="1">
      <alignment horizontal="center" vertical="center" wrapText="1"/>
    </xf>
    <xf numFmtId="3" fontId="19" fillId="0" borderId="5" xfId="6" applyNumberFormat="1" applyFont="1" applyBorder="1" applyAlignment="1">
      <alignment horizontal="center"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ual 2" xfId="7" xr:uid="{00000000-0005-0000-0000-000007000000}"/>
    <cellStyle name="Porcentual 3" xfId="8" xr:uid="{00000000-0005-0000-0000-000008000000}"/>
    <cellStyle name="Porcentual 4" xfId="9" xr:uid="{00000000-0005-0000-0000-000009000000}"/>
  </cellStyles>
  <dxfs count="72">
    <dxf>
      <font>
        <b/>
        <i/>
      </font>
      <border>
        <bottom style="thin">
          <color auto="1"/>
        </bottom>
      </border>
    </dxf>
    <dxf>
      <numFmt numFmtId="170" formatCode="\^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numFmt numFmtId="170" formatCode="\^"/>
    </dxf>
    <dxf>
      <numFmt numFmtId="170" formatCode="\^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numFmt numFmtId="171" formatCode="\^\ "/>
    </dxf>
    <dxf>
      <numFmt numFmtId="170" formatCode="\^"/>
    </dxf>
    <dxf>
      <numFmt numFmtId="170" formatCode="\^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93;frica!A1"/><Relationship Id="rId2" Type="http://schemas.openxmlformats.org/officeDocument/2006/relationships/hyperlink" Target="#'Plantas de regasificaci&#243;n'!A1"/><Relationship Id="rId1" Type="http://schemas.openxmlformats.org/officeDocument/2006/relationships/hyperlink" Target="#Todos!A1"/><Relationship Id="rId5" Type="http://schemas.openxmlformats.org/officeDocument/2006/relationships/hyperlink" Target="#'Conexiones Internacionales'!A1"/><Relationship Id="rId4" Type="http://schemas.openxmlformats.org/officeDocument/2006/relationships/hyperlink" Target="#Am&#233;ric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odos!A1"/><Relationship Id="rId2" Type="http://schemas.openxmlformats.org/officeDocument/2006/relationships/hyperlink" Target="#Inicio!A1"/><Relationship Id="rId1" Type="http://schemas.openxmlformats.org/officeDocument/2006/relationships/hyperlink" Target="#'Plantas de regasificaci&#243;n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&#193;frica!A1"/><Relationship Id="rId1" Type="http://schemas.openxmlformats.org/officeDocument/2006/relationships/hyperlink" Target="#'Conexiones Internacionales'!A1"/><Relationship Id="rId4" Type="http://schemas.openxmlformats.org/officeDocument/2006/relationships/hyperlink" Target="#Todo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onexiones Internacionales'!A1"/><Relationship Id="rId2" Type="http://schemas.openxmlformats.org/officeDocument/2006/relationships/hyperlink" Target="#'Plantas de regasificaci&#243;n'!A1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</xdr:rowOff>
    </xdr:from>
    <xdr:to>
      <xdr:col>2</xdr:col>
      <xdr:colOff>901839</xdr:colOff>
      <xdr:row>0</xdr:row>
      <xdr:rowOff>219354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47800" y="9525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4</xdr:col>
      <xdr:colOff>2860383</xdr:colOff>
      <xdr:row>0</xdr:row>
      <xdr:rowOff>0</xdr:rowOff>
    </xdr:from>
    <xdr:to>
      <xdr:col>5</xdr:col>
      <xdr:colOff>149339</xdr:colOff>
      <xdr:row>0</xdr:row>
      <xdr:rowOff>209829</xdr:rowOff>
    </xdr:to>
    <xdr:sp macro="" textlink="">
      <xdr:nvSpPr>
        <xdr:cNvPr id="42" name="4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6539674" y="0"/>
          <a:ext cx="745305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215382</xdr:rowOff>
    </xdr:from>
    <xdr:to>
      <xdr:col>2</xdr:col>
      <xdr:colOff>901839</xdr:colOff>
      <xdr:row>0</xdr:row>
      <xdr:rowOff>251382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48322" y="215382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2860383</xdr:colOff>
      <xdr:row>0</xdr:row>
      <xdr:rowOff>215382</xdr:rowOff>
    </xdr:from>
    <xdr:to>
      <xdr:col>5</xdr:col>
      <xdr:colOff>149339</xdr:colOff>
      <xdr:row>0</xdr:row>
      <xdr:rowOff>251382</xdr:rowOff>
    </xdr:to>
    <xdr:sp macro="" textlink="">
      <xdr:nvSpPr>
        <xdr:cNvPr id="50" name="49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6536250" y="215382"/>
          <a:ext cx="746662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769033</xdr:colOff>
      <xdr:row>0</xdr:row>
      <xdr:rowOff>0</xdr:rowOff>
    </xdr:from>
    <xdr:to>
      <xdr:col>4</xdr:col>
      <xdr:colOff>2862865</xdr:colOff>
      <xdr:row>0</xdr:row>
      <xdr:rowOff>209829</xdr:rowOff>
    </xdr:to>
    <xdr:sp macro="" textlink="">
      <xdr:nvSpPr>
        <xdr:cNvPr id="26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445353" y="0"/>
          <a:ext cx="209383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2</xdr:col>
      <xdr:colOff>901901</xdr:colOff>
      <xdr:row>0</xdr:row>
      <xdr:rowOff>215382</xdr:rowOff>
    </xdr:from>
    <xdr:to>
      <xdr:col>4</xdr:col>
      <xdr:colOff>766882</xdr:colOff>
      <xdr:row>0</xdr:row>
      <xdr:rowOff>251382</xdr:rowOff>
    </xdr:to>
    <xdr:sp macro="" textlink="">
      <xdr:nvSpPr>
        <xdr:cNvPr id="27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2350223" y="215382"/>
          <a:ext cx="2092526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769033</xdr:colOff>
      <xdr:row>0</xdr:row>
      <xdr:rowOff>215382</xdr:rowOff>
    </xdr:from>
    <xdr:to>
      <xdr:col>4</xdr:col>
      <xdr:colOff>2862865</xdr:colOff>
      <xdr:row>0</xdr:row>
      <xdr:rowOff>251382</xdr:rowOff>
    </xdr:to>
    <xdr:sp macro="" textlink="">
      <xdr:nvSpPr>
        <xdr:cNvPr id="28" name="4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444900" y="215382"/>
          <a:ext cx="2093832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901901</xdr:colOff>
      <xdr:row>0</xdr:row>
      <xdr:rowOff>0</xdr:rowOff>
    </xdr:from>
    <xdr:to>
      <xdr:col>4</xdr:col>
      <xdr:colOff>766882</xdr:colOff>
      <xdr:row>0</xdr:row>
      <xdr:rowOff>209829</xdr:rowOff>
    </xdr:to>
    <xdr:sp macro="" textlink="">
      <xdr:nvSpPr>
        <xdr:cNvPr id="29" name="3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2349921" y="0"/>
          <a:ext cx="2093281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220075</xdr:colOff>
      <xdr:row>0</xdr:row>
      <xdr:rowOff>0</xdr:rowOff>
    </xdr:from>
    <xdr:to>
      <xdr:col>6</xdr:col>
      <xdr:colOff>419727</xdr:colOff>
      <xdr:row>0</xdr:row>
      <xdr:rowOff>209829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2321570" y="0"/>
          <a:ext cx="2088000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6</xdr:col>
      <xdr:colOff>418886</xdr:colOff>
      <xdr:row>0</xdr:row>
      <xdr:rowOff>0</xdr:rowOff>
    </xdr:from>
    <xdr:to>
      <xdr:col>9</xdr:col>
      <xdr:colOff>618538</xdr:colOff>
      <xdr:row>0</xdr:row>
      <xdr:rowOff>209829</xdr:rowOff>
    </xdr:to>
    <xdr:sp macro="" textlink="">
      <xdr:nvSpPr>
        <xdr:cNvPr id="17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4408729" y="0"/>
          <a:ext cx="20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219475</xdr:colOff>
      <xdr:row>0</xdr:row>
      <xdr:rowOff>209829</xdr:rowOff>
    </xdr:to>
    <xdr:sp macro="" textlink="">
      <xdr:nvSpPr>
        <xdr:cNvPr id="22" name="21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149860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3</xdr:col>
      <xdr:colOff>220075</xdr:colOff>
      <xdr:row>0</xdr:row>
      <xdr:rowOff>212725</xdr:rowOff>
    </xdr:from>
    <xdr:to>
      <xdr:col>6</xdr:col>
      <xdr:colOff>419727</xdr:colOff>
      <xdr:row>0</xdr:row>
      <xdr:rowOff>248725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2321570" y="212725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418886</xdr:colOff>
      <xdr:row>0</xdr:row>
      <xdr:rowOff>212725</xdr:rowOff>
    </xdr:from>
    <xdr:to>
      <xdr:col>9</xdr:col>
      <xdr:colOff>618538</xdr:colOff>
      <xdr:row>0</xdr:row>
      <xdr:rowOff>248725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4408729" y="212725"/>
          <a:ext cx="2088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219475</xdr:colOff>
      <xdr:row>0</xdr:row>
      <xdr:rowOff>248725</xdr:rowOff>
    </xdr:to>
    <xdr:sp macro="" textlink="">
      <xdr:nvSpPr>
        <xdr:cNvPr id="30" name="29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8004" name="Group 3">
          <a:extLst>
            <a:ext uri="{FF2B5EF4-FFF2-40B4-BE49-F238E27FC236}">
              <a16:creationId xmlns:a16="http://schemas.microsoft.com/office/drawing/2014/main" id="{00000000-0008-0000-0100-00007494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8005" name="AutoShape 2">
            <a:extLst>
              <a:ext uri="{FF2B5EF4-FFF2-40B4-BE49-F238E27FC236}">
                <a16:creationId xmlns:a16="http://schemas.microsoft.com/office/drawing/2014/main" id="{00000000-0008-0000-0100-0000759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8006" name="Freeform 4">
            <a:extLst>
              <a:ext uri="{FF2B5EF4-FFF2-40B4-BE49-F238E27FC236}">
                <a16:creationId xmlns:a16="http://schemas.microsoft.com/office/drawing/2014/main" id="{00000000-0008-0000-0100-00007694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7" name="Freeform 5">
            <a:extLst>
              <a:ext uri="{FF2B5EF4-FFF2-40B4-BE49-F238E27FC236}">
                <a16:creationId xmlns:a16="http://schemas.microsoft.com/office/drawing/2014/main" id="{00000000-0008-0000-0100-00007794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8" name="Freeform 6">
            <a:extLst>
              <a:ext uri="{FF2B5EF4-FFF2-40B4-BE49-F238E27FC236}">
                <a16:creationId xmlns:a16="http://schemas.microsoft.com/office/drawing/2014/main" id="{00000000-0008-0000-0100-00007894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9" name="Freeform 7">
            <a:extLst>
              <a:ext uri="{FF2B5EF4-FFF2-40B4-BE49-F238E27FC236}">
                <a16:creationId xmlns:a16="http://schemas.microsoft.com/office/drawing/2014/main" id="{00000000-0008-0000-0100-00007994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0" name="Freeform 8">
            <a:extLst>
              <a:ext uri="{FF2B5EF4-FFF2-40B4-BE49-F238E27FC236}">
                <a16:creationId xmlns:a16="http://schemas.microsoft.com/office/drawing/2014/main" id="{00000000-0008-0000-0100-00007A94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1" name="Freeform 9">
            <a:extLst>
              <a:ext uri="{FF2B5EF4-FFF2-40B4-BE49-F238E27FC236}">
                <a16:creationId xmlns:a16="http://schemas.microsoft.com/office/drawing/2014/main" id="{00000000-0008-0000-0100-00007B94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2" name="Freeform 10">
            <a:extLst>
              <a:ext uri="{FF2B5EF4-FFF2-40B4-BE49-F238E27FC236}">
                <a16:creationId xmlns:a16="http://schemas.microsoft.com/office/drawing/2014/main" id="{00000000-0008-0000-0100-00007C94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867087</xdr:colOff>
      <xdr:row>1</xdr:row>
      <xdr:rowOff>0</xdr:rowOff>
    </xdr:from>
    <xdr:to>
      <xdr:col>10</xdr:col>
      <xdr:colOff>705565</xdr:colOff>
      <xdr:row>1</xdr:row>
      <xdr:rowOff>209829</xdr:rowOff>
    </xdr:to>
    <xdr:sp macro="" textlink="">
      <xdr:nvSpPr>
        <xdr:cNvPr id="42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7045637" y="285750"/>
          <a:ext cx="870353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616912</xdr:colOff>
      <xdr:row>0</xdr:row>
      <xdr:rowOff>0</xdr:rowOff>
    </xdr:from>
    <xdr:to>
      <xdr:col>10</xdr:col>
      <xdr:colOff>493493</xdr:colOff>
      <xdr:row>0</xdr:row>
      <xdr:rowOff>209829</xdr:rowOff>
    </xdr:to>
    <xdr:sp macro="" textlink="">
      <xdr:nvSpPr>
        <xdr:cNvPr id="44" name="4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6495103" y="0"/>
          <a:ext cx="876306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9</xdr:col>
      <xdr:colOff>616912</xdr:colOff>
      <xdr:row>0</xdr:row>
      <xdr:rowOff>213519</xdr:rowOff>
    </xdr:from>
    <xdr:to>
      <xdr:col>10</xdr:col>
      <xdr:colOff>493493</xdr:colOff>
      <xdr:row>0</xdr:row>
      <xdr:rowOff>248725</xdr:rowOff>
    </xdr:to>
    <xdr:sp macro="" textlink="">
      <xdr:nvSpPr>
        <xdr:cNvPr id="45" name="4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495103" y="213519"/>
          <a:ext cx="876306" cy="35206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251825</xdr:colOff>
      <xdr:row>0</xdr:row>
      <xdr:rowOff>0</xdr:rowOff>
    </xdr:from>
    <xdr:to>
      <xdr:col>6</xdr:col>
      <xdr:colOff>163214</xdr:colOff>
      <xdr:row>0</xdr:row>
      <xdr:rowOff>209829</xdr:rowOff>
    </xdr:to>
    <xdr:sp macro="" textlink="">
      <xdr:nvSpPr>
        <xdr:cNvPr id="41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 bwMode="auto">
        <a:xfrm>
          <a:off x="2331698" y="0"/>
          <a:ext cx="2088000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6</xdr:col>
      <xdr:colOff>158022</xdr:colOff>
      <xdr:row>0</xdr:row>
      <xdr:rowOff>0</xdr:rowOff>
    </xdr:from>
    <xdr:to>
      <xdr:col>9</xdr:col>
      <xdr:colOff>78935</xdr:colOff>
      <xdr:row>0</xdr:row>
      <xdr:rowOff>209829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 bwMode="auto">
        <a:xfrm>
          <a:off x="4414506" y="0"/>
          <a:ext cx="2088000" cy="209829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3</xdr:col>
      <xdr:colOff>251825</xdr:colOff>
      <xdr:row>0</xdr:row>
      <xdr:rowOff>212725</xdr:rowOff>
    </xdr:from>
    <xdr:to>
      <xdr:col>6</xdr:col>
      <xdr:colOff>163214</xdr:colOff>
      <xdr:row>0</xdr:row>
      <xdr:rowOff>248725</xdr:rowOff>
    </xdr:to>
    <xdr:sp macro="" textlink="">
      <xdr:nvSpPr>
        <xdr:cNvPr id="48" name="47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 bwMode="auto">
        <a:xfrm>
          <a:off x="2331698" y="212725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158022</xdr:colOff>
      <xdr:row>0</xdr:row>
      <xdr:rowOff>212725</xdr:rowOff>
    </xdr:from>
    <xdr:to>
      <xdr:col>9</xdr:col>
      <xdr:colOff>78935</xdr:colOff>
      <xdr:row>0</xdr:row>
      <xdr:rowOff>248725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 bwMode="auto">
        <a:xfrm>
          <a:off x="4414506" y="212725"/>
          <a:ext cx="2088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251205</xdr:colOff>
      <xdr:row>0</xdr:row>
      <xdr:rowOff>209829</xdr:rowOff>
    </xdr:to>
    <xdr:sp macro="" textlink="">
      <xdr:nvSpPr>
        <xdr:cNvPr id="55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 bwMode="auto">
        <a:xfrm>
          <a:off x="1428750" y="0"/>
          <a:ext cx="864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251205</xdr:colOff>
      <xdr:row>0</xdr:row>
      <xdr:rowOff>248725</xdr:rowOff>
    </xdr:to>
    <xdr:sp macro="" textlink="">
      <xdr:nvSpPr>
        <xdr:cNvPr id="56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9028" name="Group 3">
          <a:extLst>
            <a:ext uri="{FF2B5EF4-FFF2-40B4-BE49-F238E27FC236}">
              <a16:creationId xmlns:a16="http://schemas.microsoft.com/office/drawing/2014/main" id="{00000000-0008-0000-0200-00007498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9029" name="AutoShape 2">
            <a:extLst>
              <a:ext uri="{FF2B5EF4-FFF2-40B4-BE49-F238E27FC236}">
                <a16:creationId xmlns:a16="http://schemas.microsoft.com/office/drawing/2014/main" id="{00000000-0008-0000-0200-00007598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9030" name="Freeform 4">
            <a:extLst>
              <a:ext uri="{FF2B5EF4-FFF2-40B4-BE49-F238E27FC236}">
                <a16:creationId xmlns:a16="http://schemas.microsoft.com/office/drawing/2014/main" id="{00000000-0008-0000-0200-00007698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1" name="Freeform 5">
            <a:extLst>
              <a:ext uri="{FF2B5EF4-FFF2-40B4-BE49-F238E27FC236}">
                <a16:creationId xmlns:a16="http://schemas.microsoft.com/office/drawing/2014/main" id="{00000000-0008-0000-0200-00007798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2" name="Freeform 6">
            <a:extLst>
              <a:ext uri="{FF2B5EF4-FFF2-40B4-BE49-F238E27FC236}">
                <a16:creationId xmlns:a16="http://schemas.microsoft.com/office/drawing/2014/main" id="{00000000-0008-0000-0200-00007898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3" name="Freeform 7">
            <a:extLst>
              <a:ext uri="{FF2B5EF4-FFF2-40B4-BE49-F238E27FC236}">
                <a16:creationId xmlns:a16="http://schemas.microsoft.com/office/drawing/2014/main" id="{00000000-0008-0000-0200-00007998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4" name="Freeform 8">
            <a:extLst>
              <a:ext uri="{FF2B5EF4-FFF2-40B4-BE49-F238E27FC236}">
                <a16:creationId xmlns:a16="http://schemas.microsoft.com/office/drawing/2014/main" id="{00000000-0008-0000-0200-00007A98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5" name="Freeform 9">
            <a:extLst>
              <a:ext uri="{FF2B5EF4-FFF2-40B4-BE49-F238E27FC236}">
                <a16:creationId xmlns:a16="http://schemas.microsoft.com/office/drawing/2014/main" id="{00000000-0008-0000-0200-00007B98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6" name="Freeform 10">
            <a:extLst>
              <a:ext uri="{FF2B5EF4-FFF2-40B4-BE49-F238E27FC236}">
                <a16:creationId xmlns:a16="http://schemas.microsoft.com/office/drawing/2014/main" id="{00000000-0008-0000-0200-00007C98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81254</xdr:colOff>
      <xdr:row>0</xdr:row>
      <xdr:rowOff>0</xdr:rowOff>
    </xdr:from>
    <xdr:to>
      <xdr:col>9</xdr:col>
      <xdr:colOff>959646</xdr:colOff>
      <xdr:row>0</xdr:row>
      <xdr:rowOff>209829</xdr:rowOff>
    </xdr:to>
    <xdr:sp macro="" textlink="">
      <xdr:nvSpPr>
        <xdr:cNvPr id="4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 bwMode="auto">
        <a:xfrm>
          <a:off x="6504825" y="0"/>
          <a:ext cx="87839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9</xdr:col>
      <xdr:colOff>81254</xdr:colOff>
      <xdr:row>0</xdr:row>
      <xdr:rowOff>212725</xdr:rowOff>
    </xdr:from>
    <xdr:to>
      <xdr:col>9</xdr:col>
      <xdr:colOff>959646</xdr:colOff>
      <xdr:row>0</xdr:row>
      <xdr:rowOff>250842</xdr:rowOff>
    </xdr:to>
    <xdr:sp macro="" textlink="">
      <xdr:nvSpPr>
        <xdr:cNvPr id="45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 bwMode="auto">
        <a:xfrm>
          <a:off x="6504825" y="212725"/>
          <a:ext cx="87839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22560</xdr:colOff>
      <xdr:row>0</xdr:row>
      <xdr:rowOff>3727</xdr:rowOff>
    </xdr:from>
    <xdr:to>
      <xdr:col>3</xdr:col>
      <xdr:colOff>251518</xdr:colOff>
      <xdr:row>0</xdr:row>
      <xdr:rowOff>213556</xdr:rowOff>
    </xdr:to>
    <xdr:sp macro="" textlink="">
      <xdr:nvSpPr>
        <xdr:cNvPr id="11" name="1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1518577" y="3727"/>
          <a:ext cx="90162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9</xdr:col>
      <xdr:colOff>579017</xdr:colOff>
      <xdr:row>0</xdr:row>
      <xdr:rowOff>9525</xdr:rowOff>
    </xdr:from>
    <xdr:to>
      <xdr:col>11</xdr:col>
      <xdr:colOff>293057</xdr:colOff>
      <xdr:row>0</xdr:row>
      <xdr:rowOff>219354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 bwMode="auto">
        <a:xfrm>
          <a:off x="6503567" y="9525"/>
          <a:ext cx="866565" cy="209829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22560</xdr:colOff>
      <xdr:row>0</xdr:row>
      <xdr:rowOff>216452</xdr:rowOff>
    </xdr:from>
    <xdr:to>
      <xdr:col>3</xdr:col>
      <xdr:colOff>251518</xdr:colOff>
      <xdr:row>0</xdr:row>
      <xdr:rowOff>252452</xdr:rowOff>
    </xdr:to>
    <xdr:sp macro="" textlink="">
      <xdr:nvSpPr>
        <xdr:cNvPr id="23" name="2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 bwMode="auto">
        <a:xfrm>
          <a:off x="1518577" y="216452"/>
          <a:ext cx="901627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579017</xdr:colOff>
      <xdr:row>0</xdr:row>
      <xdr:rowOff>215382</xdr:rowOff>
    </xdr:from>
    <xdr:to>
      <xdr:col>11</xdr:col>
      <xdr:colOff>293057</xdr:colOff>
      <xdr:row>0</xdr:row>
      <xdr:rowOff>251382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 bwMode="auto">
        <a:xfrm>
          <a:off x="6494170" y="215382"/>
          <a:ext cx="862353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44148" name="Group 3">
          <a:extLst>
            <a:ext uri="{FF2B5EF4-FFF2-40B4-BE49-F238E27FC236}">
              <a16:creationId xmlns:a16="http://schemas.microsoft.com/office/drawing/2014/main" id="{00000000-0008-0000-0300-000074AC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44149" name="AutoShape 2">
            <a:extLst>
              <a:ext uri="{FF2B5EF4-FFF2-40B4-BE49-F238E27FC236}">
                <a16:creationId xmlns:a16="http://schemas.microsoft.com/office/drawing/2014/main" id="{00000000-0008-0000-0300-000075AC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4150" name="Freeform 4">
            <a:extLst>
              <a:ext uri="{FF2B5EF4-FFF2-40B4-BE49-F238E27FC236}">
                <a16:creationId xmlns:a16="http://schemas.microsoft.com/office/drawing/2014/main" id="{00000000-0008-0000-0300-000076AC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1" name="Freeform 5">
            <a:extLst>
              <a:ext uri="{FF2B5EF4-FFF2-40B4-BE49-F238E27FC236}">
                <a16:creationId xmlns:a16="http://schemas.microsoft.com/office/drawing/2014/main" id="{00000000-0008-0000-0300-000077AC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2" name="Freeform 6">
            <a:extLst>
              <a:ext uri="{FF2B5EF4-FFF2-40B4-BE49-F238E27FC236}">
                <a16:creationId xmlns:a16="http://schemas.microsoft.com/office/drawing/2014/main" id="{00000000-0008-0000-0300-000078AC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3" name="Freeform 7">
            <a:extLst>
              <a:ext uri="{FF2B5EF4-FFF2-40B4-BE49-F238E27FC236}">
                <a16:creationId xmlns:a16="http://schemas.microsoft.com/office/drawing/2014/main" id="{00000000-0008-0000-0300-000079AC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4" name="Freeform 8">
            <a:extLst>
              <a:ext uri="{FF2B5EF4-FFF2-40B4-BE49-F238E27FC236}">
                <a16:creationId xmlns:a16="http://schemas.microsoft.com/office/drawing/2014/main" id="{00000000-0008-0000-0300-00007AAC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5" name="Freeform 9">
            <a:extLst>
              <a:ext uri="{FF2B5EF4-FFF2-40B4-BE49-F238E27FC236}">
                <a16:creationId xmlns:a16="http://schemas.microsoft.com/office/drawing/2014/main" id="{00000000-0008-0000-0300-00007BAC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6" name="Freeform 10">
            <a:extLst>
              <a:ext uri="{FF2B5EF4-FFF2-40B4-BE49-F238E27FC236}">
                <a16:creationId xmlns:a16="http://schemas.microsoft.com/office/drawing/2014/main" id="{00000000-0008-0000-0300-00007CAC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421806</xdr:colOff>
      <xdr:row>0</xdr:row>
      <xdr:rowOff>0</xdr:rowOff>
    </xdr:from>
    <xdr:to>
      <xdr:col>9</xdr:col>
      <xdr:colOff>580703</xdr:colOff>
      <xdr:row>0</xdr:row>
      <xdr:rowOff>209829</xdr:rowOff>
    </xdr:to>
    <xdr:sp macro="" textlink="">
      <xdr:nvSpPr>
        <xdr:cNvPr id="39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 bwMode="auto">
        <a:xfrm>
          <a:off x="4417248" y="0"/>
          <a:ext cx="2078608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3</xdr:col>
      <xdr:colOff>250263</xdr:colOff>
      <xdr:row>0</xdr:row>
      <xdr:rowOff>215382</xdr:rowOff>
    </xdr:from>
    <xdr:to>
      <xdr:col>6</xdr:col>
      <xdr:colOff>419655</xdr:colOff>
      <xdr:row>0</xdr:row>
      <xdr:rowOff>251382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 bwMode="auto">
        <a:xfrm>
          <a:off x="2338959" y="215382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421806</xdr:colOff>
      <xdr:row>0</xdr:row>
      <xdr:rowOff>215382</xdr:rowOff>
    </xdr:from>
    <xdr:to>
      <xdr:col>9</xdr:col>
      <xdr:colOff>580703</xdr:colOff>
      <xdr:row>0</xdr:row>
      <xdr:rowOff>251382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 bwMode="auto">
        <a:xfrm>
          <a:off x="4417248" y="215382"/>
          <a:ext cx="2078608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3</xdr:col>
      <xdr:colOff>250263</xdr:colOff>
      <xdr:row>0</xdr:row>
      <xdr:rowOff>0</xdr:rowOff>
    </xdr:from>
    <xdr:to>
      <xdr:col>6</xdr:col>
      <xdr:colOff>419655</xdr:colOff>
      <xdr:row>0</xdr:row>
      <xdr:rowOff>209829</xdr:rowOff>
    </xdr:to>
    <xdr:sp macro="" textlink="">
      <xdr:nvSpPr>
        <xdr:cNvPr id="25" name="3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 bwMode="auto">
        <a:xfrm>
          <a:off x="2338959" y="0"/>
          <a:ext cx="20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1:N20"/>
  <sheetViews>
    <sheetView tabSelected="1" zoomScaleNormal="100" zoomScaleSheetLayoutView="100" workbookViewId="0">
      <selection activeCell="A20" sqref="A20"/>
    </sheetView>
  </sheetViews>
  <sheetFormatPr baseColWidth="10" defaultColWidth="10.7109375" defaultRowHeight="15" x14ac:dyDescent="0.25"/>
  <cols>
    <col min="1" max="2" width="10.7109375" customWidth="1"/>
    <col min="3" max="3" width="14.42578125" bestFit="1" customWidth="1"/>
    <col min="4" max="4" width="19" customWidth="1"/>
    <col min="5" max="5" width="51.7109375" customWidth="1"/>
    <col min="7" max="7" width="12.7109375" customWidth="1"/>
    <col min="11" max="11" width="8.7109375" customWidth="1"/>
  </cols>
  <sheetData>
    <row r="1" spans="1:14" ht="22.5" customHeight="1" x14ac:dyDescent="0.25"/>
    <row r="2" spans="1:14" ht="22.5" customHeight="1" x14ac:dyDescent="0.25"/>
    <row r="3" spans="1:14" ht="22.5" customHeight="1" x14ac:dyDescent="0.25"/>
    <row r="4" spans="1:14" ht="25.5" x14ac:dyDescent="0.3">
      <c r="B4" s="24"/>
      <c r="C4" s="103" t="s">
        <v>31</v>
      </c>
      <c r="D4" s="103"/>
      <c r="E4" s="103"/>
      <c r="F4" s="103"/>
      <c r="G4" s="103"/>
      <c r="H4" s="24"/>
      <c r="I4" s="24"/>
      <c r="J4" s="24"/>
      <c r="K4" s="24"/>
      <c r="L4" s="23"/>
    </row>
    <row r="5" spans="1:14" ht="15" customHeight="1" x14ac:dyDescent="0.3">
      <c r="B5" s="24"/>
      <c r="C5" s="25"/>
      <c r="D5" s="25"/>
      <c r="E5" s="25"/>
      <c r="F5" s="25"/>
      <c r="G5" s="25"/>
      <c r="H5" s="24"/>
      <c r="I5" s="24"/>
      <c r="J5" s="24"/>
      <c r="K5" s="24"/>
      <c r="L5" s="23"/>
    </row>
    <row r="6" spans="1:14" ht="15" customHeight="1" x14ac:dyDescent="0.3">
      <c r="B6" s="24"/>
      <c r="C6" s="25"/>
      <c r="D6" s="25"/>
      <c r="E6" s="25"/>
      <c r="F6" s="25"/>
      <c r="G6" s="25"/>
      <c r="H6" s="24"/>
      <c r="I6" s="24"/>
      <c r="J6" s="24"/>
      <c r="K6" s="24"/>
      <c r="L6" s="23"/>
    </row>
    <row r="7" spans="1:14" ht="15" customHeight="1" x14ac:dyDescent="0.3">
      <c r="B7" s="24"/>
      <c r="C7" s="25"/>
      <c r="D7" s="25"/>
      <c r="E7" s="25"/>
      <c r="F7" s="25"/>
      <c r="G7" s="25"/>
      <c r="H7" s="24"/>
      <c r="I7" s="24"/>
      <c r="J7" s="24"/>
      <c r="K7" s="24"/>
      <c r="L7" s="23"/>
    </row>
    <row r="8" spans="1:14" ht="15" customHeight="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4" ht="36.75" customHeight="1" x14ac:dyDescent="0.25">
      <c r="C9" s="98" t="s">
        <v>40</v>
      </c>
      <c r="D9" s="29" t="s">
        <v>41</v>
      </c>
      <c r="E9" s="102" t="s">
        <v>43</v>
      </c>
      <c r="F9" s="102"/>
      <c r="G9" s="102"/>
      <c r="H9" s="30"/>
      <c r="I9" s="30"/>
      <c r="J9" s="30"/>
      <c r="K9" s="30"/>
      <c r="L9" s="30"/>
      <c r="M9" s="30"/>
      <c r="N9" s="30"/>
    </row>
    <row r="10" spans="1:14" ht="36.75" customHeight="1" x14ac:dyDescent="0.25">
      <c r="D10" s="29" t="s">
        <v>47</v>
      </c>
      <c r="E10" s="102" t="s">
        <v>48</v>
      </c>
      <c r="F10" s="102"/>
      <c r="G10" s="102"/>
      <c r="H10" s="30"/>
      <c r="I10" s="30"/>
      <c r="J10" s="30"/>
      <c r="K10" s="30"/>
      <c r="L10" s="30"/>
      <c r="M10" s="30"/>
      <c r="N10" s="30"/>
    </row>
    <row r="11" spans="1:14" ht="36.75" customHeight="1" x14ac:dyDescent="0.25">
      <c r="C11" s="28"/>
      <c r="D11" s="29" t="s">
        <v>42</v>
      </c>
      <c r="E11" s="102" t="s">
        <v>35</v>
      </c>
      <c r="F11" s="102"/>
      <c r="G11" s="102"/>
      <c r="H11" s="30"/>
      <c r="I11" s="30"/>
      <c r="J11" s="30"/>
      <c r="K11" s="30"/>
      <c r="L11" s="30"/>
      <c r="M11" s="30"/>
      <c r="N11" s="30"/>
    </row>
    <row r="12" spans="1:14" ht="36.75" customHeight="1" x14ac:dyDescent="0.25">
      <c r="C12" s="28"/>
      <c r="D12" s="29" t="s">
        <v>32</v>
      </c>
      <c r="E12" s="102"/>
      <c r="F12" s="102"/>
      <c r="G12" s="102"/>
      <c r="H12" s="30"/>
      <c r="I12" s="30"/>
      <c r="J12" s="30"/>
      <c r="K12" s="30"/>
      <c r="L12" s="30"/>
      <c r="M12" s="30"/>
    </row>
    <row r="13" spans="1:14" ht="36.75" customHeight="1" x14ac:dyDescent="0.25">
      <c r="C13" s="28"/>
      <c r="D13" s="104" t="s">
        <v>39</v>
      </c>
      <c r="E13" s="104"/>
      <c r="F13" s="104"/>
      <c r="G13" s="104"/>
      <c r="H13" s="30"/>
      <c r="I13" s="30"/>
      <c r="J13" s="30"/>
      <c r="K13" s="30"/>
      <c r="L13" s="30"/>
      <c r="M13" s="30"/>
    </row>
    <row r="14" spans="1:14" ht="36.75" customHeight="1" x14ac:dyDescent="0.25">
      <c r="C14" s="61"/>
      <c r="D14" s="79" t="s">
        <v>44</v>
      </c>
      <c r="E14" s="102" t="s">
        <v>50</v>
      </c>
      <c r="F14" s="102"/>
      <c r="G14" s="102"/>
      <c r="H14" s="30"/>
      <c r="I14" s="30"/>
      <c r="J14" s="30"/>
      <c r="K14" s="30"/>
      <c r="L14" s="30"/>
      <c r="M14" s="30"/>
      <c r="N14" s="30"/>
    </row>
    <row r="15" spans="1:14" x14ac:dyDescent="0.25">
      <c r="C15" s="28"/>
      <c r="D15" s="31"/>
      <c r="E15" s="32"/>
      <c r="F15" s="30"/>
      <c r="G15" s="30"/>
      <c r="H15" s="30"/>
      <c r="I15" s="30"/>
      <c r="J15" s="30"/>
      <c r="K15" s="30"/>
      <c r="L15" s="30"/>
      <c r="M15" s="30"/>
      <c r="N15" s="30"/>
    </row>
    <row r="17" spans="1:7" x14ac:dyDescent="0.25">
      <c r="A17" s="20" t="s">
        <v>51</v>
      </c>
      <c r="B17" s="26"/>
      <c r="C17" s="21"/>
      <c r="D17" s="26"/>
      <c r="E17" s="26"/>
      <c r="F17" s="26"/>
      <c r="G17" s="22" t="s">
        <v>45</v>
      </c>
    </row>
    <row r="20" spans="1:7" ht="15.75" x14ac:dyDescent="0.3">
      <c r="A20" s="34"/>
    </row>
  </sheetData>
  <mergeCells count="7">
    <mergeCell ref="E14:G14"/>
    <mergeCell ref="C4:G4"/>
    <mergeCell ref="E11:G11"/>
    <mergeCell ref="E12:G12"/>
    <mergeCell ref="E9:G9"/>
    <mergeCell ref="E10:G10"/>
    <mergeCell ref="D13:G13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/>
  </sheetPr>
  <dimension ref="A1:AA599"/>
  <sheetViews>
    <sheetView zoomScaleNormal="100" workbookViewId="0">
      <pane ySplit="6" topLeftCell="A190" activePane="bottomLeft" state="frozen"/>
      <selection activeCell="A150" sqref="A150"/>
      <selection pane="bottomLeft" activeCell="A215" sqref="A215"/>
    </sheetView>
  </sheetViews>
  <sheetFormatPr baseColWidth="10" defaultColWidth="10.7109375" defaultRowHeight="12.75" x14ac:dyDescent="0.2"/>
  <cols>
    <col min="1" max="2" width="10.7109375" style="1" customWidth="1"/>
    <col min="3" max="3" width="9.7109375" style="1" customWidth="1"/>
    <col min="4" max="9" width="9.42578125" style="1" customWidth="1"/>
    <col min="10" max="10" width="15" style="28" bestFit="1" customWidth="1"/>
    <col min="11" max="11" width="15" style="1" bestFit="1" customWidth="1"/>
    <col min="12" max="12" width="20.28515625" style="1" customWidth="1"/>
    <col min="13" max="13" width="10.7109375" style="1"/>
    <col min="14" max="14" width="10.7109375" style="46"/>
    <col min="15" max="16384" width="10.7109375" style="1"/>
  </cols>
  <sheetData>
    <row r="1" spans="1:27" ht="22.5" customHeight="1" x14ac:dyDescent="0.2">
      <c r="J1" s="1"/>
    </row>
    <row r="2" spans="1:27" ht="22.5" customHeight="1" x14ac:dyDescent="0.2">
      <c r="J2" s="1"/>
    </row>
    <row r="3" spans="1:27" ht="24.6" customHeight="1" x14ac:dyDescent="0.35">
      <c r="B3" s="33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8"/>
      <c r="K3" s="8"/>
      <c r="L3" s="8"/>
      <c r="O3" s="47"/>
    </row>
    <row r="4" spans="1:27" ht="15" customHeight="1" x14ac:dyDescent="0.2">
      <c r="A4" s="20" t="str">
        <f>Inicio!$A$17</f>
        <v>Actualizado el 13-07-2026</v>
      </c>
      <c r="B4" s="3"/>
      <c r="C4" s="3"/>
      <c r="D4" s="3"/>
      <c r="E4" s="3"/>
      <c r="F4" s="3"/>
      <c r="G4" s="3"/>
      <c r="H4" s="35"/>
      <c r="J4" s="12" t="s">
        <v>16</v>
      </c>
      <c r="O4" s="47"/>
    </row>
    <row r="5" spans="1:27" ht="18.75" customHeight="1" thickBot="1" x14ac:dyDescent="0.25">
      <c r="A5" s="17"/>
      <c r="B5" s="16"/>
      <c r="C5" s="105" t="s">
        <v>22</v>
      </c>
      <c r="D5" s="105"/>
      <c r="E5" s="105"/>
      <c r="F5" s="105"/>
      <c r="G5" s="105"/>
      <c r="H5" s="105"/>
      <c r="I5" s="105"/>
      <c r="J5" s="105"/>
      <c r="O5" s="47"/>
    </row>
    <row r="6" spans="1:27" ht="39" customHeight="1" thickTop="1" x14ac:dyDescent="0.2">
      <c r="A6" s="62" t="s">
        <v>1</v>
      </c>
      <c r="B6" s="19" t="s">
        <v>2</v>
      </c>
      <c r="C6" s="13" t="s">
        <v>19</v>
      </c>
      <c r="D6" s="13" t="s">
        <v>20</v>
      </c>
      <c r="E6" s="13" t="s">
        <v>21</v>
      </c>
      <c r="F6" s="13" t="s">
        <v>24</v>
      </c>
      <c r="G6" s="13" t="s">
        <v>46</v>
      </c>
      <c r="H6" s="13" t="s">
        <v>33</v>
      </c>
      <c r="I6" s="13" t="s">
        <v>34</v>
      </c>
      <c r="J6" s="64" t="s">
        <v>23</v>
      </c>
      <c r="L6" s="46"/>
      <c r="M6" s="47"/>
      <c r="N6" s="1"/>
    </row>
    <row r="7" spans="1:27" ht="12" customHeight="1" x14ac:dyDescent="0.2">
      <c r="A7" s="49">
        <v>2010</v>
      </c>
      <c r="B7" s="49" t="s">
        <v>3</v>
      </c>
      <c r="C7" s="65">
        <v>270.76522999999997</v>
      </c>
      <c r="D7" s="60">
        <v>60.59545</v>
      </c>
      <c r="E7" s="60">
        <v>781.19584000000009</v>
      </c>
      <c r="F7" s="60">
        <v>30.340689999999999</v>
      </c>
      <c r="G7" s="60"/>
      <c r="H7" s="60">
        <v>0</v>
      </c>
      <c r="I7" s="60"/>
      <c r="J7" s="65">
        <f t="shared" ref="J7:J38" si="0">SUM(C7:H7)</f>
        <v>1142.8972100000001</v>
      </c>
      <c r="K7" s="56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 ht="12" customHeight="1" x14ac:dyDescent="0.2">
      <c r="A8" s="49">
        <v>2010</v>
      </c>
      <c r="B8" s="49" t="s">
        <v>4</v>
      </c>
      <c r="C8" s="60">
        <v>308.13616000000002</v>
      </c>
      <c r="D8" s="60">
        <v>55.20149</v>
      </c>
      <c r="E8" s="60">
        <v>692.55597999999998</v>
      </c>
      <c r="F8" s="60">
        <v>18.119989999999998</v>
      </c>
      <c r="G8" s="60"/>
      <c r="H8" s="60">
        <v>0</v>
      </c>
      <c r="I8" s="60"/>
      <c r="J8" s="65">
        <f t="shared" si="0"/>
        <v>1074.0136199999999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2" customHeight="1" x14ac:dyDescent="0.2">
      <c r="A9" s="49">
        <v>2010</v>
      </c>
      <c r="B9" s="49" t="s">
        <v>5</v>
      </c>
      <c r="C9" s="60">
        <v>253.3749</v>
      </c>
      <c r="D9" s="60">
        <v>59.67474</v>
      </c>
      <c r="E9" s="60">
        <v>766.75840000000005</v>
      </c>
      <c r="F9" s="60">
        <v>37.682410000000004</v>
      </c>
      <c r="G9" s="60"/>
      <c r="H9" s="60">
        <v>0</v>
      </c>
      <c r="I9" s="60"/>
      <c r="J9" s="65">
        <f t="shared" si="0"/>
        <v>1117.4904500000002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2" customHeight="1" x14ac:dyDescent="0.2">
      <c r="A10" s="49">
        <v>2010</v>
      </c>
      <c r="B10" s="49" t="s">
        <v>6</v>
      </c>
      <c r="C10" s="60">
        <v>459.09389999999996</v>
      </c>
      <c r="D10" s="60">
        <v>19.350169999999999</v>
      </c>
      <c r="E10" s="60">
        <v>453.09243999999995</v>
      </c>
      <c r="F10" s="60">
        <v>51.771320000000003</v>
      </c>
      <c r="G10" s="60"/>
      <c r="H10" s="60">
        <v>0</v>
      </c>
      <c r="I10" s="60"/>
      <c r="J10" s="65">
        <f t="shared" si="0"/>
        <v>983.30782999999997</v>
      </c>
      <c r="K10" s="54"/>
      <c r="L10" s="56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27" ht="12" customHeight="1" x14ac:dyDescent="0.2">
      <c r="A11" s="49">
        <v>2010</v>
      </c>
      <c r="B11" s="49" t="s">
        <v>7</v>
      </c>
      <c r="C11" s="60">
        <v>323.11178999999998</v>
      </c>
      <c r="D11" s="60">
        <v>75.520839999999993</v>
      </c>
      <c r="E11" s="60">
        <v>609.43590000000006</v>
      </c>
      <c r="F11" s="60">
        <v>41.384730000000005</v>
      </c>
      <c r="G11" s="60"/>
      <c r="H11" s="60">
        <v>0</v>
      </c>
      <c r="I11" s="60"/>
      <c r="J11" s="65">
        <f t="shared" si="0"/>
        <v>1049.45326</v>
      </c>
      <c r="K11" s="54"/>
      <c r="L11" s="54"/>
      <c r="M11" s="54"/>
      <c r="N11" s="56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27" ht="12" customHeight="1" x14ac:dyDescent="0.2">
      <c r="A12" s="49">
        <v>2010</v>
      </c>
      <c r="B12" s="49" t="s">
        <v>8</v>
      </c>
      <c r="C12" s="60">
        <v>224.18412000000001</v>
      </c>
      <c r="D12" s="60">
        <v>12.77312</v>
      </c>
      <c r="E12" s="60">
        <v>518.81646999999998</v>
      </c>
      <c r="F12" s="60">
        <v>42.422449999999998</v>
      </c>
      <c r="G12" s="60"/>
      <c r="H12" s="60">
        <v>0</v>
      </c>
      <c r="I12" s="60"/>
      <c r="J12" s="65">
        <f t="shared" si="0"/>
        <v>798.19615999999996</v>
      </c>
      <c r="K12" s="54"/>
      <c r="L12" s="54"/>
      <c r="M12" s="54"/>
      <c r="N12" s="56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27" ht="12" customHeight="1" x14ac:dyDescent="0.2">
      <c r="A13" s="49">
        <v>2010</v>
      </c>
      <c r="B13" s="49" t="s">
        <v>9</v>
      </c>
      <c r="C13" s="60">
        <v>573.78631999999993</v>
      </c>
      <c r="D13" s="60">
        <v>37.296709999999997</v>
      </c>
      <c r="E13" s="60">
        <v>458.54158999999999</v>
      </c>
      <c r="F13" s="60">
        <v>51.457370000000004</v>
      </c>
      <c r="G13" s="60"/>
      <c r="H13" s="60">
        <v>0</v>
      </c>
      <c r="I13" s="60"/>
      <c r="J13" s="65">
        <f t="shared" si="0"/>
        <v>1121.0819899999999</v>
      </c>
      <c r="K13" s="54"/>
      <c r="L13" s="54"/>
      <c r="M13" s="54"/>
      <c r="N13" s="56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27" ht="12" customHeight="1" x14ac:dyDescent="0.2">
      <c r="A14" s="49">
        <v>2010</v>
      </c>
      <c r="B14" s="49" t="s">
        <v>10</v>
      </c>
      <c r="C14" s="60">
        <v>456.72356999999994</v>
      </c>
      <c r="D14" s="60">
        <v>63.681139999999999</v>
      </c>
      <c r="E14" s="60">
        <v>36.201920000000001</v>
      </c>
      <c r="F14" s="60">
        <v>36.428809999999999</v>
      </c>
      <c r="G14" s="60"/>
      <c r="H14" s="60">
        <v>0</v>
      </c>
      <c r="I14" s="60"/>
      <c r="J14" s="65">
        <f t="shared" si="0"/>
        <v>593.03543999999988</v>
      </c>
      <c r="K14" s="54"/>
      <c r="L14" s="54"/>
      <c r="M14" s="54"/>
      <c r="N14" s="56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2" customHeight="1" x14ac:dyDescent="0.2">
      <c r="A15" s="49">
        <v>2010</v>
      </c>
      <c r="B15" s="49" t="s">
        <v>11</v>
      </c>
      <c r="C15" s="60">
        <v>543.16840999999999</v>
      </c>
      <c r="D15" s="60">
        <v>52.496699999999997</v>
      </c>
      <c r="E15" s="60">
        <v>516.56061999999997</v>
      </c>
      <c r="F15" s="60">
        <v>61.258290000000002</v>
      </c>
      <c r="G15" s="60"/>
      <c r="H15" s="60">
        <v>0</v>
      </c>
      <c r="I15" s="60"/>
      <c r="J15" s="65">
        <f t="shared" si="0"/>
        <v>1173.4840200000001</v>
      </c>
      <c r="K15" s="54"/>
      <c r="L15" s="54"/>
      <c r="M15" s="54"/>
      <c r="N15" s="56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27" ht="12" customHeight="1" x14ac:dyDescent="0.2">
      <c r="A16" s="49">
        <v>2010</v>
      </c>
      <c r="B16" s="49" t="s">
        <v>12</v>
      </c>
      <c r="C16" s="60">
        <v>415.49789000000004</v>
      </c>
      <c r="D16" s="60">
        <v>9.8314800000000009</v>
      </c>
      <c r="E16" s="60">
        <v>527.29604999999992</v>
      </c>
      <c r="F16" s="60">
        <v>132.77558999999999</v>
      </c>
      <c r="G16" s="60"/>
      <c r="H16" s="60">
        <v>0</v>
      </c>
      <c r="I16" s="60"/>
      <c r="J16" s="65">
        <f t="shared" si="0"/>
        <v>1085.40101</v>
      </c>
      <c r="K16" s="54"/>
      <c r="L16" s="54"/>
      <c r="M16" s="54"/>
      <c r="N16" s="56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1:27" ht="12" customHeight="1" x14ac:dyDescent="0.2">
      <c r="A17" s="49">
        <v>2010</v>
      </c>
      <c r="B17" s="49" t="s">
        <v>13</v>
      </c>
      <c r="C17" s="60">
        <v>492.70957999999996</v>
      </c>
      <c r="D17" s="60">
        <v>52.256070000000001</v>
      </c>
      <c r="E17" s="60">
        <v>570.93554999999992</v>
      </c>
      <c r="F17" s="60">
        <v>151.8486</v>
      </c>
      <c r="G17" s="60"/>
      <c r="H17" s="60">
        <v>0</v>
      </c>
      <c r="I17" s="60"/>
      <c r="J17" s="65">
        <f t="shared" si="0"/>
        <v>1267.7497999999998</v>
      </c>
      <c r="K17" s="54"/>
      <c r="L17" s="54"/>
      <c r="M17" s="54"/>
      <c r="N17" s="56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spans="1:27" ht="12" customHeight="1" x14ac:dyDescent="0.2">
      <c r="A18" s="49">
        <v>2010</v>
      </c>
      <c r="B18" s="49" t="s">
        <v>14</v>
      </c>
      <c r="C18" s="60">
        <v>688.90190999999993</v>
      </c>
      <c r="D18" s="60">
        <v>54.228949999999998</v>
      </c>
      <c r="E18" s="60">
        <v>648.55042000000003</v>
      </c>
      <c r="F18" s="60">
        <v>63.869</v>
      </c>
      <c r="G18" s="60"/>
      <c r="H18" s="60">
        <v>0</v>
      </c>
      <c r="I18" s="60"/>
      <c r="J18" s="65">
        <f t="shared" si="0"/>
        <v>1455.5502799999999</v>
      </c>
      <c r="K18" s="54"/>
      <c r="L18" s="54"/>
      <c r="M18" s="54"/>
      <c r="N18" s="56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spans="1:27" ht="12" customHeight="1" x14ac:dyDescent="0.2">
      <c r="A19" s="49">
        <v>2010</v>
      </c>
      <c r="B19" s="49" t="s">
        <v>15</v>
      </c>
      <c r="C19" s="60">
        <f t="shared" ref="C19" si="1">SUM(C7:C18)</f>
        <v>5009.4537799999998</v>
      </c>
      <c r="D19" s="60">
        <f t="shared" ref="D19" si="2">SUM(D7:D18)</f>
        <v>552.90686000000005</v>
      </c>
      <c r="E19" s="60">
        <f t="shared" ref="E19" si="3">SUM(E7:E18)</f>
        <v>6579.9411799999998</v>
      </c>
      <c r="F19" s="60">
        <f t="shared" ref="F19" si="4">SUM(F7:F18)</f>
        <v>719.35925000000009</v>
      </c>
      <c r="G19" s="60"/>
      <c r="H19" s="60">
        <f t="shared" ref="H19" si="5">SUM(H7:H18)</f>
        <v>0</v>
      </c>
      <c r="I19" s="60"/>
      <c r="J19" s="65">
        <f t="shared" si="0"/>
        <v>12861.66107</v>
      </c>
      <c r="K19" s="55"/>
      <c r="L19" s="51"/>
      <c r="M19" s="54"/>
      <c r="N19" s="56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 ht="12" customHeight="1" x14ac:dyDescent="0.2">
      <c r="A20" s="49">
        <v>2011</v>
      </c>
      <c r="B20" s="49" t="s">
        <v>3</v>
      </c>
      <c r="C20" s="60">
        <v>482.33768000000003</v>
      </c>
      <c r="D20" s="60">
        <v>58.275750000000002</v>
      </c>
      <c r="E20" s="60">
        <v>791.14683000000002</v>
      </c>
      <c r="F20" s="60">
        <v>63.524000000000001</v>
      </c>
      <c r="G20" s="60"/>
      <c r="H20" s="60">
        <v>0</v>
      </c>
      <c r="I20" s="60"/>
      <c r="J20" s="65">
        <f t="shared" si="0"/>
        <v>1395.2842599999999</v>
      </c>
      <c r="K20" s="54"/>
      <c r="L20" s="54"/>
      <c r="M20" s="54"/>
      <c r="N20" s="56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 ht="12" customHeight="1" x14ac:dyDescent="0.2">
      <c r="A21" s="49">
        <v>2011</v>
      </c>
      <c r="B21" s="49" t="s">
        <v>4</v>
      </c>
      <c r="C21" s="60">
        <v>677.18687999999997</v>
      </c>
      <c r="D21" s="60">
        <v>25.502089999999999</v>
      </c>
      <c r="E21" s="60">
        <v>448.73328000000004</v>
      </c>
      <c r="F21" s="60">
        <v>91.788040000000009</v>
      </c>
      <c r="G21" s="60"/>
      <c r="H21" s="60">
        <v>0</v>
      </c>
      <c r="I21" s="60"/>
      <c r="J21" s="65">
        <f t="shared" si="0"/>
        <v>1243.21029</v>
      </c>
      <c r="K21" s="54"/>
      <c r="L21" s="54"/>
      <c r="M21" s="54"/>
      <c r="N21" s="56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 ht="12" customHeight="1" x14ac:dyDescent="0.2">
      <c r="A22" s="49">
        <v>2011</v>
      </c>
      <c r="B22" s="49" t="s">
        <v>5</v>
      </c>
      <c r="C22" s="60">
        <v>708.6417100000001</v>
      </c>
      <c r="D22" s="60">
        <v>112.48378</v>
      </c>
      <c r="E22" s="60">
        <v>547.80054000000007</v>
      </c>
      <c r="F22" s="60">
        <v>95.330669999999998</v>
      </c>
      <c r="G22" s="60"/>
      <c r="H22" s="60">
        <v>0</v>
      </c>
      <c r="I22" s="60"/>
      <c r="J22" s="65">
        <f t="shared" si="0"/>
        <v>1464.2567000000001</v>
      </c>
      <c r="K22" s="54"/>
      <c r="L22" s="54"/>
      <c r="M22" s="54"/>
      <c r="N22" s="56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 ht="12" customHeight="1" x14ac:dyDescent="0.2">
      <c r="A23" s="49">
        <v>2011</v>
      </c>
      <c r="B23" s="49" t="s">
        <v>6</v>
      </c>
      <c r="C23" s="60">
        <v>438.44445000000002</v>
      </c>
      <c r="D23" s="60">
        <v>44.998199999999997</v>
      </c>
      <c r="E23" s="60">
        <v>110.78866000000001</v>
      </c>
      <c r="F23" s="60">
        <v>127.25466</v>
      </c>
      <c r="G23" s="60"/>
      <c r="H23" s="60">
        <v>0</v>
      </c>
      <c r="I23" s="60"/>
      <c r="J23" s="65">
        <f t="shared" si="0"/>
        <v>721.48596999999995</v>
      </c>
      <c r="K23" s="54"/>
      <c r="L23" s="54"/>
      <c r="M23" s="54"/>
      <c r="N23" s="56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ht="12" customHeight="1" x14ac:dyDescent="0.2">
      <c r="A24" s="49">
        <v>2011</v>
      </c>
      <c r="B24" s="49" t="s">
        <v>7</v>
      </c>
      <c r="C24" s="60">
        <v>1095.2604100000001</v>
      </c>
      <c r="D24" s="60">
        <v>70.798749999999998</v>
      </c>
      <c r="E24" s="60">
        <v>213.23784000000003</v>
      </c>
      <c r="F24" s="60">
        <v>197.22278</v>
      </c>
      <c r="G24" s="60"/>
      <c r="H24" s="60">
        <v>0</v>
      </c>
      <c r="I24" s="60"/>
      <c r="J24" s="65">
        <f t="shared" si="0"/>
        <v>1576.5197800000001</v>
      </c>
      <c r="K24" s="54"/>
      <c r="L24" s="54"/>
      <c r="M24" s="54"/>
      <c r="N24" s="56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27" ht="12" customHeight="1" x14ac:dyDescent="0.2">
      <c r="A25" s="49">
        <v>2011</v>
      </c>
      <c r="B25" s="49" t="s">
        <v>8</v>
      </c>
      <c r="C25" s="60">
        <v>371.72588999999999</v>
      </c>
      <c r="D25" s="60">
        <v>0</v>
      </c>
      <c r="E25" s="60">
        <v>88.114020000000011</v>
      </c>
      <c r="F25" s="60">
        <v>144.10910999999999</v>
      </c>
      <c r="G25" s="60"/>
      <c r="H25" s="60">
        <v>0</v>
      </c>
      <c r="I25" s="60"/>
      <c r="J25" s="65">
        <f t="shared" si="0"/>
        <v>603.94902000000002</v>
      </c>
      <c r="K25" s="54"/>
      <c r="L25" s="54"/>
      <c r="M25" s="54"/>
      <c r="N25" s="56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 ht="12" customHeight="1" x14ac:dyDescent="0.2">
      <c r="A26" s="49">
        <v>2011</v>
      </c>
      <c r="B26" s="49" t="s">
        <v>9</v>
      </c>
      <c r="C26" s="60">
        <v>299.34699999999998</v>
      </c>
      <c r="D26" s="60">
        <v>0</v>
      </c>
      <c r="E26" s="60">
        <v>35.667000000000002</v>
      </c>
      <c r="F26" s="60">
        <v>304.714</v>
      </c>
      <c r="G26" s="60"/>
      <c r="H26" s="60">
        <v>0</v>
      </c>
      <c r="I26" s="60"/>
      <c r="J26" s="65">
        <f t="shared" si="0"/>
        <v>639.72800000000007</v>
      </c>
      <c r="K26" s="54"/>
      <c r="L26" s="54"/>
      <c r="M26" s="54"/>
      <c r="N26" s="56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 ht="12" customHeight="1" x14ac:dyDescent="0.2">
      <c r="A27" s="49">
        <v>2011</v>
      </c>
      <c r="B27" s="49" t="s">
        <v>10</v>
      </c>
      <c r="C27" s="60">
        <v>494.23203000000001</v>
      </c>
      <c r="D27" s="60">
        <v>0</v>
      </c>
      <c r="E27" s="60">
        <v>0.15039</v>
      </c>
      <c r="F27" s="60">
        <v>277.14168000000001</v>
      </c>
      <c r="G27" s="60"/>
      <c r="H27" s="60">
        <v>0</v>
      </c>
      <c r="I27" s="60"/>
      <c r="J27" s="65">
        <f t="shared" si="0"/>
        <v>771.52410000000009</v>
      </c>
      <c r="K27" s="54"/>
      <c r="L27" s="54"/>
      <c r="M27" s="54"/>
      <c r="N27" s="56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 ht="12" customHeight="1" x14ac:dyDescent="0.2">
      <c r="A28" s="49">
        <v>2011</v>
      </c>
      <c r="B28" s="49" t="s">
        <v>11</v>
      </c>
      <c r="C28" s="60">
        <v>559.94000000000005</v>
      </c>
      <c r="D28" s="60">
        <v>0</v>
      </c>
      <c r="E28" s="60">
        <v>0</v>
      </c>
      <c r="F28" s="60">
        <v>312.58299</v>
      </c>
      <c r="G28" s="60"/>
      <c r="H28" s="60">
        <v>0</v>
      </c>
      <c r="I28" s="60"/>
      <c r="J28" s="65">
        <f t="shared" si="0"/>
        <v>872.52299000000005</v>
      </c>
      <c r="K28" s="54"/>
      <c r="L28" s="54"/>
      <c r="M28" s="54"/>
      <c r="N28" s="56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 ht="12" customHeight="1" x14ac:dyDescent="0.2">
      <c r="A29" s="49">
        <v>2011</v>
      </c>
      <c r="B29" s="49" t="s">
        <v>12</v>
      </c>
      <c r="C29" s="60">
        <v>379.67128000000002</v>
      </c>
      <c r="D29" s="60">
        <v>68.62227</v>
      </c>
      <c r="E29" s="60">
        <v>0</v>
      </c>
      <c r="F29" s="60">
        <v>329.33466999999996</v>
      </c>
      <c r="G29" s="60"/>
      <c r="H29" s="60">
        <v>0</v>
      </c>
      <c r="I29" s="60"/>
      <c r="J29" s="65">
        <f t="shared" si="0"/>
        <v>777.62822000000006</v>
      </c>
      <c r="K29" s="54"/>
      <c r="L29" s="54"/>
      <c r="M29" s="54"/>
      <c r="N29" s="56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12" customHeight="1" x14ac:dyDescent="0.2">
      <c r="A30" s="49">
        <v>2011</v>
      </c>
      <c r="B30" s="49" t="s">
        <v>13</v>
      </c>
      <c r="C30" s="60">
        <v>194.75835999999998</v>
      </c>
      <c r="D30" s="60">
        <v>0</v>
      </c>
      <c r="E30" s="60">
        <v>0</v>
      </c>
      <c r="F30" s="60">
        <v>298.22928000000002</v>
      </c>
      <c r="G30" s="60"/>
      <c r="H30" s="60">
        <v>0</v>
      </c>
      <c r="I30" s="60"/>
      <c r="J30" s="65">
        <f t="shared" si="0"/>
        <v>492.98764</v>
      </c>
      <c r="K30" s="54"/>
      <c r="L30" s="54"/>
      <c r="M30" s="54"/>
      <c r="N30" s="56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12" customHeight="1" x14ac:dyDescent="0.2">
      <c r="A31" s="49">
        <v>2011</v>
      </c>
      <c r="B31" s="49" t="s">
        <v>14</v>
      </c>
      <c r="C31" s="60">
        <v>178.74948999999998</v>
      </c>
      <c r="D31" s="60">
        <v>0</v>
      </c>
      <c r="E31" s="60">
        <v>0</v>
      </c>
      <c r="F31" s="60">
        <v>318.75</v>
      </c>
      <c r="G31" s="60"/>
      <c r="H31" s="60">
        <v>0</v>
      </c>
      <c r="I31" s="60"/>
      <c r="J31" s="65">
        <f t="shared" si="0"/>
        <v>497.49948999999998</v>
      </c>
      <c r="K31" s="54"/>
      <c r="L31" s="54"/>
      <c r="M31" s="54"/>
      <c r="N31" s="56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12" customHeight="1" x14ac:dyDescent="0.2">
      <c r="A32" s="49">
        <v>2011</v>
      </c>
      <c r="B32" s="49" t="s">
        <v>15</v>
      </c>
      <c r="C32" s="60">
        <f t="shared" ref="C32" si="6">SUM(C20:C31)</f>
        <v>5880.295180000001</v>
      </c>
      <c r="D32" s="60">
        <f t="shared" ref="D32" si="7">SUM(D20:D31)</f>
        <v>380.68083999999999</v>
      </c>
      <c r="E32" s="60">
        <f t="shared" ref="E32" si="8">SUM(E20:E31)</f>
        <v>2235.6385599999999</v>
      </c>
      <c r="F32" s="60">
        <f t="shared" ref="F32" si="9">SUM(F20:F31)</f>
        <v>2559.9818800000003</v>
      </c>
      <c r="G32" s="60"/>
      <c r="H32" s="60">
        <f t="shared" ref="H32" si="10">SUM(H20:H31)</f>
        <v>0</v>
      </c>
      <c r="I32" s="60"/>
      <c r="J32" s="65">
        <f t="shared" si="0"/>
        <v>11056.596460000001</v>
      </c>
      <c r="K32" s="55"/>
      <c r="L32" s="51"/>
      <c r="M32" s="54"/>
      <c r="N32" s="5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 ht="12" customHeight="1" x14ac:dyDescent="0.2">
      <c r="A33" s="49">
        <v>2012</v>
      </c>
      <c r="B33" s="49" t="s">
        <v>3</v>
      </c>
      <c r="C33" s="60">
        <v>830.43385000000001</v>
      </c>
      <c r="D33" s="60">
        <v>0</v>
      </c>
      <c r="E33" s="60">
        <v>0</v>
      </c>
      <c r="F33" s="60">
        <v>341.80640999999997</v>
      </c>
      <c r="G33" s="60"/>
      <c r="H33" s="60">
        <v>0</v>
      </c>
      <c r="I33" s="60"/>
      <c r="J33" s="65">
        <f t="shared" si="0"/>
        <v>1172.24026</v>
      </c>
      <c r="K33" s="54"/>
      <c r="L33" s="54"/>
      <c r="M33" s="54"/>
      <c r="N33" s="56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2" customHeight="1" x14ac:dyDescent="0.2">
      <c r="A34" s="49">
        <v>2012</v>
      </c>
      <c r="B34" s="49" t="s">
        <v>4</v>
      </c>
      <c r="C34" s="60">
        <v>707.3800500000001</v>
      </c>
      <c r="D34" s="60">
        <v>5.7498900000000006</v>
      </c>
      <c r="E34" s="60">
        <v>24.83972</v>
      </c>
      <c r="F34" s="60">
        <v>282.31511999999998</v>
      </c>
      <c r="G34" s="60"/>
      <c r="H34" s="60">
        <v>0</v>
      </c>
      <c r="I34" s="60"/>
      <c r="J34" s="65">
        <f t="shared" si="0"/>
        <v>1020.2847800000002</v>
      </c>
      <c r="K34" s="54"/>
      <c r="L34" s="54"/>
      <c r="M34" s="54"/>
      <c r="N34" s="56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12" customHeight="1" x14ac:dyDescent="0.2">
      <c r="A35" s="49">
        <v>2012</v>
      </c>
      <c r="B35" s="49" t="s">
        <v>5</v>
      </c>
      <c r="C35" s="60">
        <v>310.69936000000001</v>
      </c>
      <c r="D35" s="60">
        <v>0</v>
      </c>
      <c r="E35" s="60">
        <v>0</v>
      </c>
      <c r="F35" s="60">
        <v>355.18083000000001</v>
      </c>
      <c r="G35" s="60"/>
      <c r="H35" s="60">
        <v>0</v>
      </c>
      <c r="I35" s="60"/>
      <c r="J35" s="65">
        <f t="shared" si="0"/>
        <v>665.88019000000008</v>
      </c>
      <c r="K35" s="54"/>
      <c r="L35" s="54"/>
      <c r="M35" s="54"/>
      <c r="N35" s="56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 ht="12" customHeight="1" x14ac:dyDescent="0.2">
      <c r="A36" s="49">
        <v>2012</v>
      </c>
      <c r="B36" s="49" t="s">
        <v>6</v>
      </c>
      <c r="C36" s="60">
        <v>280.35670999999996</v>
      </c>
      <c r="D36" s="60">
        <v>0</v>
      </c>
      <c r="E36" s="60">
        <v>0</v>
      </c>
      <c r="F36" s="60">
        <v>270.60000000000002</v>
      </c>
      <c r="G36" s="60"/>
      <c r="H36" s="60">
        <v>0</v>
      </c>
      <c r="I36" s="60"/>
      <c r="J36" s="65">
        <f t="shared" si="0"/>
        <v>550.95670999999993</v>
      </c>
      <c r="K36" s="54"/>
      <c r="L36" s="54"/>
      <c r="M36" s="54"/>
      <c r="N36" s="56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:27" ht="12" customHeight="1" x14ac:dyDescent="0.2">
      <c r="A37" s="49">
        <v>2012</v>
      </c>
      <c r="B37" s="49" t="s">
        <v>7</v>
      </c>
      <c r="C37" s="60">
        <v>142.65173999999999</v>
      </c>
      <c r="D37" s="60">
        <v>0</v>
      </c>
      <c r="E37" s="60">
        <v>0</v>
      </c>
      <c r="F37" s="60">
        <v>291.11</v>
      </c>
      <c r="G37" s="60"/>
      <c r="H37" s="60">
        <v>0</v>
      </c>
      <c r="I37" s="60"/>
      <c r="J37" s="65">
        <f t="shared" si="0"/>
        <v>433.76174000000003</v>
      </c>
      <c r="K37" s="54"/>
      <c r="L37" s="54"/>
      <c r="M37" s="54"/>
      <c r="N37" s="56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 ht="12" customHeight="1" x14ac:dyDescent="0.2">
      <c r="A38" s="49">
        <v>2012</v>
      </c>
      <c r="B38" s="49" t="s">
        <v>8</v>
      </c>
      <c r="C38" s="60">
        <v>253.34</v>
      </c>
      <c r="D38" s="60">
        <v>0</v>
      </c>
      <c r="E38" s="60">
        <v>0</v>
      </c>
      <c r="F38" s="60">
        <v>250.85</v>
      </c>
      <c r="G38" s="60"/>
      <c r="H38" s="60">
        <v>0</v>
      </c>
      <c r="I38" s="60"/>
      <c r="J38" s="65">
        <f t="shared" si="0"/>
        <v>504.19</v>
      </c>
      <c r="K38" s="54"/>
      <c r="L38" s="54"/>
      <c r="M38" s="54"/>
      <c r="N38" s="56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2" customHeight="1" x14ac:dyDescent="0.2">
      <c r="A39" s="49">
        <v>2012</v>
      </c>
      <c r="B39" s="49" t="s">
        <v>9</v>
      </c>
      <c r="C39" s="60">
        <v>327.05399999999997</v>
      </c>
      <c r="D39" s="60">
        <v>0</v>
      </c>
      <c r="E39" s="60">
        <v>0</v>
      </c>
      <c r="F39" s="60">
        <v>346.8</v>
      </c>
      <c r="G39" s="60"/>
      <c r="H39" s="60">
        <v>0</v>
      </c>
      <c r="I39" s="60"/>
      <c r="J39" s="65">
        <f t="shared" ref="J39:J58" si="11">SUM(C39:H39)</f>
        <v>673.85400000000004</v>
      </c>
      <c r="K39" s="54"/>
      <c r="L39" s="54"/>
      <c r="M39" s="54"/>
      <c r="N39" s="56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1:27" ht="12" customHeight="1" x14ac:dyDescent="0.2">
      <c r="A40" s="49">
        <v>2012</v>
      </c>
      <c r="B40" s="49" t="s">
        <v>10</v>
      </c>
      <c r="C40" s="60">
        <v>352.50079999999997</v>
      </c>
      <c r="D40" s="60">
        <v>0</v>
      </c>
      <c r="E40" s="60">
        <v>69.3</v>
      </c>
      <c r="F40" s="60">
        <v>251.5</v>
      </c>
      <c r="G40" s="60"/>
      <c r="H40" s="60">
        <v>0</v>
      </c>
      <c r="I40" s="60"/>
      <c r="J40" s="65">
        <f t="shared" si="11"/>
        <v>673.30079999999998</v>
      </c>
      <c r="K40" s="54"/>
      <c r="L40" s="54"/>
      <c r="M40" s="54"/>
      <c r="N40" s="56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1:27" ht="12" customHeight="1" x14ac:dyDescent="0.2">
      <c r="A41" s="49">
        <v>2012</v>
      </c>
      <c r="B41" s="49" t="s">
        <v>11</v>
      </c>
      <c r="C41" s="60">
        <v>446.75220000000002</v>
      </c>
      <c r="D41" s="60">
        <v>0</v>
      </c>
      <c r="E41" s="60">
        <v>0</v>
      </c>
      <c r="F41" s="60">
        <v>291</v>
      </c>
      <c r="G41" s="60"/>
      <c r="H41" s="60">
        <v>0</v>
      </c>
      <c r="I41" s="60"/>
      <c r="J41" s="65">
        <f t="shared" si="11"/>
        <v>737.75220000000002</v>
      </c>
      <c r="K41" s="54"/>
      <c r="L41" s="54"/>
      <c r="M41" s="54"/>
      <c r="N41" s="56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1:27" ht="12" customHeight="1" x14ac:dyDescent="0.2">
      <c r="A42" s="49">
        <v>2012</v>
      </c>
      <c r="B42" s="49" t="s">
        <v>12</v>
      </c>
      <c r="C42" s="60">
        <v>440.11759999999998</v>
      </c>
      <c r="D42" s="60">
        <v>43.264199999999995</v>
      </c>
      <c r="E42" s="60">
        <v>26.94989</v>
      </c>
      <c r="F42" s="60">
        <v>315.5</v>
      </c>
      <c r="G42" s="60"/>
      <c r="H42" s="60">
        <v>0</v>
      </c>
      <c r="I42" s="60"/>
      <c r="J42" s="65">
        <f t="shared" si="11"/>
        <v>825.83168999999998</v>
      </c>
      <c r="K42" s="54"/>
      <c r="L42" s="54"/>
      <c r="M42" s="54"/>
      <c r="N42" s="56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1:27" ht="12" customHeight="1" x14ac:dyDescent="0.2">
      <c r="A43" s="49">
        <v>2012</v>
      </c>
      <c r="B43" s="49" t="s">
        <v>13</v>
      </c>
      <c r="C43" s="60">
        <v>321.51979999999998</v>
      </c>
      <c r="D43" s="60">
        <v>44.756070000000001</v>
      </c>
      <c r="E43" s="60">
        <v>28.874880000000001</v>
      </c>
      <c r="F43" s="60">
        <v>340</v>
      </c>
      <c r="G43" s="60"/>
      <c r="H43" s="60">
        <v>0</v>
      </c>
      <c r="I43" s="60"/>
      <c r="J43" s="65">
        <f t="shared" si="11"/>
        <v>735.15075000000002</v>
      </c>
      <c r="K43" s="54"/>
      <c r="L43" s="54"/>
      <c r="M43" s="54"/>
      <c r="N43" s="56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:27" ht="12" customHeight="1" x14ac:dyDescent="0.2">
      <c r="A44" s="49">
        <v>2012</v>
      </c>
      <c r="B44" s="49" t="s">
        <v>14</v>
      </c>
      <c r="C44" s="60">
        <v>292.51340000000005</v>
      </c>
      <c r="D44" s="60">
        <v>0</v>
      </c>
      <c r="E44" s="60">
        <v>0</v>
      </c>
      <c r="F44" s="60">
        <v>288.8</v>
      </c>
      <c r="G44" s="60"/>
      <c r="H44" s="60">
        <v>0</v>
      </c>
      <c r="I44" s="60"/>
      <c r="J44" s="65">
        <f t="shared" si="11"/>
        <v>581.3134</v>
      </c>
      <c r="K44" s="54"/>
      <c r="L44" s="54"/>
      <c r="M44" s="54"/>
      <c r="N44" s="56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27" ht="12" customHeight="1" x14ac:dyDescent="0.2">
      <c r="A45" s="49">
        <v>2012</v>
      </c>
      <c r="B45" s="49" t="s">
        <v>15</v>
      </c>
      <c r="C45" s="60">
        <f t="shared" ref="C45" si="12">SUM(C33:C44)</f>
        <v>4705.3195099999994</v>
      </c>
      <c r="D45" s="60">
        <f t="shared" ref="D45" si="13">SUM(D33:D44)</f>
        <v>93.770160000000004</v>
      </c>
      <c r="E45" s="60">
        <f t="shared" ref="E45" si="14">SUM(E33:E44)</f>
        <v>149.96448999999998</v>
      </c>
      <c r="F45" s="60">
        <f t="shared" ref="F45" si="15">SUM(F33:F44)</f>
        <v>3625.4623600000004</v>
      </c>
      <c r="G45" s="60"/>
      <c r="H45" s="60">
        <f t="shared" ref="H45" si="16">SUM(H33:H44)</f>
        <v>0</v>
      </c>
      <c r="I45" s="60"/>
      <c r="J45" s="65">
        <f t="shared" si="11"/>
        <v>8574.516520000001</v>
      </c>
      <c r="K45" s="55"/>
      <c r="L45" s="51"/>
      <c r="M45" s="54"/>
      <c r="N45" s="56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ht="12" customHeight="1" x14ac:dyDescent="0.2">
      <c r="A46" s="49">
        <v>2013</v>
      </c>
      <c r="B46" s="49" t="s">
        <v>3</v>
      </c>
      <c r="C46" s="60">
        <v>68.95</v>
      </c>
      <c r="D46" s="60">
        <v>0</v>
      </c>
      <c r="E46" s="60">
        <v>0</v>
      </c>
      <c r="F46" s="60">
        <v>406.0102</v>
      </c>
      <c r="G46" s="60"/>
      <c r="H46" s="60">
        <v>0</v>
      </c>
      <c r="I46" s="60"/>
      <c r="J46" s="65">
        <f t="shared" si="11"/>
        <v>474.96019999999999</v>
      </c>
      <c r="K46" s="54"/>
      <c r="L46" s="54"/>
      <c r="M46" s="54"/>
      <c r="N46" s="56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1:27" ht="12" customHeight="1" x14ac:dyDescent="0.2">
      <c r="A47" s="49">
        <v>2013</v>
      </c>
      <c r="B47" s="49" t="s">
        <v>4</v>
      </c>
      <c r="C47" s="60">
        <v>35.392000000000003</v>
      </c>
      <c r="D47" s="60">
        <v>0</v>
      </c>
      <c r="E47" s="60">
        <v>0</v>
      </c>
      <c r="F47" s="60">
        <v>294</v>
      </c>
      <c r="G47" s="60"/>
      <c r="H47" s="60">
        <v>0</v>
      </c>
      <c r="I47" s="60"/>
      <c r="J47" s="65">
        <f t="shared" si="11"/>
        <v>329.392</v>
      </c>
      <c r="K47" s="54"/>
      <c r="L47" s="54"/>
      <c r="M47" s="54"/>
      <c r="N47" s="56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27" ht="12" customHeight="1" x14ac:dyDescent="0.2">
      <c r="A48" s="49">
        <v>2013</v>
      </c>
      <c r="B48" s="49" t="s">
        <v>5</v>
      </c>
      <c r="C48" s="60">
        <v>29.376000000000001</v>
      </c>
      <c r="D48" s="60">
        <v>0</v>
      </c>
      <c r="E48" s="60">
        <v>34.107529999999997</v>
      </c>
      <c r="F48" s="60">
        <v>320.3</v>
      </c>
      <c r="G48" s="60"/>
      <c r="H48" s="60">
        <v>122.45</v>
      </c>
      <c r="I48" s="60"/>
      <c r="J48" s="65">
        <f t="shared" si="11"/>
        <v>506.23353000000003</v>
      </c>
      <c r="K48" s="54"/>
      <c r="L48" s="54"/>
      <c r="M48" s="54"/>
      <c r="N48" s="56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1:27" ht="12" customHeight="1" x14ac:dyDescent="0.2">
      <c r="A49" s="49">
        <v>2013</v>
      </c>
      <c r="B49" s="49" t="s">
        <v>6</v>
      </c>
      <c r="C49" s="60">
        <v>48.2</v>
      </c>
      <c r="D49" s="60">
        <v>0</v>
      </c>
      <c r="E49" s="60">
        <v>758.18912999999998</v>
      </c>
      <c r="F49" s="60">
        <v>291</v>
      </c>
      <c r="G49" s="60"/>
      <c r="H49" s="60">
        <v>495.98021999999997</v>
      </c>
      <c r="I49" s="60"/>
      <c r="J49" s="65">
        <f t="shared" si="11"/>
        <v>1593.3693499999999</v>
      </c>
      <c r="K49" s="54"/>
      <c r="L49" s="54"/>
      <c r="M49" s="54"/>
      <c r="N49" s="56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1:27" ht="12" customHeight="1" x14ac:dyDescent="0.2">
      <c r="A50" s="49">
        <v>2013</v>
      </c>
      <c r="B50" s="49" t="s">
        <v>7</v>
      </c>
      <c r="C50" s="60">
        <v>49.8</v>
      </c>
      <c r="D50" s="60">
        <v>0</v>
      </c>
      <c r="E50" s="60">
        <v>1731.1518199999998</v>
      </c>
      <c r="F50" s="60">
        <v>226.1</v>
      </c>
      <c r="G50" s="60"/>
      <c r="H50" s="60">
        <v>243.05</v>
      </c>
      <c r="I50" s="60"/>
      <c r="J50" s="65">
        <f t="shared" si="11"/>
        <v>2250.1018199999999</v>
      </c>
      <c r="K50" s="54"/>
      <c r="L50" s="54"/>
      <c r="M50" s="54"/>
      <c r="N50" s="56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1:27" ht="12" customHeight="1" x14ac:dyDescent="0.2">
      <c r="A51" s="49">
        <v>2013</v>
      </c>
      <c r="B51" s="49" t="s">
        <v>8</v>
      </c>
      <c r="C51" s="60">
        <v>48.1</v>
      </c>
      <c r="D51" s="60">
        <v>0</v>
      </c>
      <c r="E51" s="60">
        <v>456.72189000000009</v>
      </c>
      <c r="F51" s="60">
        <v>243.95</v>
      </c>
      <c r="G51" s="60"/>
      <c r="H51" s="60">
        <v>178.5</v>
      </c>
      <c r="I51" s="60"/>
      <c r="J51" s="65">
        <f t="shared" si="11"/>
        <v>927.2718900000001</v>
      </c>
      <c r="K51" s="54"/>
      <c r="L51" s="54"/>
      <c r="M51" s="54"/>
      <c r="N51" s="56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2" customHeight="1" x14ac:dyDescent="0.2">
      <c r="A52" s="49">
        <v>2013</v>
      </c>
      <c r="B52" s="49" t="s">
        <v>9</v>
      </c>
      <c r="C52" s="60">
        <v>49.7</v>
      </c>
      <c r="D52" s="60">
        <v>0</v>
      </c>
      <c r="E52" s="60">
        <v>463.70471999999995</v>
      </c>
      <c r="F52" s="60">
        <v>226.1</v>
      </c>
      <c r="G52" s="60"/>
      <c r="H52" s="60">
        <v>77.349999999999994</v>
      </c>
      <c r="I52" s="60"/>
      <c r="J52" s="65">
        <f t="shared" si="11"/>
        <v>816.85472000000004</v>
      </c>
      <c r="K52" s="54"/>
      <c r="L52" s="54"/>
      <c r="M52" s="54"/>
      <c r="N52" s="56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1:27" ht="12" customHeight="1" x14ac:dyDescent="0.2">
      <c r="A53" s="49">
        <v>2013</v>
      </c>
      <c r="B53" s="49" t="s">
        <v>10</v>
      </c>
      <c r="C53" s="60">
        <v>43.6</v>
      </c>
      <c r="D53" s="60">
        <v>0</v>
      </c>
      <c r="E53" s="60">
        <v>468.70675</v>
      </c>
      <c r="F53" s="60">
        <v>248.4</v>
      </c>
      <c r="G53" s="60"/>
      <c r="H53" s="60">
        <v>92.224999999999994</v>
      </c>
      <c r="I53" s="60"/>
      <c r="J53" s="65">
        <f t="shared" si="11"/>
        <v>852.93174999999997</v>
      </c>
      <c r="K53" s="54"/>
      <c r="L53" s="54"/>
      <c r="M53" s="54"/>
      <c r="N53" s="56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spans="1:27" x14ac:dyDescent="0.2">
      <c r="A54" s="49">
        <v>2013</v>
      </c>
      <c r="B54" s="49" t="s">
        <v>11</v>
      </c>
      <c r="C54" s="60">
        <v>47.000010000000003</v>
      </c>
      <c r="D54" s="60">
        <v>0</v>
      </c>
      <c r="E54" s="60">
        <v>635.93331000000001</v>
      </c>
      <c r="F54" s="60">
        <v>274.8</v>
      </c>
      <c r="G54" s="60"/>
      <c r="H54" s="60">
        <v>90</v>
      </c>
      <c r="I54" s="60"/>
      <c r="J54" s="65">
        <f t="shared" si="11"/>
        <v>1047.73332</v>
      </c>
      <c r="K54" s="54"/>
      <c r="L54" s="54"/>
      <c r="M54" s="54"/>
      <c r="N54" s="56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spans="1:27" x14ac:dyDescent="0.2">
      <c r="A55" s="49">
        <v>2013</v>
      </c>
      <c r="B55" s="49" t="s">
        <v>12</v>
      </c>
      <c r="C55" s="60">
        <v>67.899990000000003</v>
      </c>
      <c r="D55" s="60">
        <v>0</v>
      </c>
      <c r="E55" s="60">
        <v>336.64555999999993</v>
      </c>
      <c r="F55" s="60">
        <v>282.10000000000002</v>
      </c>
      <c r="G55" s="60"/>
      <c r="H55" s="60">
        <v>79.05</v>
      </c>
      <c r="I55" s="60"/>
      <c r="J55" s="65">
        <f t="shared" si="11"/>
        <v>765.69554999999991</v>
      </c>
      <c r="K55" s="54"/>
      <c r="L55" s="54"/>
      <c r="M55" s="54"/>
      <c r="N55" s="56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1:27" x14ac:dyDescent="0.2">
      <c r="A56" s="49">
        <v>2013</v>
      </c>
      <c r="B56" s="49" t="s">
        <v>13</v>
      </c>
      <c r="C56" s="60">
        <v>47.822760000000002</v>
      </c>
      <c r="D56" s="60">
        <v>0</v>
      </c>
      <c r="E56" s="60">
        <v>72.428699999999992</v>
      </c>
      <c r="F56" s="60">
        <v>290.89999999999998</v>
      </c>
      <c r="G56" s="60"/>
      <c r="H56" s="60">
        <v>89.25</v>
      </c>
      <c r="I56" s="60"/>
      <c r="J56" s="65">
        <f t="shared" si="11"/>
        <v>500.40145999999999</v>
      </c>
      <c r="K56" s="54"/>
      <c r="L56" s="54"/>
      <c r="M56" s="54"/>
      <c r="N56" s="56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spans="1:27" ht="12" customHeight="1" x14ac:dyDescent="0.2">
      <c r="A57" s="49">
        <v>2013</v>
      </c>
      <c r="B57" s="49" t="s">
        <v>14</v>
      </c>
      <c r="C57" s="60">
        <v>57.162790000000001</v>
      </c>
      <c r="D57" s="60">
        <v>0</v>
      </c>
      <c r="E57" s="60">
        <v>9.3241800000000001</v>
      </c>
      <c r="F57" s="60">
        <v>264.3</v>
      </c>
      <c r="G57" s="60"/>
      <c r="H57" s="60">
        <v>113.69551</v>
      </c>
      <c r="I57" s="60"/>
      <c r="J57" s="65">
        <f t="shared" si="11"/>
        <v>444.48248000000001</v>
      </c>
      <c r="K57" s="54"/>
      <c r="L57" s="54"/>
      <c r="M57" s="54"/>
      <c r="N57" s="56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spans="1:27" ht="12" customHeight="1" x14ac:dyDescent="0.2">
      <c r="A58" s="49">
        <v>2013</v>
      </c>
      <c r="B58" s="49" t="s">
        <v>15</v>
      </c>
      <c r="C58" s="60">
        <f>SUM(C46:C57)</f>
        <v>593.00355000000002</v>
      </c>
      <c r="D58" s="60">
        <f t="shared" ref="D58" si="17">SUM(D46:D57)</f>
        <v>0</v>
      </c>
      <c r="E58" s="60">
        <f t="shared" ref="E58" si="18">SUM(E46:E57)</f>
        <v>4966.9135900000001</v>
      </c>
      <c r="F58" s="60">
        <f t="shared" ref="F58" si="19">SUM(F46:F57)</f>
        <v>3367.9602</v>
      </c>
      <c r="G58" s="60"/>
      <c r="H58" s="60">
        <f t="shared" ref="H58" si="20">SUM(H46:H57)</f>
        <v>1581.5507299999997</v>
      </c>
      <c r="I58" s="60"/>
      <c r="J58" s="65">
        <f t="shared" si="11"/>
        <v>10509.42807</v>
      </c>
      <c r="K58" s="55"/>
      <c r="L58" s="51"/>
      <c r="M58" s="54"/>
      <c r="N58" s="56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spans="1:27" ht="12" customHeight="1" x14ac:dyDescent="0.2">
      <c r="A59" s="49">
        <v>2014</v>
      </c>
      <c r="B59" s="49" t="s">
        <v>3</v>
      </c>
      <c r="C59" s="60">
        <v>32.200000000000003</v>
      </c>
      <c r="D59" s="60">
        <v>0</v>
      </c>
      <c r="E59" s="60">
        <v>158.17648</v>
      </c>
      <c r="F59" s="60">
        <v>271.60000000000002</v>
      </c>
      <c r="G59" s="60">
        <v>0</v>
      </c>
      <c r="H59" s="60">
        <v>215.72270999999998</v>
      </c>
      <c r="I59" s="60">
        <v>0</v>
      </c>
      <c r="J59" s="65">
        <v>677.69919000000004</v>
      </c>
      <c r="K59" s="54"/>
      <c r="L59" s="54"/>
      <c r="M59" s="54"/>
      <c r="N59" s="56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spans="1:27" ht="12" customHeight="1" x14ac:dyDescent="0.2">
      <c r="A60" s="49">
        <v>2014</v>
      </c>
      <c r="B60" s="49" t="s">
        <v>4</v>
      </c>
      <c r="C60" s="60">
        <v>30.2</v>
      </c>
      <c r="D60" s="60">
        <v>0</v>
      </c>
      <c r="E60" s="60">
        <v>11.740440000000001</v>
      </c>
      <c r="F60" s="60">
        <v>282.3</v>
      </c>
      <c r="G60" s="60">
        <v>0</v>
      </c>
      <c r="H60" s="60">
        <v>103.6</v>
      </c>
      <c r="I60" s="60">
        <v>0</v>
      </c>
      <c r="J60" s="65">
        <v>427.84044000000006</v>
      </c>
      <c r="K60" s="54"/>
      <c r="L60" s="54"/>
      <c r="M60" s="54"/>
      <c r="N60" s="56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spans="1:27" ht="12" customHeight="1" x14ac:dyDescent="0.2">
      <c r="A61" s="49">
        <v>2014</v>
      </c>
      <c r="B61" s="49" t="s">
        <v>5</v>
      </c>
      <c r="C61" s="60">
        <v>33</v>
      </c>
      <c r="D61" s="60">
        <v>0</v>
      </c>
      <c r="E61" s="60">
        <v>81.832890000000006</v>
      </c>
      <c r="F61" s="60">
        <v>310</v>
      </c>
      <c r="G61" s="60">
        <v>0</v>
      </c>
      <c r="H61" s="60">
        <v>270.01858999999996</v>
      </c>
      <c r="I61" s="60">
        <v>0</v>
      </c>
      <c r="J61" s="65">
        <v>694.85148000000004</v>
      </c>
      <c r="K61" s="54"/>
      <c r="L61" s="51">
        <f t="shared" ref="L61:O64" si="21">L55-C59</f>
        <v>-32.200000000000003</v>
      </c>
      <c r="M61" s="51">
        <f t="shared" si="21"/>
        <v>0</v>
      </c>
      <c r="N61" s="51">
        <f t="shared" si="21"/>
        <v>-158.17648</v>
      </c>
      <c r="O61" s="51">
        <f t="shared" si="21"/>
        <v>-271.60000000000002</v>
      </c>
      <c r="P61" s="51">
        <f>'Plantas de regasificación'!L60-H59</f>
        <v>-215.72270999999998</v>
      </c>
      <c r="Q61" s="51"/>
      <c r="R61" s="51"/>
      <c r="S61" s="51"/>
      <c r="T61" s="51"/>
      <c r="U61" s="51"/>
      <c r="V61" s="54"/>
      <c r="W61" s="54"/>
      <c r="X61" s="54"/>
      <c r="Y61" s="54"/>
      <c r="Z61" s="54"/>
      <c r="AA61" s="54"/>
    </row>
    <row r="62" spans="1:27" ht="12" customHeight="1" x14ac:dyDescent="0.2">
      <c r="A62" s="49">
        <v>2014</v>
      </c>
      <c r="B62" s="49" t="s">
        <v>6</v>
      </c>
      <c r="C62" s="60">
        <v>32.2074</v>
      </c>
      <c r="D62" s="60">
        <v>0</v>
      </c>
      <c r="E62" s="60">
        <v>45.688559999999995</v>
      </c>
      <c r="F62" s="60">
        <v>268.85000000000002</v>
      </c>
      <c r="G62" s="60">
        <v>0</v>
      </c>
      <c r="H62" s="60">
        <v>261</v>
      </c>
      <c r="I62" s="60">
        <v>0</v>
      </c>
      <c r="J62" s="65">
        <v>607.74595999999997</v>
      </c>
      <c r="K62" s="54"/>
      <c r="L62" s="51">
        <f t="shared" si="21"/>
        <v>-30.2</v>
      </c>
      <c r="M62" s="51">
        <f t="shared" si="21"/>
        <v>0</v>
      </c>
      <c r="N62" s="51">
        <f t="shared" si="21"/>
        <v>-11.740440000000001</v>
      </c>
      <c r="O62" s="51">
        <f t="shared" si="21"/>
        <v>-282.3</v>
      </c>
      <c r="P62" s="51">
        <f>'Plantas de regasificación'!L61-H60</f>
        <v>-103.6</v>
      </c>
      <c r="Q62" s="51"/>
      <c r="R62" s="51"/>
      <c r="S62" s="51"/>
      <c r="T62" s="51"/>
      <c r="U62" s="51"/>
      <c r="V62" s="54"/>
      <c r="W62" s="54"/>
      <c r="X62" s="54"/>
      <c r="Y62" s="54"/>
      <c r="Z62" s="54"/>
      <c r="AA62" s="54"/>
    </row>
    <row r="63" spans="1:27" ht="12" customHeight="1" x14ac:dyDescent="0.2">
      <c r="A63" s="49">
        <v>2014</v>
      </c>
      <c r="B63" s="49" t="s">
        <v>7</v>
      </c>
      <c r="C63" s="60">
        <v>33.292300000000004</v>
      </c>
      <c r="D63" s="60">
        <v>0</v>
      </c>
      <c r="E63" s="60">
        <v>30.479040000000001</v>
      </c>
      <c r="F63" s="60">
        <v>286</v>
      </c>
      <c r="G63" s="60">
        <v>0</v>
      </c>
      <c r="H63" s="60">
        <v>268.97904999999997</v>
      </c>
      <c r="I63" s="60">
        <v>0</v>
      </c>
      <c r="J63" s="65">
        <v>618.75038999999992</v>
      </c>
      <c r="K63" s="54"/>
      <c r="L63" s="51">
        <f t="shared" si="21"/>
        <v>-33</v>
      </c>
      <c r="M63" s="51">
        <f t="shared" si="21"/>
        <v>0</v>
      </c>
      <c r="N63" s="51">
        <f t="shared" si="21"/>
        <v>-81.832890000000006</v>
      </c>
      <c r="O63" s="51">
        <f t="shared" si="21"/>
        <v>-310</v>
      </c>
      <c r="P63" s="51">
        <f>'Plantas de regasificación'!L62-H61</f>
        <v>-270.01858999999996</v>
      </c>
      <c r="Q63" s="51"/>
      <c r="R63" s="51"/>
      <c r="S63" s="51"/>
      <c r="T63" s="51"/>
      <c r="U63" s="51"/>
      <c r="V63" s="54"/>
      <c r="W63" s="54"/>
      <c r="X63" s="54"/>
      <c r="Y63" s="54"/>
      <c r="Z63" s="54"/>
      <c r="AA63" s="54"/>
    </row>
    <row r="64" spans="1:27" ht="12" customHeight="1" x14ac:dyDescent="0.2">
      <c r="A64" s="49">
        <v>2014</v>
      </c>
      <c r="B64" s="49" t="s">
        <v>8</v>
      </c>
      <c r="C64" s="60">
        <v>30.679200000000002</v>
      </c>
      <c r="D64" s="60">
        <v>0</v>
      </c>
      <c r="E64" s="60">
        <v>41.1066</v>
      </c>
      <c r="F64" s="60">
        <v>299.10000000000002</v>
      </c>
      <c r="G64" s="60">
        <v>0</v>
      </c>
      <c r="H64" s="60">
        <v>219</v>
      </c>
      <c r="I64" s="60">
        <v>0</v>
      </c>
      <c r="J64" s="65">
        <v>589.88580000000002</v>
      </c>
      <c r="K64" s="54"/>
      <c r="L64" s="51">
        <f t="shared" si="21"/>
        <v>-32.2074</v>
      </c>
      <c r="M64" s="51">
        <f t="shared" si="21"/>
        <v>0</v>
      </c>
      <c r="N64" s="51">
        <f t="shared" si="21"/>
        <v>-45.688559999999995</v>
      </c>
      <c r="O64" s="51">
        <f t="shared" si="21"/>
        <v>-268.85000000000002</v>
      </c>
      <c r="P64" s="51">
        <f>'Plantas de regasificación'!L63-H62</f>
        <v>-261</v>
      </c>
      <c r="Q64" s="51"/>
      <c r="R64" s="51"/>
      <c r="S64" s="51"/>
      <c r="T64" s="51"/>
      <c r="U64" s="51"/>
      <c r="V64" s="54"/>
      <c r="W64" s="54"/>
      <c r="X64" s="54"/>
      <c r="Y64" s="54"/>
      <c r="Z64" s="54"/>
      <c r="AA64" s="54"/>
    </row>
    <row r="65" spans="1:27" ht="12" customHeight="1" x14ac:dyDescent="0.2">
      <c r="A65" s="49">
        <v>2014</v>
      </c>
      <c r="B65" s="49" t="s">
        <v>9</v>
      </c>
      <c r="C65" s="60">
        <v>32.528199999999998</v>
      </c>
      <c r="D65" s="60">
        <v>0</v>
      </c>
      <c r="E65" s="60">
        <v>17.771090000000001</v>
      </c>
      <c r="F65" s="60">
        <v>290.7</v>
      </c>
      <c r="G65" s="60">
        <v>0</v>
      </c>
      <c r="H65" s="60">
        <v>83.7</v>
      </c>
      <c r="I65" s="60">
        <v>0</v>
      </c>
      <c r="J65" s="65">
        <v>424.69928999999996</v>
      </c>
      <c r="K65" s="54"/>
      <c r="L65" s="51">
        <f>L60-C64</f>
        <v>-30.679200000000002</v>
      </c>
      <c r="M65" s="51">
        <f>M60-D64</f>
        <v>0</v>
      </c>
      <c r="N65" s="51">
        <f>N60-E64</f>
        <v>-41.1066</v>
      </c>
      <c r="O65" s="51">
        <f>O60-F64</f>
        <v>-299.10000000000002</v>
      </c>
      <c r="P65" s="51">
        <f>P60-H64</f>
        <v>-219</v>
      </c>
      <c r="Q65" s="51"/>
      <c r="R65" s="51"/>
      <c r="S65" s="51"/>
      <c r="T65" s="51"/>
      <c r="U65" s="51"/>
      <c r="V65" s="54"/>
      <c r="W65" s="54"/>
      <c r="X65" s="54"/>
      <c r="Y65" s="54"/>
      <c r="Z65" s="54"/>
      <c r="AA65" s="54"/>
    </row>
    <row r="66" spans="1:27" ht="12" customHeight="1" x14ac:dyDescent="0.2">
      <c r="A66" s="49">
        <v>2014</v>
      </c>
      <c r="B66" s="49" t="s">
        <v>10</v>
      </c>
      <c r="C66" s="60">
        <v>31.443300000000001</v>
      </c>
      <c r="D66" s="60">
        <v>0</v>
      </c>
      <c r="E66" s="60">
        <v>0.50129999999999997</v>
      </c>
      <c r="F66" s="60">
        <v>252</v>
      </c>
      <c r="G66" s="60">
        <v>0</v>
      </c>
      <c r="H66" s="60">
        <v>84.01</v>
      </c>
      <c r="I66" s="60">
        <v>0</v>
      </c>
      <c r="J66" s="65">
        <v>367.95459999999997</v>
      </c>
      <c r="K66" s="54"/>
      <c r="L66" s="54"/>
      <c r="M66" s="54"/>
      <c r="N66" s="56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1:27" ht="12" customHeight="1" x14ac:dyDescent="0.2">
      <c r="A67" s="49">
        <v>2014</v>
      </c>
      <c r="B67" s="49" t="s">
        <v>11</v>
      </c>
      <c r="C67" s="60">
        <v>32.546999999999997</v>
      </c>
      <c r="D67" s="60">
        <v>0</v>
      </c>
      <c r="E67" s="60">
        <v>15.143270000000001</v>
      </c>
      <c r="F67" s="60">
        <v>226.95</v>
      </c>
      <c r="G67" s="60">
        <v>0</v>
      </c>
      <c r="H67" s="60">
        <v>81</v>
      </c>
      <c r="I67" s="60">
        <v>0</v>
      </c>
      <c r="J67" s="65">
        <v>355.64026999999999</v>
      </c>
      <c r="K67" s="54"/>
      <c r="L67" s="54"/>
      <c r="M67" s="54"/>
      <c r="N67" s="56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1:27" ht="12" customHeight="1" x14ac:dyDescent="0.2">
      <c r="A68" s="49">
        <v>2014</v>
      </c>
      <c r="B68" s="49" t="s">
        <v>12</v>
      </c>
      <c r="C68" s="60">
        <v>47.74</v>
      </c>
      <c r="D68" s="60">
        <v>0</v>
      </c>
      <c r="E68" s="60"/>
      <c r="F68" s="60">
        <v>446.66523999999998</v>
      </c>
      <c r="G68" s="60">
        <v>0</v>
      </c>
      <c r="H68" s="60">
        <v>157.69999999999999</v>
      </c>
      <c r="I68" s="60">
        <v>1.5841099999999999</v>
      </c>
      <c r="J68" s="65">
        <v>653.68934999999999</v>
      </c>
      <c r="K68" s="54"/>
      <c r="L68" s="54"/>
      <c r="M68" s="54"/>
      <c r="N68" s="56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1:27" ht="12" customHeight="1" x14ac:dyDescent="0.2">
      <c r="A69" s="49">
        <v>2014</v>
      </c>
      <c r="B69" s="49" t="s">
        <v>13</v>
      </c>
      <c r="C69" s="60">
        <v>508.53467999999998</v>
      </c>
      <c r="D69" s="60">
        <v>0</v>
      </c>
      <c r="E69" s="60"/>
      <c r="F69" s="60">
        <v>0</v>
      </c>
      <c r="G69" s="60">
        <v>0</v>
      </c>
      <c r="H69" s="60">
        <v>126</v>
      </c>
      <c r="I69" s="60">
        <v>0</v>
      </c>
      <c r="J69" s="65">
        <v>634.53467999999998</v>
      </c>
      <c r="K69" s="54"/>
      <c r="L69" s="54"/>
      <c r="M69" s="54"/>
      <c r="N69" s="56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spans="1:27" ht="12" customHeight="1" x14ac:dyDescent="0.2">
      <c r="A70" s="49">
        <v>2014</v>
      </c>
      <c r="B70" s="49" t="s">
        <v>14</v>
      </c>
      <c r="C70" s="60">
        <v>51.943940000000005</v>
      </c>
      <c r="D70" s="60">
        <v>0</v>
      </c>
      <c r="E70" s="60"/>
      <c r="F70" s="60">
        <v>0</v>
      </c>
      <c r="G70" s="60">
        <v>0</v>
      </c>
      <c r="H70" s="60">
        <v>560.25667999999996</v>
      </c>
      <c r="I70" s="60">
        <v>0</v>
      </c>
      <c r="J70" s="65">
        <v>612.20061999999996</v>
      </c>
      <c r="K70" s="54"/>
      <c r="L70" s="54"/>
      <c r="M70" s="54"/>
      <c r="N70" s="56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spans="1:27" ht="12" customHeight="1" x14ac:dyDescent="0.2">
      <c r="A71" s="49">
        <v>2014</v>
      </c>
      <c r="B71" s="49" t="s">
        <v>15</v>
      </c>
      <c r="C71" s="60">
        <v>896.31601999999998</v>
      </c>
      <c r="D71" s="60">
        <v>0</v>
      </c>
      <c r="E71" s="60">
        <v>402.43967000000009</v>
      </c>
      <c r="F71" s="60">
        <v>2934.1652399999998</v>
      </c>
      <c r="G71" s="60">
        <v>0</v>
      </c>
      <c r="H71" s="60">
        <v>2430.9870300000002</v>
      </c>
      <c r="I71" s="60">
        <v>1.5841099999999999</v>
      </c>
      <c r="J71" s="65">
        <v>6665.4920699999984</v>
      </c>
      <c r="K71" s="55"/>
      <c r="L71" s="51"/>
      <c r="M71" s="54"/>
      <c r="N71" s="56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spans="1:27" ht="12" customHeight="1" x14ac:dyDescent="0.2">
      <c r="A72" s="49">
        <v>2015</v>
      </c>
      <c r="B72" s="49" t="s">
        <v>3</v>
      </c>
      <c r="C72" s="60">
        <v>47.74</v>
      </c>
      <c r="D72" s="60">
        <v>0</v>
      </c>
      <c r="E72" s="60"/>
      <c r="F72" s="60">
        <v>0</v>
      </c>
      <c r="G72" s="60">
        <v>0</v>
      </c>
      <c r="H72" s="60">
        <v>3046.5724799999998</v>
      </c>
      <c r="I72" s="60">
        <v>0</v>
      </c>
      <c r="J72" s="65">
        <v>3094.3124799999996</v>
      </c>
      <c r="K72" s="54"/>
      <c r="L72" s="54"/>
      <c r="M72" s="54"/>
      <c r="N72" s="56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spans="1:27" ht="12" customHeight="1" x14ac:dyDescent="0.2">
      <c r="A73" s="49">
        <v>2015</v>
      </c>
      <c r="B73" s="49" t="s">
        <v>4</v>
      </c>
      <c r="C73" s="60">
        <v>0</v>
      </c>
      <c r="D73" s="60">
        <v>0</v>
      </c>
      <c r="E73" s="60"/>
      <c r="F73" s="60">
        <v>0</v>
      </c>
      <c r="G73" s="60">
        <v>0</v>
      </c>
      <c r="H73" s="60">
        <v>1575.75776</v>
      </c>
      <c r="I73" s="60">
        <v>0.40104000000000001</v>
      </c>
      <c r="J73" s="65">
        <v>1576.1587999999999</v>
      </c>
      <c r="K73" s="54"/>
      <c r="L73" s="54"/>
      <c r="M73" s="54"/>
      <c r="N73" s="56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spans="1:27" ht="12" customHeight="1" x14ac:dyDescent="0.2">
      <c r="A74" s="49">
        <v>2015</v>
      </c>
      <c r="B74" s="49" t="s">
        <v>5</v>
      </c>
      <c r="C74" s="60">
        <v>47.74</v>
      </c>
      <c r="D74" s="60">
        <v>0</v>
      </c>
      <c r="E74" s="60"/>
      <c r="F74" s="60">
        <v>0</v>
      </c>
      <c r="G74" s="60">
        <v>0</v>
      </c>
      <c r="H74" s="60">
        <v>1542.0649900000001</v>
      </c>
      <c r="I74" s="60">
        <v>15.37524</v>
      </c>
      <c r="J74" s="65">
        <v>1605.1802300000002</v>
      </c>
      <c r="K74" s="54"/>
      <c r="L74" s="54"/>
      <c r="M74" s="54"/>
      <c r="N74" s="56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spans="1:27" ht="12" customHeight="1" x14ac:dyDescent="0.2">
      <c r="A75" s="49">
        <v>2015</v>
      </c>
      <c r="B75" s="49" t="s">
        <v>6</v>
      </c>
      <c r="C75" s="60">
        <v>46.2</v>
      </c>
      <c r="D75" s="60">
        <v>0</v>
      </c>
      <c r="E75" s="60"/>
      <c r="F75" s="60">
        <v>0</v>
      </c>
      <c r="G75" s="60">
        <v>0</v>
      </c>
      <c r="H75" s="60">
        <v>2772.5615600000001</v>
      </c>
      <c r="I75" s="60">
        <v>635.40647999999999</v>
      </c>
      <c r="J75" s="65">
        <v>3454.16804</v>
      </c>
      <c r="K75" s="54"/>
      <c r="L75" s="54"/>
      <c r="M75" s="54"/>
      <c r="N75" s="54"/>
      <c r="O75" s="56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spans="1:27" ht="12" customHeight="1" x14ac:dyDescent="0.2">
      <c r="A76" s="49">
        <v>2015</v>
      </c>
      <c r="B76" s="49" t="s">
        <v>7</v>
      </c>
      <c r="C76" s="60">
        <v>47.74</v>
      </c>
      <c r="D76" s="60">
        <v>0</v>
      </c>
      <c r="E76" s="60"/>
      <c r="F76" s="60">
        <v>0</v>
      </c>
      <c r="G76" s="60">
        <v>0</v>
      </c>
      <c r="H76" s="60">
        <v>3098.7895800000001</v>
      </c>
      <c r="I76" s="60">
        <v>642.93551000000002</v>
      </c>
      <c r="J76" s="65">
        <v>3789.4650900000001</v>
      </c>
      <c r="K76" s="54"/>
      <c r="L76" s="54"/>
      <c r="M76" s="54"/>
      <c r="N76" s="56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1:27" ht="12" customHeight="1" x14ac:dyDescent="0.2">
      <c r="A77" s="49">
        <v>2015</v>
      </c>
      <c r="B77" s="49" t="s">
        <v>8</v>
      </c>
      <c r="C77" s="60">
        <v>46.2</v>
      </c>
      <c r="D77" s="60">
        <v>0</v>
      </c>
      <c r="E77" s="60"/>
      <c r="F77" s="60">
        <v>0</v>
      </c>
      <c r="G77" s="60">
        <v>0</v>
      </c>
      <c r="H77" s="60">
        <v>3673.3559499999997</v>
      </c>
      <c r="I77" s="60">
        <v>535.39101000000005</v>
      </c>
      <c r="J77" s="65">
        <v>4254.9469600000002</v>
      </c>
      <c r="K77" s="54"/>
      <c r="L77" s="54"/>
      <c r="M77" s="54"/>
      <c r="N77" s="56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spans="1:27" ht="12" customHeight="1" x14ac:dyDescent="0.2">
      <c r="A78" s="49">
        <v>2015</v>
      </c>
      <c r="B78" s="49" t="s">
        <v>9</v>
      </c>
      <c r="C78" s="60">
        <v>31</v>
      </c>
      <c r="D78" s="60">
        <v>0</v>
      </c>
      <c r="E78" s="60"/>
      <c r="F78" s="60">
        <v>0</v>
      </c>
      <c r="G78" s="60">
        <v>0</v>
      </c>
      <c r="H78" s="60">
        <v>3711.4360500000003</v>
      </c>
      <c r="I78" s="60">
        <v>1334.1737299999998</v>
      </c>
      <c r="J78" s="65">
        <v>5076.6097799999998</v>
      </c>
      <c r="K78" s="54"/>
      <c r="L78" s="54"/>
      <c r="M78" s="54"/>
      <c r="N78" s="56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spans="1:27" ht="12" customHeight="1" x14ac:dyDescent="0.2">
      <c r="A79" s="49">
        <v>2015</v>
      </c>
      <c r="B79" s="49" t="s">
        <v>10</v>
      </c>
      <c r="C79" s="60">
        <v>31</v>
      </c>
      <c r="D79" s="60">
        <v>0</v>
      </c>
      <c r="E79" s="60"/>
      <c r="F79" s="60">
        <v>0</v>
      </c>
      <c r="G79" s="60">
        <v>0</v>
      </c>
      <c r="H79" s="60">
        <v>3316.6492599999997</v>
      </c>
      <c r="I79" s="60">
        <v>1103.90796</v>
      </c>
      <c r="J79" s="65">
        <v>4451.5572199999997</v>
      </c>
      <c r="K79" s="54"/>
      <c r="L79" s="54"/>
      <c r="M79" s="54"/>
      <c r="N79" s="56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spans="1:27" ht="12" customHeight="1" x14ac:dyDescent="0.2">
      <c r="A80" s="49">
        <v>2015</v>
      </c>
      <c r="B80" s="49" t="s">
        <v>11</v>
      </c>
      <c r="C80" s="60">
        <v>30</v>
      </c>
      <c r="D80" s="60">
        <v>0</v>
      </c>
      <c r="E80" s="60"/>
      <c r="F80" s="60">
        <v>0</v>
      </c>
      <c r="G80" s="60">
        <v>0</v>
      </c>
      <c r="H80" s="60">
        <v>3409.1154900000001</v>
      </c>
      <c r="I80" s="60">
        <v>1164.9458</v>
      </c>
      <c r="J80" s="65">
        <v>4604.0612900000006</v>
      </c>
      <c r="K80" s="54"/>
      <c r="L80" s="54"/>
      <c r="M80" s="54"/>
      <c r="N80" s="56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spans="1:27" ht="12" customHeight="1" x14ac:dyDescent="0.2">
      <c r="A81" s="49">
        <v>2015</v>
      </c>
      <c r="B81" s="49" t="s">
        <v>12</v>
      </c>
      <c r="C81" s="60">
        <v>47.74</v>
      </c>
      <c r="D81" s="60">
        <v>0</v>
      </c>
      <c r="E81" s="60"/>
      <c r="F81" s="60">
        <v>0</v>
      </c>
      <c r="G81" s="60">
        <v>0</v>
      </c>
      <c r="H81" s="60">
        <v>3005.2449500000002</v>
      </c>
      <c r="I81" s="60">
        <v>138.64069000000001</v>
      </c>
      <c r="J81" s="65">
        <v>3191.6256400000007</v>
      </c>
      <c r="K81" s="54"/>
      <c r="L81" s="54"/>
      <c r="M81" s="54"/>
      <c r="N81" s="56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spans="1:27" ht="12" customHeight="1" x14ac:dyDescent="0.2">
      <c r="A82" s="49">
        <v>2015</v>
      </c>
      <c r="B82" s="49" t="s">
        <v>13</v>
      </c>
      <c r="C82" s="60">
        <v>46.199599999999997</v>
      </c>
      <c r="D82" s="60">
        <v>0</v>
      </c>
      <c r="E82" s="60"/>
      <c r="F82" s="60">
        <v>0</v>
      </c>
      <c r="G82" s="60">
        <v>0</v>
      </c>
      <c r="H82" s="60">
        <v>2741.7921699999997</v>
      </c>
      <c r="I82" s="60">
        <v>0</v>
      </c>
      <c r="J82" s="65">
        <v>2787.9917699999996</v>
      </c>
      <c r="K82" s="54"/>
      <c r="L82" s="54"/>
      <c r="M82" s="54"/>
      <c r="N82" s="56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ht="12" customHeight="1" x14ac:dyDescent="0.2">
      <c r="A83" s="49">
        <v>2015</v>
      </c>
      <c r="B83" s="49" t="s">
        <v>14</v>
      </c>
      <c r="C83" s="60">
        <v>0</v>
      </c>
      <c r="D83" s="60">
        <v>0</v>
      </c>
      <c r="E83" s="60"/>
      <c r="F83" s="60">
        <v>0</v>
      </c>
      <c r="G83" s="60">
        <v>0</v>
      </c>
      <c r="H83" s="60">
        <v>2984.6320700000001</v>
      </c>
      <c r="I83" s="60">
        <v>14.51491</v>
      </c>
      <c r="J83" s="65">
        <v>2999.14698</v>
      </c>
      <c r="K83" s="54"/>
      <c r="L83" s="54"/>
      <c r="M83" s="54"/>
      <c r="N83" s="56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:27" ht="12" customHeight="1" x14ac:dyDescent="0.2">
      <c r="A84" s="49">
        <v>2015</v>
      </c>
      <c r="B84" s="49" t="s">
        <v>15</v>
      </c>
      <c r="C84" s="60">
        <v>421.55959999999999</v>
      </c>
      <c r="D84" s="60">
        <v>0</v>
      </c>
      <c r="E84" s="60"/>
      <c r="F84" s="60">
        <v>0</v>
      </c>
      <c r="G84" s="60">
        <v>0</v>
      </c>
      <c r="H84" s="60">
        <v>34877.972310000005</v>
      </c>
      <c r="I84" s="60">
        <v>5585.6923699999988</v>
      </c>
      <c r="J84" s="65">
        <v>40885.224279999995</v>
      </c>
      <c r="K84" s="55"/>
      <c r="L84" s="51"/>
      <c r="M84" s="54"/>
      <c r="N84" s="56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:27" ht="12" customHeight="1" x14ac:dyDescent="0.2">
      <c r="A85" s="49">
        <v>2016</v>
      </c>
      <c r="B85" s="49" t="s">
        <v>3</v>
      </c>
      <c r="C85" s="60">
        <v>47.74</v>
      </c>
      <c r="D85" s="60">
        <v>0</v>
      </c>
      <c r="E85" s="60"/>
      <c r="F85" s="60">
        <v>0</v>
      </c>
      <c r="G85" s="60">
        <v>0</v>
      </c>
      <c r="H85" s="60">
        <v>2683.9663700000006</v>
      </c>
      <c r="I85" s="60">
        <v>2.7230400000000001</v>
      </c>
      <c r="J85" s="65">
        <v>2734.4294100000002</v>
      </c>
      <c r="K85" s="54"/>
      <c r="L85" s="54"/>
      <c r="M85" s="54"/>
      <c r="N85" s="56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:27" ht="12" customHeight="1" x14ac:dyDescent="0.2">
      <c r="A86" s="49">
        <v>2016</v>
      </c>
      <c r="B86" s="49" t="s">
        <v>4</v>
      </c>
      <c r="C86" s="60">
        <v>44.66</v>
      </c>
      <c r="D86" s="60">
        <v>0</v>
      </c>
      <c r="E86" s="60"/>
      <c r="F86" s="60">
        <v>0</v>
      </c>
      <c r="G86" s="60">
        <v>0</v>
      </c>
      <c r="H86" s="60">
        <v>2288.3368399999999</v>
      </c>
      <c r="I86" s="60">
        <v>7.5706300000000004</v>
      </c>
      <c r="J86" s="65">
        <v>2340.56747</v>
      </c>
      <c r="K86" s="54"/>
      <c r="L86" s="54"/>
      <c r="M86" s="54"/>
      <c r="N86" s="56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:27" ht="12" customHeight="1" x14ac:dyDescent="0.2">
      <c r="A87" s="49">
        <v>2016</v>
      </c>
      <c r="B87" s="49" t="s">
        <v>5</v>
      </c>
      <c r="C87" s="60">
        <v>47.74</v>
      </c>
      <c r="D87" s="60">
        <v>0</v>
      </c>
      <c r="E87" s="60"/>
      <c r="F87" s="60">
        <v>0</v>
      </c>
      <c r="G87" s="60">
        <v>0</v>
      </c>
      <c r="H87" s="60">
        <v>2472.89516</v>
      </c>
      <c r="I87" s="60">
        <v>8.0207999999999995</v>
      </c>
      <c r="J87" s="65">
        <v>2528.6559599999996</v>
      </c>
      <c r="K87" s="54"/>
      <c r="L87" s="54"/>
      <c r="M87" s="54"/>
      <c r="N87" s="56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:27" ht="12" customHeight="1" x14ac:dyDescent="0.2">
      <c r="A88" s="49">
        <v>2016</v>
      </c>
      <c r="B88" s="49" t="s">
        <v>6</v>
      </c>
      <c r="C88" s="60">
        <v>46.2</v>
      </c>
      <c r="D88" s="60">
        <v>0</v>
      </c>
      <c r="E88" s="60"/>
      <c r="F88" s="60">
        <v>0</v>
      </c>
      <c r="G88" s="60">
        <v>0</v>
      </c>
      <c r="H88" s="60">
        <v>2612.54952</v>
      </c>
      <c r="I88" s="60">
        <v>416.85840000000002</v>
      </c>
      <c r="J88" s="65">
        <v>3075.6079199999999</v>
      </c>
      <c r="K88" s="54"/>
      <c r="L88" s="54"/>
      <c r="M88" s="54"/>
      <c r="N88" s="56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spans="1:27" ht="12" customHeight="1" x14ac:dyDescent="0.2">
      <c r="A89" s="49">
        <v>2016</v>
      </c>
      <c r="B89" s="49" t="s">
        <v>7</v>
      </c>
      <c r="C89" s="60">
        <v>0</v>
      </c>
      <c r="D89" s="60">
        <v>0</v>
      </c>
      <c r="E89" s="60"/>
      <c r="F89" s="60">
        <v>0</v>
      </c>
      <c r="G89" s="60">
        <v>0</v>
      </c>
      <c r="H89" s="60">
        <v>2364.9938299999999</v>
      </c>
      <c r="I89" s="60">
        <v>1197.6856699999998</v>
      </c>
      <c r="J89" s="65">
        <v>3562.6794999999997</v>
      </c>
      <c r="K89" s="54"/>
      <c r="L89" s="54"/>
      <c r="M89" s="54"/>
      <c r="N89" s="56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1:27" ht="12" customHeight="1" x14ac:dyDescent="0.2">
      <c r="A90" s="49">
        <v>2016</v>
      </c>
      <c r="B90" s="49" t="s">
        <v>8</v>
      </c>
      <c r="C90" s="60">
        <v>0</v>
      </c>
      <c r="D90" s="60">
        <v>0</v>
      </c>
      <c r="E90" s="60"/>
      <c r="F90" s="60">
        <v>0</v>
      </c>
      <c r="G90" s="60">
        <v>0</v>
      </c>
      <c r="H90" s="60">
        <v>2954.8646400000002</v>
      </c>
      <c r="I90" s="60">
        <v>1347.2136699999999</v>
      </c>
      <c r="J90" s="65">
        <v>4302.0783099999999</v>
      </c>
      <c r="K90" s="54"/>
      <c r="L90" s="54"/>
      <c r="M90" s="54"/>
      <c r="N90" s="56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1:27" ht="12" customHeight="1" x14ac:dyDescent="0.2">
      <c r="A91" s="49">
        <v>2016</v>
      </c>
      <c r="B91" s="49" t="s">
        <v>9</v>
      </c>
      <c r="C91" s="60">
        <v>0</v>
      </c>
      <c r="D91" s="60">
        <v>0</v>
      </c>
      <c r="E91" s="60"/>
      <c r="F91" s="60">
        <v>0</v>
      </c>
      <c r="G91" s="60">
        <v>0</v>
      </c>
      <c r="H91" s="60">
        <v>3838.5141099999996</v>
      </c>
      <c r="I91" s="60">
        <v>1778.2965399999998</v>
      </c>
      <c r="J91" s="65">
        <v>5616.8106499999994</v>
      </c>
      <c r="K91" s="54"/>
      <c r="L91" s="54"/>
      <c r="M91" s="54"/>
      <c r="N91" s="56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spans="1:27" ht="12" customHeight="1" x14ac:dyDescent="0.2">
      <c r="A92" s="49">
        <v>2016</v>
      </c>
      <c r="B92" s="49" t="s">
        <v>10</v>
      </c>
      <c r="C92" s="60">
        <v>0</v>
      </c>
      <c r="D92" s="60">
        <v>0</v>
      </c>
      <c r="E92" s="60"/>
      <c r="F92" s="60">
        <v>0</v>
      </c>
      <c r="G92" s="60">
        <v>0</v>
      </c>
      <c r="H92" s="60">
        <v>3955.5454300000006</v>
      </c>
      <c r="I92" s="60">
        <v>1278.55808</v>
      </c>
      <c r="J92" s="65">
        <v>5234.1035100000008</v>
      </c>
      <c r="K92" s="54"/>
      <c r="L92" s="54"/>
      <c r="M92" s="54"/>
      <c r="N92" s="56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spans="1:27" ht="12" customHeight="1" x14ac:dyDescent="0.2">
      <c r="A93" s="49">
        <v>2016</v>
      </c>
      <c r="B93" s="49" t="s">
        <v>11</v>
      </c>
      <c r="C93" s="60">
        <v>0</v>
      </c>
      <c r="D93" s="60">
        <v>0</v>
      </c>
      <c r="E93" s="60"/>
      <c r="F93" s="60">
        <v>0</v>
      </c>
      <c r="G93" s="60">
        <v>0</v>
      </c>
      <c r="H93" s="60">
        <v>3598.9723199999999</v>
      </c>
      <c r="I93" s="60">
        <v>460.73131000000001</v>
      </c>
      <c r="J93" s="65">
        <v>4059.70363</v>
      </c>
      <c r="K93" s="54"/>
      <c r="L93" s="54"/>
      <c r="M93" s="54"/>
      <c r="N93" s="56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spans="1:27" ht="12" customHeight="1" x14ac:dyDescent="0.2">
      <c r="A94" s="49">
        <v>2016</v>
      </c>
      <c r="B94" s="49" t="s">
        <v>12</v>
      </c>
      <c r="C94" s="60">
        <v>0</v>
      </c>
      <c r="D94" s="60">
        <v>0</v>
      </c>
      <c r="E94" s="60"/>
      <c r="F94" s="60">
        <v>0</v>
      </c>
      <c r="G94" s="60">
        <v>0</v>
      </c>
      <c r="H94" s="60">
        <v>2665.1121899999998</v>
      </c>
      <c r="I94" s="60">
        <v>62.665010000000002</v>
      </c>
      <c r="J94" s="65">
        <v>2727.7772</v>
      </c>
      <c r="K94" s="54"/>
      <c r="L94" s="54"/>
      <c r="M94" s="54"/>
      <c r="N94" s="56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spans="1:27" ht="12" customHeight="1" x14ac:dyDescent="0.2">
      <c r="A95" s="49">
        <v>2016</v>
      </c>
      <c r="B95" s="49" t="s">
        <v>13</v>
      </c>
      <c r="C95" s="60">
        <v>0</v>
      </c>
      <c r="D95" s="60">
        <v>0</v>
      </c>
      <c r="E95" s="60"/>
      <c r="F95" s="60">
        <v>0</v>
      </c>
      <c r="G95" s="60">
        <v>0</v>
      </c>
      <c r="H95" s="60">
        <v>3546.2725699999992</v>
      </c>
      <c r="I95" s="60">
        <v>20.019159999999996</v>
      </c>
      <c r="J95" s="65">
        <v>3566.291729999999</v>
      </c>
      <c r="K95" s="54"/>
      <c r="L95" s="54"/>
      <c r="M95" s="54"/>
      <c r="N95" s="56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spans="1:27" ht="12" customHeight="1" x14ac:dyDescent="0.2">
      <c r="A96" s="49">
        <v>2016</v>
      </c>
      <c r="B96" s="49" t="s">
        <v>14</v>
      </c>
      <c r="C96" s="60">
        <v>0</v>
      </c>
      <c r="D96" s="60">
        <v>0</v>
      </c>
      <c r="E96" s="60"/>
      <c r="F96" s="60">
        <v>0</v>
      </c>
      <c r="G96" s="60">
        <v>0</v>
      </c>
      <c r="H96" s="60">
        <v>3128.7436499999999</v>
      </c>
      <c r="I96" s="60">
        <v>1.7545500000000001</v>
      </c>
      <c r="J96" s="65">
        <v>3130.4982</v>
      </c>
      <c r="K96" s="54"/>
      <c r="L96" s="54"/>
      <c r="M96" s="54"/>
      <c r="N96" s="56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spans="1:27" ht="12" customHeight="1" x14ac:dyDescent="0.2">
      <c r="A97" s="49">
        <v>2016</v>
      </c>
      <c r="B97" s="49" t="s">
        <v>15</v>
      </c>
      <c r="C97" s="60">
        <v>186.34000000000003</v>
      </c>
      <c r="D97" s="60">
        <v>0</v>
      </c>
      <c r="E97" s="60"/>
      <c r="F97" s="60">
        <v>0</v>
      </c>
      <c r="G97" s="60">
        <v>0</v>
      </c>
      <c r="H97" s="60">
        <v>36110.766629999998</v>
      </c>
      <c r="I97" s="60">
        <v>6582.0968599999987</v>
      </c>
      <c r="J97" s="65">
        <v>42879.20349</v>
      </c>
      <c r="K97" s="54"/>
      <c r="L97" s="54"/>
      <c r="M97" s="54"/>
      <c r="N97" s="56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spans="1:27" ht="12" customHeight="1" x14ac:dyDescent="0.2">
      <c r="A98" s="49">
        <v>2017</v>
      </c>
      <c r="B98" s="49" t="s">
        <v>3</v>
      </c>
      <c r="C98" s="60">
        <v>0</v>
      </c>
      <c r="D98" s="60">
        <v>0</v>
      </c>
      <c r="E98" s="60"/>
      <c r="F98" s="60">
        <v>0</v>
      </c>
      <c r="G98" s="60">
        <v>0</v>
      </c>
      <c r="H98" s="60">
        <v>1642.5134100000002</v>
      </c>
      <c r="I98" s="60">
        <v>21.274579999999997</v>
      </c>
      <c r="J98" s="65">
        <v>1663.7879900000003</v>
      </c>
      <c r="K98" s="54"/>
      <c r="L98" s="54"/>
      <c r="M98" s="54"/>
      <c r="N98" s="56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spans="1:27" ht="12" customHeight="1" x14ac:dyDescent="0.2">
      <c r="A99" s="49">
        <v>2017</v>
      </c>
      <c r="B99" s="49" t="s">
        <v>4</v>
      </c>
      <c r="C99" s="60">
        <v>0</v>
      </c>
      <c r="D99" s="60">
        <v>0</v>
      </c>
      <c r="E99" s="60"/>
      <c r="F99" s="60">
        <v>0</v>
      </c>
      <c r="G99" s="60">
        <v>0</v>
      </c>
      <c r="H99" s="60">
        <v>1404.7676100000001</v>
      </c>
      <c r="I99" s="60">
        <v>128.95535000000001</v>
      </c>
      <c r="J99" s="65">
        <v>1533.7229600000001</v>
      </c>
      <c r="K99" s="54"/>
      <c r="L99" s="54"/>
      <c r="M99" s="54"/>
      <c r="N99" s="56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spans="1:27" ht="12" customHeight="1" x14ac:dyDescent="0.2">
      <c r="A100" s="49">
        <v>2017</v>
      </c>
      <c r="B100" s="49" t="s">
        <v>5</v>
      </c>
      <c r="C100" s="60">
        <v>0</v>
      </c>
      <c r="D100" s="60">
        <v>0</v>
      </c>
      <c r="E100" s="60"/>
      <c r="F100" s="60">
        <v>0</v>
      </c>
      <c r="G100" s="60">
        <v>0</v>
      </c>
      <c r="H100" s="60">
        <v>2585.1249499999999</v>
      </c>
      <c r="I100" s="60">
        <v>587.87660000000005</v>
      </c>
      <c r="J100" s="65">
        <v>3173.00155</v>
      </c>
      <c r="K100" s="54"/>
      <c r="L100" s="54"/>
      <c r="M100" s="54"/>
      <c r="N100" s="56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spans="1:27" ht="12" customHeight="1" x14ac:dyDescent="0.2">
      <c r="A101" s="49">
        <v>2017</v>
      </c>
      <c r="B101" s="49" t="s">
        <v>6</v>
      </c>
      <c r="C101" s="60">
        <v>0</v>
      </c>
      <c r="D101" s="60">
        <v>0</v>
      </c>
      <c r="E101" s="60"/>
      <c r="F101" s="60">
        <v>0</v>
      </c>
      <c r="G101" s="60">
        <v>0</v>
      </c>
      <c r="H101" s="60">
        <v>2742.3884900000003</v>
      </c>
      <c r="I101" s="60">
        <v>0</v>
      </c>
      <c r="J101" s="65">
        <v>2742.3884900000003</v>
      </c>
      <c r="K101" s="54"/>
      <c r="L101" s="54"/>
      <c r="M101" s="54"/>
      <c r="N101" s="56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spans="1:27" ht="12" customHeight="1" x14ac:dyDescent="0.2">
      <c r="A102" s="49">
        <v>2017</v>
      </c>
      <c r="B102" s="49" t="s">
        <v>7</v>
      </c>
      <c r="C102" s="60">
        <v>0</v>
      </c>
      <c r="D102" s="60">
        <v>0</v>
      </c>
      <c r="E102" s="60"/>
      <c r="F102" s="60">
        <v>0</v>
      </c>
      <c r="G102" s="60">
        <v>0</v>
      </c>
      <c r="H102" s="60">
        <v>3877.7191499999999</v>
      </c>
      <c r="I102" s="60">
        <v>0</v>
      </c>
      <c r="J102" s="65">
        <v>3877.7191499999999</v>
      </c>
      <c r="K102" s="54"/>
      <c r="L102" s="54"/>
      <c r="M102" s="54"/>
      <c r="N102" s="56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spans="1:27" ht="12" customHeight="1" x14ac:dyDescent="0.2">
      <c r="A103" s="49">
        <v>2017</v>
      </c>
      <c r="B103" s="49" t="s">
        <v>8</v>
      </c>
      <c r="C103" s="60">
        <v>0</v>
      </c>
      <c r="D103" s="60">
        <v>0</v>
      </c>
      <c r="E103" s="60"/>
      <c r="F103" s="60">
        <v>0</v>
      </c>
      <c r="G103" s="60">
        <v>0</v>
      </c>
      <c r="H103" s="60">
        <v>3585.7311100000002</v>
      </c>
      <c r="I103" s="60">
        <v>0</v>
      </c>
      <c r="J103" s="65">
        <v>3585.7311100000002</v>
      </c>
      <c r="K103" s="54"/>
      <c r="L103" s="54"/>
      <c r="M103" s="54"/>
      <c r="N103" s="56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spans="1:27" ht="12" customHeight="1" x14ac:dyDescent="0.2">
      <c r="A104" s="49">
        <v>2017</v>
      </c>
      <c r="B104" s="49" t="s">
        <v>9</v>
      </c>
      <c r="C104" s="60">
        <v>0</v>
      </c>
      <c r="D104" s="60">
        <v>0</v>
      </c>
      <c r="E104" s="60"/>
      <c r="F104" s="60">
        <v>0</v>
      </c>
      <c r="G104" s="60">
        <v>0</v>
      </c>
      <c r="H104" s="60">
        <v>2260.8458200000005</v>
      </c>
      <c r="I104" s="60">
        <v>0</v>
      </c>
      <c r="J104" s="65">
        <v>2260.8458200000005</v>
      </c>
      <c r="K104" s="54"/>
      <c r="L104" s="54"/>
      <c r="M104" s="54"/>
      <c r="N104" s="56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spans="1:27" s="58" customFormat="1" ht="12" customHeight="1" x14ac:dyDescent="0.2">
      <c r="A105" s="49">
        <v>2017</v>
      </c>
      <c r="B105" s="49" t="s">
        <v>10</v>
      </c>
      <c r="C105" s="60">
        <v>0</v>
      </c>
      <c r="D105" s="60">
        <v>0</v>
      </c>
      <c r="E105" s="60"/>
      <c r="F105" s="60">
        <v>0</v>
      </c>
      <c r="G105" s="60">
        <v>0</v>
      </c>
      <c r="H105" s="60">
        <v>2053.8906899999997</v>
      </c>
      <c r="I105" s="60">
        <v>4.29366</v>
      </c>
      <c r="J105" s="65">
        <v>2058.1843499999995</v>
      </c>
      <c r="K105" s="57"/>
      <c r="L105" s="57"/>
      <c r="M105" s="57"/>
      <c r="N105" s="5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spans="1:27" s="58" customFormat="1" ht="12" customHeight="1" x14ac:dyDescent="0.2">
      <c r="A106" s="49">
        <v>2017</v>
      </c>
      <c r="B106" s="49" t="s">
        <v>11</v>
      </c>
      <c r="C106" s="60">
        <v>0</v>
      </c>
      <c r="D106" s="60">
        <v>0</v>
      </c>
      <c r="E106" s="60"/>
      <c r="F106" s="60">
        <v>0</v>
      </c>
      <c r="G106" s="60">
        <v>0</v>
      </c>
      <c r="H106" s="60">
        <v>2903.5155199999995</v>
      </c>
      <c r="I106" s="60">
        <v>93.958570000000009</v>
      </c>
      <c r="J106" s="65">
        <v>2997.4740899999997</v>
      </c>
      <c r="K106" s="57"/>
      <c r="L106" s="57"/>
      <c r="M106" s="57"/>
      <c r="N106" s="59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spans="1:27" s="58" customFormat="1" ht="12" customHeight="1" x14ac:dyDescent="0.2">
      <c r="A107" s="49">
        <v>2017</v>
      </c>
      <c r="B107" s="49" t="s">
        <v>12</v>
      </c>
      <c r="C107" s="60">
        <v>0</v>
      </c>
      <c r="D107" s="60">
        <v>0</v>
      </c>
      <c r="E107" s="60"/>
      <c r="F107" s="60">
        <v>0</v>
      </c>
      <c r="G107" s="60">
        <v>0</v>
      </c>
      <c r="H107" s="60">
        <v>2375.5772499999998</v>
      </c>
      <c r="I107" s="60">
        <v>14.0052</v>
      </c>
      <c r="J107" s="65">
        <v>2389.5824499999999</v>
      </c>
      <c r="K107" s="57"/>
      <c r="L107" s="57"/>
      <c r="M107" s="57"/>
      <c r="N107" s="59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spans="1:27" s="58" customFormat="1" ht="12" customHeight="1" x14ac:dyDescent="0.2">
      <c r="A108" s="49">
        <v>2017</v>
      </c>
      <c r="B108" s="49" t="s">
        <v>13</v>
      </c>
      <c r="C108" s="60">
        <v>0</v>
      </c>
      <c r="D108" s="60">
        <v>0</v>
      </c>
      <c r="E108" s="60"/>
      <c r="F108" s="60">
        <v>0</v>
      </c>
      <c r="G108" s="60">
        <v>0</v>
      </c>
      <c r="H108" s="60">
        <v>1944.2865399999996</v>
      </c>
      <c r="I108" s="60">
        <v>41.109520000000003</v>
      </c>
      <c r="J108" s="65">
        <v>1985.3960599999996</v>
      </c>
      <c r="K108" s="57"/>
      <c r="L108" s="57"/>
      <c r="M108" s="57"/>
      <c r="N108" s="59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spans="1:27" ht="12" customHeight="1" x14ac:dyDescent="0.2">
      <c r="A109" s="49">
        <v>2017</v>
      </c>
      <c r="B109" s="49" t="s">
        <v>14</v>
      </c>
      <c r="C109" s="60">
        <v>0</v>
      </c>
      <c r="D109" s="60">
        <v>0</v>
      </c>
      <c r="E109" s="60"/>
      <c r="F109" s="60">
        <v>0</v>
      </c>
      <c r="G109" s="60">
        <v>0</v>
      </c>
      <c r="H109" s="60">
        <v>2468.7635599999999</v>
      </c>
      <c r="I109" s="60">
        <v>3.3419999999999998E-2</v>
      </c>
      <c r="J109" s="65">
        <v>2468.7969800000001</v>
      </c>
      <c r="K109" s="54"/>
      <c r="L109" s="54"/>
      <c r="M109" s="54"/>
      <c r="N109" s="56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spans="1:27" ht="12" customHeight="1" x14ac:dyDescent="0.2">
      <c r="A110" s="49">
        <v>2017</v>
      </c>
      <c r="B110" s="49" t="s">
        <v>15</v>
      </c>
      <c r="C110" s="60">
        <v>0</v>
      </c>
      <c r="D110" s="60">
        <v>0</v>
      </c>
      <c r="E110" s="60"/>
      <c r="F110" s="60">
        <v>0</v>
      </c>
      <c r="G110" s="60">
        <v>0</v>
      </c>
      <c r="H110" s="60">
        <v>29845.124100000005</v>
      </c>
      <c r="I110" s="60">
        <v>891.50689999999997</v>
      </c>
      <c r="J110" s="65">
        <v>30736.631000000001</v>
      </c>
      <c r="K110" s="55"/>
      <c r="L110" s="51"/>
      <c r="M110" s="54"/>
      <c r="N110" s="56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spans="1:27" ht="12" customHeight="1" x14ac:dyDescent="0.2">
      <c r="A111" s="49">
        <v>2018</v>
      </c>
      <c r="B111" s="49" t="s">
        <v>3</v>
      </c>
      <c r="C111" s="60">
        <v>0</v>
      </c>
      <c r="D111" s="60">
        <v>0</v>
      </c>
      <c r="E111" s="60"/>
      <c r="F111" s="60">
        <v>0</v>
      </c>
      <c r="G111" s="60">
        <v>0</v>
      </c>
      <c r="H111" s="60">
        <v>2357.8477399999997</v>
      </c>
      <c r="I111" s="60">
        <v>6.2161200000000001</v>
      </c>
      <c r="J111" s="65">
        <v>2364.0638599999997</v>
      </c>
      <c r="K111" s="54"/>
      <c r="L111" s="54"/>
      <c r="M111" s="54"/>
      <c r="N111" s="56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spans="1:27" ht="12" customHeight="1" x14ac:dyDescent="0.2">
      <c r="A112" s="49">
        <v>2018</v>
      </c>
      <c r="B112" s="49" t="s">
        <v>4</v>
      </c>
      <c r="C112" s="60">
        <v>0</v>
      </c>
      <c r="D112" s="60">
        <v>0</v>
      </c>
      <c r="E112" s="60"/>
      <c r="F112" s="60">
        <v>0</v>
      </c>
      <c r="G112" s="60">
        <v>0</v>
      </c>
      <c r="H112" s="60">
        <v>1573.9769299999998</v>
      </c>
      <c r="I112" s="60">
        <v>304.8408</v>
      </c>
      <c r="J112" s="65">
        <v>1878.8177299999998</v>
      </c>
      <c r="K112" s="54"/>
      <c r="L112" s="54"/>
      <c r="M112" s="54"/>
      <c r="N112" s="56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spans="1:27" ht="12" customHeight="1" x14ac:dyDescent="0.2">
      <c r="A113" s="49">
        <v>2018</v>
      </c>
      <c r="B113" s="49" t="s">
        <v>5</v>
      </c>
      <c r="C113" s="60">
        <v>0</v>
      </c>
      <c r="D113" s="60">
        <v>0</v>
      </c>
      <c r="E113" s="60"/>
      <c r="F113" s="60">
        <v>0</v>
      </c>
      <c r="G113" s="60">
        <v>0</v>
      </c>
      <c r="H113" s="60">
        <v>1876.4722400000001</v>
      </c>
      <c r="I113" s="60">
        <v>848.01864</v>
      </c>
      <c r="J113" s="65">
        <v>2724.4908799999998</v>
      </c>
      <c r="K113" s="54"/>
      <c r="L113" s="54"/>
      <c r="M113" s="54"/>
      <c r="N113" s="56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spans="1:27" ht="12" customHeight="1" x14ac:dyDescent="0.2">
      <c r="A114" s="49">
        <v>2018</v>
      </c>
      <c r="B114" s="49" t="s">
        <v>6</v>
      </c>
      <c r="C114" s="60">
        <v>0</v>
      </c>
      <c r="D114" s="60">
        <v>0</v>
      </c>
      <c r="E114" s="60"/>
      <c r="F114" s="60">
        <v>0</v>
      </c>
      <c r="G114" s="60">
        <v>0</v>
      </c>
      <c r="H114" s="60">
        <v>1566.32502</v>
      </c>
      <c r="I114" s="60">
        <v>561.13813000000005</v>
      </c>
      <c r="J114" s="65">
        <v>2127.46315</v>
      </c>
      <c r="K114" s="54"/>
      <c r="L114" s="54"/>
      <c r="M114" s="54"/>
      <c r="N114" s="56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1:27" ht="12" customHeight="1" x14ac:dyDescent="0.2">
      <c r="A115" s="49">
        <v>2018</v>
      </c>
      <c r="B115" s="49" t="s">
        <v>7</v>
      </c>
      <c r="C115" s="60">
        <v>0</v>
      </c>
      <c r="D115" s="60">
        <v>0</v>
      </c>
      <c r="E115" s="60"/>
      <c r="F115" s="60">
        <v>0</v>
      </c>
      <c r="G115" s="60">
        <v>0</v>
      </c>
      <c r="H115" s="60">
        <v>2584.1866199999999</v>
      </c>
      <c r="I115" s="60">
        <v>729.08262000000013</v>
      </c>
      <c r="J115" s="65">
        <v>3313.2692400000001</v>
      </c>
      <c r="K115" s="54"/>
      <c r="L115" s="54"/>
      <c r="M115" s="54"/>
      <c r="N115" s="56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spans="1:27" ht="12" customHeight="1" x14ac:dyDescent="0.2">
      <c r="A116" s="49">
        <v>2018</v>
      </c>
      <c r="B116" s="49" t="s">
        <v>8</v>
      </c>
      <c r="C116" s="60">
        <v>0</v>
      </c>
      <c r="D116" s="60">
        <v>0</v>
      </c>
      <c r="E116" s="60"/>
      <c r="F116" s="60">
        <v>0</v>
      </c>
      <c r="G116" s="60">
        <v>0</v>
      </c>
      <c r="H116" s="60">
        <v>3198.07096</v>
      </c>
      <c r="I116" s="60">
        <v>1703.0223299999998</v>
      </c>
      <c r="J116" s="65">
        <v>4901.0932899999998</v>
      </c>
      <c r="K116" s="54"/>
      <c r="L116" s="54"/>
      <c r="M116" s="54"/>
      <c r="N116" s="56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spans="1:27" ht="12" customHeight="1" x14ac:dyDescent="0.2">
      <c r="A117" s="49">
        <v>2018</v>
      </c>
      <c r="B117" s="49" t="s">
        <v>9</v>
      </c>
      <c r="C117" s="60">
        <v>0</v>
      </c>
      <c r="D117" s="60">
        <v>0</v>
      </c>
      <c r="E117" s="60"/>
      <c r="F117" s="60">
        <v>0</v>
      </c>
      <c r="G117" s="60">
        <v>0</v>
      </c>
      <c r="H117" s="60">
        <v>1601.1685199999999</v>
      </c>
      <c r="I117" s="60">
        <v>1165.56503</v>
      </c>
      <c r="J117" s="65">
        <v>2766.7335499999999</v>
      </c>
      <c r="K117" s="54"/>
      <c r="L117" s="54"/>
      <c r="M117" s="54"/>
      <c r="N117" s="56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spans="1:27" ht="12" customHeight="1" x14ac:dyDescent="0.2">
      <c r="A118" s="49">
        <v>2018</v>
      </c>
      <c r="B118" s="49" t="s">
        <v>10</v>
      </c>
      <c r="C118" s="60">
        <v>0</v>
      </c>
      <c r="D118" s="60">
        <v>0</v>
      </c>
      <c r="E118" s="60"/>
      <c r="F118" s="60">
        <v>0</v>
      </c>
      <c r="G118" s="60">
        <v>0</v>
      </c>
      <c r="H118" s="60">
        <v>2172.2703300000007</v>
      </c>
      <c r="I118" s="60">
        <v>1753.2524599999999</v>
      </c>
      <c r="J118" s="65">
        <v>3925.5227900000009</v>
      </c>
      <c r="K118" s="54"/>
      <c r="L118" s="54"/>
      <c r="M118" s="54"/>
      <c r="N118" s="56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spans="1:27" ht="12" customHeight="1" x14ac:dyDescent="0.2">
      <c r="A119" s="49">
        <v>2018</v>
      </c>
      <c r="B119" s="49" t="s">
        <v>11</v>
      </c>
      <c r="C119" s="60">
        <v>0</v>
      </c>
      <c r="D119" s="60">
        <v>0</v>
      </c>
      <c r="E119" s="60"/>
      <c r="F119" s="60">
        <v>0</v>
      </c>
      <c r="G119" s="60">
        <v>0</v>
      </c>
      <c r="H119" s="60">
        <v>1571.9529700000001</v>
      </c>
      <c r="I119" s="60">
        <v>560.04602999999997</v>
      </c>
      <c r="J119" s="65">
        <v>2131.9989999999998</v>
      </c>
      <c r="K119" s="54"/>
      <c r="L119" s="54"/>
      <c r="M119" s="54"/>
      <c r="N119" s="56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spans="1:27" ht="12" customHeight="1" x14ac:dyDescent="0.2">
      <c r="A120" s="49">
        <v>2018</v>
      </c>
      <c r="B120" s="49" t="s">
        <v>12</v>
      </c>
      <c r="C120" s="60">
        <v>0</v>
      </c>
      <c r="D120" s="60">
        <v>0</v>
      </c>
      <c r="E120" s="60"/>
      <c r="F120" s="60">
        <v>0</v>
      </c>
      <c r="G120" s="60">
        <v>0</v>
      </c>
      <c r="H120" s="60">
        <v>1627.1073199999998</v>
      </c>
      <c r="I120" s="60">
        <v>586.17059000000006</v>
      </c>
      <c r="J120" s="65">
        <v>2213.2779099999998</v>
      </c>
      <c r="K120" s="54"/>
      <c r="L120" s="54"/>
      <c r="M120" s="54"/>
      <c r="N120" s="56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spans="1:27" ht="12" customHeight="1" x14ac:dyDescent="0.2">
      <c r="A121" s="49">
        <v>2018</v>
      </c>
      <c r="B121" s="49" t="s">
        <v>13</v>
      </c>
      <c r="C121" s="60">
        <v>0</v>
      </c>
      <c r="D121" s="60">
        <v>0</v>
      </c>
      <c r="E121" s="60"/>
      <c r="F121" s="60">
        <v>0</v>
      </c>
      <c r="G121" s="60">
        <v>0</v>
      </c>
      <c r="H121" s="60">
        <v>1006.54973</v>
      </c>
      <c r="I121" s="60">
        <v>233.70404000000002</v>
      </c>
      <c r="J121" s="65">
        <v>1240.25377</v>
      </c>
      <c r="K121" s="54"/>
      <c r="L121" s="54"/>
      <c r="M121" s="54"/>
      <c r="N121" s="56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spans="1:27" ht="11.25" customHeight="1" x14ac:dyDescent="0.2">
      <c r="A122" s="49">
        <v>2018</v>
      </c>
      <c r="B122" s="49" t="s">
        <v>14</v>
      </c>
      <c r="C122" s="60">
        <v>0</v>
      </c>
      <c r="D122" s="60">
        <v>0</v>
      </c>
      <c r="E122" s="60"/>
      <c r="F122" s="60">
        <v>0</v>
      </c>
      <c r="G122" s="60">
        <v>0</v>
      </c>
      <c r="H122" s="60">
        <v>1191.7071599999999</v>
      </c>
      <c r="I122" s="60">
        <v>218.15619000000001</v>
      </c>
      <c r="J122" s="65">
        <v>1409.8633499999999</v>
      </c>
      <c r="K122" s="54"/>
      <c r="L122" s="54"/>
      <c r="M122" s="54"/>
      <c r="N122" s="56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spans="1:27" ht="12" customHeight="1" x14ac:dyDescent="0.2">
      <c r="A123" s="49">
        <v>2018</v>
      </c>
      <c r="B123" s="49" t="s">
        <v>15</v>
      </c>
      <c r="C123" s="60">
        <v>0</v>
      </c>
      <c r="D123" s="60">
        <v>0</v>
      </c>
      <c r="E123" s="60"/>
      <c r="F123" s="60">
        <v>0</v>
      </c>
      <c r="G123" s="60">
        <v>0</v>
      </c>
      <c r="H123" s="60">
        <v>22327.635539999996</v>
      </c>
      <c r="I123" s="60">
        <v>8669.2129799999984</v>
      </c>
      <c r="J123" s="65">
        <v>30996.848519999996</v>
      </c>
      <c r="K123" s="54"/>
      <c r="L123" s="54"/>
      <c r="M123" s="54"/>
      <c r="N123" s="56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spans="1:27" ht="12" customHeight="1" x14ac:dyDescent="0.2">
      <c r="A124" s="49">
        <v>2019</v>
      </c>
      <c r="B124" s="49" t="s">
        <v>3</v>
      </c>
      <c r="C124" s="60">
        <v>0</v>
      </c>
      <c r="D124" s="60">
        <v>0</v>
      </c>
      <c r="E124" s="60"/>
      <c r="F124" s="60">
        <v>0</v>
      </c>
      <c r="G124" s="60">
        <v>0</v>
      </c>
      <c r="H124" s="60">
        <v>342.40496999999999</v>
      </c>
      <c r="I124" s="60">
        <v>23.621259999999999</v>
      </c>
      <c r="J124" s="65">
        <v>366.02623</v>
      </c>
      <c r="K124" s="54"/>
      <c r="L124" s="54"/>
      <c r="M124" s="54"/>
      <c r="N124" s="56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spans="1:27" ht="12" customHeight="1" x14ac:dyDescent="0.2">
      <c r="A125" s="49">
        <v>2019</v>
      </c>
      <c r="B125" s="49" t="s">
        <v>4</v>
      </c>
      <c r="C125" s="60">
        <v>0</v>
      </c>
      <c r="D125" s="60">
        <v>0</v>
      </c>
      <c r="E125" s="60"/>
      <c r="F125" s="60">
        <v>0</v>
      </c>
      <c r="G125" s="60">
        <v>0</v>
      </c>
      <c r="H125" s="60">
        <v>243.74127000000001</v>
      </c>
      <c r="I125" s="60">
        <v>0</v>
      </c>
      <c r="J125" s="65">
        <v>243.74127000000001</v>
      </c>
      <c r="K125" s="54"/>
      <c r="L125" s="54"/>
      <c r="M125" s="54"/>
      <c r="N125" s="56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spans="1:27" ht="12" customHeight="1" x14ac:dyDescent="0.2">
      <c r="A126" s="49">
        <v>2019</v>
      </c>
      <c r="B126" s="49" t="s">
        <v>5</v>
      </c>
      <c r="C126" s="60">
        <v>0</v>
      </c>
      <c r="D126" s="60">
        <v>0</v>
      </c>
      <c r="E126" s="60"/>
      <c r="F126" s="60">
        <v>0</v>
      </c>
      <c r="G126" s="60">
        <v>0</v>
      </c>
      <c r="H126" s="60">
        <v>223.59390000000002</v>
      </c>
      <c r="I126" s="60">
        <v>0</v>
      </c>
      <c r="J126" s="65">
        <v>223.59390000000002</v>
      </c>
      <c r="K126" s="54"/>
      <c r="L126" s="54"/>
      <c r="M126" s="54"/>
      <c r="N126" s="56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spans="1:27" ht="12" customHeight="1" x14ac:dyDescent="0.2">
      <c r="A127" s="49">
        <v>2019</v>
      </c>
      <c r="B127" s="49" t="s">
        <v>6</v>
      </c>
      <c r="C127" s="60">
        <v>0</v>
      </c>
      <c r="D127" s="60">
        <v>0</v>
      </c>
      <c r="E127" s="60"/>
      <c r="F127" s="60">
        <v>0</v>
      </c>
      <c r="G127" s="60">
        <v>0</v>
      </c>
      <c r="H127" s="60">
        <v>373.75034999999997</v>
      </c>
      <c r="I127" s="60">
        <v>270.89913000000001</v>
      </c>
      <c r="J127" s="65">
        <v>644.64948000000004</v>
      </c>
      <c r="K127" s="54"/>
      <c r="L127" s="54"/>
      <c r="M127" s="54"/>
      <c r="N127" s="56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spans="1:27" ht="12" customHeight="1" x14ac:dyDescent="0.2">
      <c r="A128" s="49">
        <v>2019</v>
      </c>
      <c r="B128" s="49" t="s">
        <v>7</v>
      </c>
      <c r="C128" s="60">
        <v>0</v>
      </c>
      <c r="D128" s="60">
        <v>0</v>
      </c>
      <c r="E128" s="60"/>
      <c r="F128" s="60">
        <v>0</v>
      </c>
      <c r="G128" s="60">
        <v>0</v>
      </c>
      <c r="H128" s="60">
        <v>587.26437999999996</v>
      </c>
      <c r="I128" s="60">
        <v>25.791700000000002</v>
      </c>
      <c r="J128" s="65">
        <v>613.05607999999995</v>
      </c>
      <c r="K128" s="54"/>
      <c r="L128" s="54"/>
      <c r="M128" s="54"/>
      <c r="N128" s="56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spans="1:27" ht="12" customHeight="1" x14ac:dyDescent="0.2">
      <c r="A129" s="49">
        <v>2019</v>
      </c>
      <c r="B129" s="49" t="s">
        <v>8</v>
      </c>
      <c r="C129" s="60">
        <v>0</v>
      </c>
      <c r="D129" s="60">
        <v>0</v>
      </c>
      <c r="E129" s="60"/>
      <c r="F129" s="60">
        <v>0</v>
      </c>
      <c r="G129" s="60">
        <v>0</v>
      </c>
      <c r="H129" s="60">
        <v>334.20465000000002</v>
      </c>
      <c r="I129" s="60">
        <v>0</v>
      </c>
      <c r="J129" s="65">
        <v>334.20465000000002</v>
      </c>
      <c r="K129" s="54"/>
      <c r="L129" s="54"/>
      <c r="M129" s="54"/>
      <c r="N129" s="56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spans="1:27" ht="12" customHeight="1" x14ac:dyDescent="0.2">
      <c r="A130" s="49">
        <v>2019</v>
      </c>
      <c r="B130" s="49" t="s">
        <v>9</v>
      </c>
      <c r="C130" s="60">
        <v>0</v>
      </c>
      <c r="D130" s="60">
        <v>0</v>
      </c>
      <c r="E130" s="60"/>
      <c r="F130" s="60">
        <v>0</v>
      </c>
      <c r="G130" s="60">
        <v>0</v>
      </c>
      <c r="H130" s="60">
        <v>1144.1575800000001</v>
      </c>
      <c r="I130" s="60">
        <v>0</v>
      </c>
      <c r="J130" s="65">
        <v>1144.1575800000001</v>
      </c>
      <c r="K130" s="54"/>
      <c r="L130" s="54"/>
      <c r="M130" s="54"/>
      <c r="N130" s="56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spans="1:27" ht="12" customHeight="1" x14ac:dyDescent="0.2">
      <c r="A131" s="49">
        <v>2019</v>
      </c>
      <c r="B131" s="49" t="s">
        <v>10</v>
      </c>
      <c r="C131" s="60">
        <v>0</v>
      </c>
      <c r="D131" s="60">
        <v>0</v>
      </c>
      <c r="E131" s="60"/>
      <c r="F131" s="60">
        <v>0</v>
      </c>
      <c r="G131" s="60">
        <v>0</v>
      </c>
      <c r="H131" s="60">
        <v>1337.6038500000002</v>
      </c>
      <c r="I131" s="60">
        <v>0</v>
      </c>
      <c r="J131" s="65">
        <v>1337.6038500000002</v>
      </c>
      <c r="K131" s="54"/>
      <c r="L131" s="54"/>
      <c r="M131" s="54"/>
      <c r="N131" s="56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spans="1:27" ht="12" customHeight="1" x14ac:dyDescent="0.2">
      <c r="A132" s="49">
        <v>2019</v>
      </c>
      <c r="B132" s="49" t="s">
        <v>11</v>
      </c>
      <c r="C132" s="60">
        <v>0</v>
      </c>
      <c r="D132" s="60">
        <v>0</v>
      </c>
      <c r="E132" s="60"/>
      <c r="F132" s="60">
        <v>0</v>
      </c>
      <c r="G132" s="60">
        <v>0</v>
      </c>
      <c r="H132" s="60">
        <v>913.58497</v>
      </c>
      <c r="I132" s="60">
        <v>0</v>
      </c>
      <c r="J132" s="65">
        <v>913.58497</v>
      </c>
      <c r="K132" s="54"/>
      <c r="L132" s="54"/>
      <c r="M132" s="54"/>
      <c r="N132" s="56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spans="1:27" ht="12" customHeight="1" x14ac:dyDescent="0.2">
      <c r="A133" s="49">
        <v>2019</v>
      </c>
      <c r="B133" s="49" t="s">
        <v>12</v>
      </c>
      <c r="C133" s="60">
        <v>0</v>
      </c>
      <c r="D133" s="60">
        <v>0</v>
      </c>
      <c r="E133" s="60"/>
      <c r="F133" s="60">
        <v>0</v>
      </c>
      <c r="G133" s="60">
        <v>0</v>
      </c>
      <c r="H133" s="60">
        <v>478.68754999999999</v>
      </c>
      <c r="I133" s="60">
        <v>0</v>
      </c>
      <c r="J133" s="65">
        <v>478.68754999999999</v>
      </c>
      <c r="K133" s="54"/>
      <c r="L133" s="54"/>
      <c r="M133" s="54"/>
      <c r="N133" s="56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spans="1:27" ht="12" customHeight="1" x14ac:dyDescent="0.2">
      <c r="A134" s="49">
        <v>2019</v>
      </c>
      <c r="B134" s="49" t="s">
        <v>13</v>
      </c>
      <c r="C134" s="60">
        <v>0</v>
      </c>
      <c r="D134" s="60">
        <v>0</v>
      </c>
      <c r="E134" s="60"/>
      <c r="F134" s="60">
        <v>0</v>
      </c>
      <c r="G134" s="60">
        <v>0</v>
      </c>
      <c r="H134" s="60">
        <v>364.95843999999994</v>
      </c>
      <c r="I134" s="60">
        <v>1474.0393599999998</v>
      </c>
      <c r="J134" s="65">
        <v>1838.9977999999996</v>
      </c>
      <c r="K134" s="54"/>
      <c r="L134" s="54"/>
      <c r="M134" s="54"/>
      <c r="N134" s="56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spans="1:27" ht="12" customHeight="1" x14ac:dyDescent="0.2">
      <c r="A135" s="49">
        <v>2019</v>
      </c>
      <c r="B135" s="49" t="s">
        <v>14</v>
      </c>
      <c r="C135" s="60">
        <v>0</v>
      </c>
      <c r="D135" s="60">
        <v>0</v>
      </c>
      <c r="E135" s="60"/>
      <c r="F135" s="60">
        <v>0</v>
      </c>
      <c r="G135" s="60">
        <v>0</v>
      </c>
      <c r="H135" s="60">
        <v>914.07083000000011</v>
      </c>
      <c r="I135" s="60">
        <v>2695.0457099999999</v>
      </c>
      <c r="J135" s="65">
        <v>3609.11654</v>
      </c>
      <c r="K135" s="54"/>
      <c r="L135" s="54"/>
      <c r="M135" s="54"/>
      <c r="N135" s="56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spans="1:27" ht="12" customHeight="1" x14ac:dyDescent="0.2">
      <c r="A136" s="49">
        <v>2019</v>
      </c>
      <c r="B136" s="49" t="s">
        <v>15</v>
      </c>
      <c r="C136" s="60">
        <v>0</v>
      </c>
      <c r="D136" s="60">
        <v>0</v>
      </c>
      <c r="E136" s="60"/>
      <c r="F136" s="60">
        <v>0</v>
      </c>
      <c r="G136" s="60">
        <v>0</v>
      </c>
      <c r="H136" s="60">
        <v>7258.0227400000003</v>
      </c>
      <c r="I136" s="60">
        <v>4489.3971599999995</v>
      </c>
      <c r="J136" s="65">
        <v>11747.419900000001</v>
      </c>
      <c r="K136" s="54"/>
      <c r="L136" s="54"/>
      <c r="M136" s="54"/>
      <c r="N136" s="56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spans="1:27" ht="12" customHeight="1" x14ac:dyDescent="0.2">
      <c r="A137" s="49">
        <v>2020</v>
      </c>
      <c r="B137" s="49" t="s">
        <v>3</v>
      </c>
      <c r="C137" s="60">
        <v>0</v>
      </c>
      <c r="D137" s="60">
        <v>0</v>
      </c>
      <c r="E137" s="60"/>
      <c r="F137" s="60">
        <v>0</v>
      </c>
      <c r="G137" s="60">
        <v>0</v>
      </c>
      <c r="H137" s="60">
        <v>560.26639</v>
      </c>
      <c r="I137" s="60">
        <v>1041.6821100000002</v>
      </c>
      <c r="J137" s="65">
        <v>1601.9485000000002</v>
      </c>
      <c r="K137" s="54"/>
      <c r="L137" s="54"/>
      <c r="M137" s="54"/>
      <c r="N137" s="56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2" customHeight="1" x14ac:dyDescent="0.2">
      <c r="A138" s="49">
        <v>2020</v>
      </c>
      <c r="B138" s="49" t="s">
        <v>4</v>
      </c>
      <c r="C138" s="60">
        <v>0</v>
      </c>
      <c r="D138" s="60">
        <v>0</v>
      </c>
      <c r="E138" s="60"/>
      <c r="F138" s="60">
        <v>0</v>
      </c>
      <c r="G138" s="60">
        <v>0</v>
      </c>
      <c r="H138" s="60">
        <v>120.52208999999999</v>
      </c>
      <c r="I138" s="60">
        <v>38.638539999999999</v>
      </c>
      <c r="J138" s="65">
        <v>159.16063</v>
      </c>
      <c r="K138" s="54"/>
      <c r="L138" s="54"/>
      <c r="M138" s="54"/>
      <c r="N138" s="56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2" customHeight="1" x14ac:dyDescent="0.2">
      <c r="A139" s="49">
        <v>2020</v>
      </c>
      <c r="B139" s="49" t="s">
        <v>5</v>
      </c>
      <c r="C139" s="60">
        <v>0</v>
      </c>
      <c r="D139" s="60">
        <v>0</v>
      </c>
      <c r="E139" s="60"/>
      <c r="F139" s="60">
        <v>0</v>
      </c>
      <c r="G139" s="60">
        <v>0</v>
      </c>
      <c r="H139" s="60">
        <v>165.88055</v>
      </c>
      <c r="I139" s="60">
        <v>160.33768000000001</v>
      </c>
      <c r="J139" s="65">
        <v>326.21823000000001</v>
      </c>
      <c r="K139" s="54"/>
      <c r="L139" s="54"/>
      <c r="M139" s="54"/>
      <c r="N139" s="56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spans="1:27" ht="12" customHeight="1" x14ac:dyDescent="0.2">
      <c r="A140" s="49">
        <v>2020</v>
      </c>
      <c r="B140" s="49" t="s">
        <v>6</v>
      </c>
      <c r="C140" s="60">
        <v>0</v>
      </c>
      <c r="D140" s="60">
        <v>0</v>
      </c>
      <c r="E140" s="60"/>
      <c r="F140" s="60">
        <v>0</v>
      </c>
      <c r="G140" s="60">
        <v>0</v>
      </c>
      <c r="H140" s="60">
        <v>73.609850000000009</v>
      </c>
      <c r="I140" s="60">
        <v>7.17903</v>
      </c>
      <c r="J140" s="65">
        <v>80.788880000000006</v>
      </c>
      <c r="K140" s="54"/>
      <c r="L140" s="54"/>
      <c r="M140" s="54"/>
      <c r="N140" s="56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spans="1:27" ht="12" customHeight="1" x14ac:dyDescent="0.2">
      <c r="A141" s="49">
        <v>2020</v>
      </c>
      <c r="B141" s="49" t="s">
        <v>7</v>
      </c>
      <c r="C141" s="60">
        <v>0</v>
      </c>
      <c r="D141" s="60">
        <v>0</v>
      </c>
      <c r="E141" s="60"/>
      <c r="F141" s="60">
        <v>0</v>
      </c>
      <c r="G141" s="60">
        <v>0</v>
      </c>
      <c r="H141" s="60">
        <v>154.31468999999998</v>
      </c>
      <c r="I141" s="60">
        <v>1071.31375</v>
      </c>
      <c r="J141" s="65">
        <v>1225.62844</v>
      </c>
      <c r="K141" s="54"/>
      <c r="L141" s="54"/>
      <c r="M141" s="54"/>
      <c r="N141" s="56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spans="1:27" ht="12" customHeight="1" x14ac:dyDescent="0.2">
      <c r="A142" s="49">
        <v>2020</v>
      </c>
      <c r="B142" s="49" t="s">
        <v>8</v>
      </c>
      <c r="C142" s="60">
        <v>0</v>
      </c>
      <c r="D142" s="60">
        <v>0</v>
      </c>
      <c r="E142" s="60"/>
      <c r="F142" s="60">
        <v>0</v>
      </c>
      <c r="G142" s="60">
        <v>0</v>
      </c>
      <c r="H142" s="60">
        <v>548.77634000000012</v>
      </c>
      <c r="I142" s="60">
        <v>729.67844000000002</v>
      </c>
      <c r="J142" s="65">
        <v>1278.45478</v>
      </c>
      <c r="K142" s="54"/>
      <c r="L142" s="54"/>
      <c r="M142" s="54"/>
      <c r="N142" s="56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1:27" ht="12" customHeight="1" x14ac:dyDescent="0.2">
      <c r="A143" s="49">
        <v>2020</v>
      </c>
      <c r="B143" s="49" t="s">
        <v>9</v>
      </c>
      <c r="C143" s="60">
        <v>0</v>
      </c>
      <c r="D143" s="60">
        <v>0</v>
      </c>
      <c r="E143" s="60"/>
      <c r="F143" s="60">
        <v>0</v>
      </c>
      <c r="G143" s="60">
        <v>0</v>
      </c>
      <c r="H143" s="60">
        <v>1047.35988</v>
      </c>
      <c r="I143" s="60">
        <v>396.96009000000004</v>
      </c>
      <c r="J143" s="65">
        <v>1444.31997</v>
      </c>
      <c r="K143" s="54"/>
      <c r="L143" s="54"/>
      <c r="M143" s="54"/>
      <c r="N143" s="56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1:27" ht="12" customHeight="1" x14ac:dyDescent="0.2">
      <c r="A144" s="63">
        <v>2020</v>
      </c>
      <c r="B144" s="50" t="s">
        <v>10</v>
      </c>
      <c r="C144" s="40">
        <v>0</v>
      </c>
      <c r="D144" s="40">
        <v>0</v>
      </c>
      <c r="E144" s="40"/>
      <c r="F144" s="40">
        <v>0</v>
      </c>
      <c r="G144" s="40">
        <v>0</v>
      </c>
      <c r="H144" s="40">
        <v>617.97389999999996</v>
      </c>
      <c r="I144" s="40">
        <v>13.67559</v>
      </c>
      <c r="J144" s="66">
        <v>631.64949000000001</v>
      </c>
      <c r="K144" s="54"/>
      <c r="L144" s="54"/>
      <c r="M144" s="54"/>
      <c r="N144" s="56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1:27" ht="12" customHeight="1" x14ac:dyDescent="0.2">
      <c r="A145" s="63">
        <v>2020</v>
      </c>
      <c r="B145" s="50" t="s">
        <v>11</v>
      </c>
      <c r="C145" s="40">
        <v>0</v>
      </c>
      <c r="D145" s="40">
        <v>0</v>
      </c>
      <c r="E145" s="40"/>
      <c r="F145" s="40">
        <v>0</v>
      </c>
      <c r="G145" s="40">
        <v>0</v>
      </c>
      <c r="H145" s="40">
        <v>727.68882999999994</v>
      </c>
      <c r="I145" s="40">
        <v>77.404100000000014</v>
      </c>
      <c r="J145" s="66">
        <v>805.09292999999991</v>
      </c>
      <c r="K145" s="54"/>
      <c r="L145" s="54"/>
      <c r="M145" s="54"/>
      <c r="N145" s="56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1:27" ht="12" customHeight="1" x14ac:dyDescent="0.2">
      <c r="A146" s="63">
        <v>2020</v>
      </c>
      <c r="B146" s="50" t="s">
        <v>12</v>
      </c>
      <c r="C146" s="40">
        <v>0</v>
      </c>
      <c r="D146" s="40">
        <v>0</v>
      </c>
      <c r="E146" s="40"/>
      <c r="F146" s="40">
        <v>0</v>
      </c>
      <c r="G146" s="40">
        <v>0</v>
      </c>
      <c r="H146" s="40">
        <v>1106.3820799999999</v>
      </c>
      <c r="I146" s="40">
        <v>1406.1376900000002</v>
      </c>
      <c r="J146" s="66">
        <v>2512.5197699999999</v>
      </c>
      <c r="K146" s="54"/>
      <c r="L146" s="54"/>
      <c r="M146" s="54"/>
      <c r="N146" s="56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1:27" ht="12" customHeight="1" x14ac:dyDescent="0.2">
      <c r="A147" s="63">
        <v>2020</v>
      </c>
      <c r="B147" s="50" t="s">
        <v>13</v>
      </c>
      <c r="C147" s="40">
        <v>0</v>
      </c>
      <c r="D147" s="40">
        <v>0</v>
      </c>
      <c r="E147" s="40"/>
      <c r="F147" s="40">
        <v>0</v>
      </c>
      <c r="G147" s="40">
        <v>0</v>
      </c>
      <c r="H147" s="40">
        <v>532.29016999999999</v>
      </c>
      <c r="I147" s="40">
        <v>737.01520999999991</v>
      </c>
      <c r="J147" s="66">
        <v>1269.3053799999998</v>
      </c>
      <c r="K147" s="54"/>
      <c r="L147" s="54"/>
      <c r="M147" s="54"/>
      <c r="N147" s="56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1:27" ht="12" customHeight="1" x14ac:dyDescent="0.2">
      <c r="A148" s="63">
        <v>2020</v>
      </c>
      <c r="B148" s="50" t="s">
        <v>14</v>
      </c>
      <c r="C148" s="40">
        <v>0</v>
      </c>
      <c r="D148" s="40">
        <v>0</v>
      </c>
      <c r="E148" s="40"/>
      <c r="F148" s="40">
        <v>0</v>
      </c>
      <c r="G148" s="40">
        <v>0</v>
      </c>
      <c r="H148" s="40">
        <v>661.89275999999984</v>
      </c>
      <c r="I148" s="40">
        <v>7.0745899999999997</v>
      </c>
      <c r="J148" s="66">
        <v>668.96734999999978</v>
      </c>
      <c r="K148" s="54"/>
      <c r="L148" s="54"/>
      <c r="M148" s="54"/>
      <c r="N148" s="56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1:27" ht="12" customHeight="1" x14ac:dyDescent="0.2">
      <c r="A149" s="63">
        <v>2020</v>
      </c>
      <c r="B149" s="50" t="s">
        <v>15</v>
      </c>
      <c r="C149" s="81">
        <v>0</v>
      </c>
      <c r="D149" s="80">
        <v>0</v>
      </c>
      <c r="E149" s="80"/>
      <c r="F149" s="80">
        <v>0</v>
      </c>
      <c r="G149" s="80">
        <v>0</v>
      </c>
      <c r="H149" s="80">
        <v>6316.9575300000006</v>
      </c>
      <c r="I149" s="80">
        <v>5687.0968200000007</v>
      </c>
      <c r="J149" s="66">
        <v>12004.054349999999</v>
      </c>
      <c r="K149" s="54"/>
      <c r="L149" s="51"/>
      <c r="M149" s="54"/>
      <c r="N149" s="56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1:27" ht="12" customHeight="1" x14ac:dyDescent="0.2">
      <c r="A150" s="49">
        <v>2021</v>
      </c>
      <c r="B150" s="49" t="s">
        <v>3</v>
      </c>
      <c r="C150" s="40">
        <v>0</v>
      </c>
      <c r="D150" s="40">
        <v>0</v>
      </c>
      <c r="E150" s="40"/>
      <c r="F150" s="40">
        <v>0</v>
      </c>
      <c r="G150" s="40">
        <v>0</v>
      </c>
      <c r="H150" s="40">
        <v>222.14483999999999</v>
      </c>
      <c r="I150" s="40">
        <v>228.01430000000002</v>
      </c>
      <c r="J150" s="67">
        <v>450.15913999999998</v>
      </c>
      <c r="K150" s="54"/>
      <c r="L150" s="54"/>
      <c r="M150" s="54"/>
      <c r="N150" s="56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1:27" ht="12" customHeight="1" x14ac:dyDescent="0.2">
      <c r="A151" s="49">
        <v>2021</v>
      </c>
      <c r="B151" s="49" t="s">
        <v>4</v>
      </c>
      <c r="C151" s="40">
        <v>0</v>
      </c>
      <c r="D151" s="40">
        <v>0</v>
      </c>
      <c r="E151" s="40"/>
      <c r="F151" s="40">
        <v>0</v>
      </c>
      <c r="G151" s="40">
        <v>0</v>
      </c>
      <c r="H151" s="40">
        <v>104.01560000000001</v>
      </c>
      <c r="I151" s="40">
        <v>2339.2886699999999</v>
      </c>
      <c r="J151" s="67">
        <v>2443.3042700000001</v>
      </c>
      <c r="K151" s="54"/>
      <c r="L151" s="54"/>
      <c r="M151" s="54"/>
      <c r="N151" s="56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1:27" ht="12" customHeight="1" x14ac:dyDescent="0.2">
      <c r="A152" s="49">
        <v>2021</v>
      </c>
      <c r="B152" s="49" t="s">
        <v>5</v>
      </c>
      <c r="C152" s="40">
        <v>0</v>
      </c>
      <c r="D152" s="40">
        <v>0</v>
      </c>
      <c r="E152" s="40"/>
      <c r="F152" s="40">
        <v>0</v>
      </c>
      <c r="G152" s="40">
        <v>0</v>
      </c>
      <c r="H152" s="40">
        <v>138.5017</v>
      </c>
      <c r="I152" s="40">
        <v>1267.4988000000001</v>
      </c>
      <c r="J152" s="67">
        <v>1406.0005000000001</v>
      </c>
      <c r="K152" s="54"/>
      <c r="L152" s="54"/>
      <c r="M152" s="54"/>
      <c r="N152" s="56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2" customHeight="1" x14ac:dyDescent="0.2">
      <c r="A153" s="49">
        <v>2021</v>
      </c>
      <c r="B153" s="49" t="s">
        <v>6</v>
      </c>
      <c r="C153" s="40">
        <v>0</v>
      </c>
      <c r="D153" s="40">
        <v>0</v>
      </c>
      <c r="E153" s="40"/>
      <c r="F153" s="40">
        <v>0</v>
      </c>
      <c r="G153" s="40">
        <v>0</v>
      </c>
      <c r="H153" s="40">
        <v>308.57407000000001</v>
      </c>
      <c r="I153" s="40">
        <v>1431.4055800000001</v>
      </c>
      <c r="J153" s="67">
        <v>1739.9796500000002</v>
      </c>
      <c r="K153" s="54"/>
      <c r="L153" s="54"/>
      <c r="M153" s="54"/>
      <c r="N153" s="56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1:27" ht="12" customHeight="1" x14ac:dyDescent="0.2">
      <c r="A154" s="49">
        <v>2021</v>
      </c>
      <c r="B154" s="49" t="s">
        <v>7</v>
      </c>
      <c r="C154" s="40">
        <v>0</v>
      </c>
      <c r="D154" s="40">
        <v>0</v>
      </c>
      <c r="E154" s="40"/>
      <c r="F154" s="40">
        <v>0</v>
      </c>
      <c r="G154" s="40">
        <v>0</v>
      </c>
      <c r="H154" s="40">
        <v>208.96616000000003</v>
      </c>
      <c r="I154" s="40">
        <v>1917.0609600000005</v>
      </c>
      <c r="J154" s="67">
        <v>2126.0271200000007</v>
      </c>
      <c r="K154" s="54"/>
      <c r="L154" s="54"/>
      <c r="M154" s="54"/>
      <c r="N154" s="56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1:27" ht="12" customHeight="1" x14ac:dyDescent="0.2">
      <c r="A155" s="49">
        <v>2021</v>
      </c>
      <c r="B155" s="49" t="s">
        <v>8</v>
      </c>
      <c r="C155" s="40">
        <v>0</v>
      </c>
      <c r="D155" s="40">
        <v>0</v>
      </c>
      <c r="E155" s="40"/>
      <c r="F155" s="40">
        <v>0</v>
      </c>
      <c r="G155" s="40">
        <v>0</v>
      </c>
      <c r="H155" s="40">
        <v>526.10885999999994</v>
      </c>
      <c r="I155" s="40">
        <v>1264.6885500000001</v>
      </c>
      <c r="J155" s="67">
        <v>1790.7974100000001</v>
      </c>
      <c r="K155" s="54"/>
      <c r="L155" s="54"/>
      <c r="M155" s="54"/>
      <c r="N155" s="56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1:27" ht="12" customHeight="1" x14ac:dyDescent="0.2">
      <c r="A156" s="49">
        <v>2021</v>
      </c>
      <c r="B156" s="49" t="s">
        <v>9</v>
      </c>
      <c r="C156" s="40">
        <v>0</v>
      </c>
      <c r="D156" s="40">
        <v>0</v>
      </c>
      <c r="E156" s="40"/>
      <c r="F156" s="40">
        <v>0</v>
      </c>
      <c r="G156" s="40">
        <v>0</v>
      </c>
      <c r="H156" s="40">
        <v>984.86803000000009</v>
      </c>
      <c r="I156" s="40">
        <v>1537.4264799999999</v>
      </c>
      <c r="J156" s="67">
        <v>2522.2945099999997</v>
      </c>
      <c r="K156" s="54"/>
      <c r="L156" s="54"/>
      <c r="M156" s="54"/>
      <c r="N156" s="56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1:27" ht="12" customHeight="1" x14ac:dyDescent="0.2">
      <c r="A157" s="49">
        <v>2021</v>
      </c>
      <c r="B157" s="49" t="s">
        <v>10</v>
      </c>
      <c r="C157" s="40">
        <v>0</v>
      </c>
      <c r="D157" s="40">
        <v>0</v>
      </c>
      <c r="E157" s="40"/>
      <c r="F157" s="40">
        <v>0</v>
      </c>
      <c r="G157" s="40">
        <v>0</v>
      </c>
      <c r="H157" s="40">
        <v>293.68542000000002</v>
      </c>
      <c r="I157" s="40">
        <v>897.89427999999998</v>
      </c>
      <c r="J157" s="67">
        <v>1191.5797</v>
      </c>
      <c r="K157" s="54"/>
      <c r="L157" s="54"/>
      <c r="M157" s="54"/>
      <c r="N157" s="56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1:27" ht="12" customHeight="1" x14ac:dyDescent="0.2">
      <c r="A158" s="49">
        <v>2021</v>
      </c>
      <c r="B158" s="49" t="s">
        <v>11</v>
      </c>
      <c r="C158" s="40">
        <v>0</v>
      </c>
      <c r="D158" s="40">
        <v>0</v>
      </c>
      <c r="E158" s="40"/>
      <c r="F158" s="40">
        <v>0</v>
      </c>
      <c r="G158" s="40">
        <v>0</v>
      </c>
      <c r="H158" s="40">
        <v>576.90225999999996</v>
      </c>
      <c r="I158" s="40">
        <v>1375.63949</v>
      </c>
      <c r="J158" s="67">
        <v>1952.5417499999999</v>
      </c>
      <c r="K158" s="54"/>
      <c r="L158" s="54"/>
      <c r="M158" s="54"/>
      <c r="N158" s="56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1:27" ht="12" customHeight="1" x14ac:dyDescent="0.2">
      <c r="A159" s="49">
        <v>2021</v>
      </c>
      <c r="B159" s="49" t="s">
        <v>12</v>
      </c>
      <c r="C159" s="40">
        <v>0</v>
      </c>
      <c r="D159" s="40">
        <v>0</v>
      </c>
      <c r="E159" s="40"/>
      <c r="F159" s="40">
        <v>0</v>
      </c>
      <c r="G159" s="40">
        <v>0</v>
      </c>
      <c r="H159" s="40">
        <v>677.27592000000004</v>
      </c>
      <c r="I159" s="40">
        <v>976.24391999999989</v>
      </c>
      <c r="J159" s="67">
        <v>1653.5198399999999</v>
      </c>
      <c r="K159" s="54"/>
      <c r="L159" s="54"/>
      <c r="M159" s="54"/>
      <c r="N159" s="56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spans="1:27" ht="12" customHeight="1" x14ac:dyDescent="0.2">
      <c r="A160" s="49">
        <v>2021</v>
      </c>
      <c r="B160" s="49" t="s">
        <v>13</v>
      </c>
      <c r="C160" s="40">
        <v>0</v>
      </c>
      <c r="D160" s="40">
        <v>0</v>
      </c>
      <c r="E160" s="40"/>
      <c r="F160" s="40">
        <v>0</v>
      </c>
      <c r="G160" s="40">
        <v>0</v>
      </c>
      <c r="H160" s="40">
        <v>402.59295999999995</v>
      </c>
      <c r="I160" s="40">
        <v>186.44305999999997</v>
      </c>
      <c r="J160" s="67">
        <v>589.03601999999989</v>
      </c>
      <c r="K160" s="54"/>
      <c r="L160" s="54"/>
      <c r="M160" s="54"/>
      <c r="N160" s="56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spans="1:27" ht="12" customHeight="1" x14ac:dyDescent="0.2">
      <c r="A161" s="49">
        <v>2021</v>
      </c>
      <c r="B161" s="49" t="s">
        <v>14</v>
      </c>
      <c r="C161" s="40">
        <v>0</v>
      </c>
      <c r="D161" s="40">
        <v>0</v>
      </c>
      <c r="E161" s="40"/>
      <c r="F161" s="40">
        <v>0</v>
      </c>
      <c r="G161" s="40">
        <v>0</v>
      </c>
      <c r="H161" s="40">
        <v>522.40116999999998</v>
      </c>
      <c r="I161" s="40">
        <v>373.63663000000003</v>
      </c>
      <c r="J161" s="67">
        <v>896.03780000000006</v>
      </c>
      <c r="K161" s="54"/>
      <c r="L161" s="54"/>
      <c r="M161" s="54"/>
      <c r="N161" s="56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spans="1:27" ht="12" customHeight="1" x14ac:dyDescent="0.2">
      <c r="A162" s="49">
        <v>2021</v>
      </c>
      <c r="B162" s="49" t="s">
        <v>15</v>
      </c>
      <c r="C162" s="40">
        <v>0</v>
      </c>
      <c r="D162" s="80">
        <v>0</v>
      </c>
      <c r="E162" s="80"/>
      <c r="F162" s="80">
        <v>0</v>
      </c>
      <c r="G162" s="80">
        <v>0</v>
      </c>
      <c r="H162" s="80">
        <v>4966.0369899999996</v>
      </c>
      <c r="I162" s="80">
        <v>13795.240720000003</v>
      </c>
      <c r="J162" s="67">
        <v>18761.277710000002</v>
      </c>
      <c r="K162" s="54"/>
      <c r="L162" s="54"/>
      <c r="M162" s="54"/>
      <c r="N162" s="56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spans="1:27" ht="12" customHeight="1" x14ac:dyDescent="0.2">
      <c r="A163" s="63">
        <v>2022</v>
      </c>
      <c r="B163" s="50" t="s">
        <v>3</v>
      </c>
      <c r="C163" s="40">
        <v>0</v>
      </c>
      <c r="D163" s="40">
        <v>0</v>
      </c>
      <c r="E163" s="40"/>
      <c r="F163" s="40">
        <v>0</v>
      </c>
      <c r="G163" s="40">
        <v>0</v>
      </c>
      <c r="H163" s="40">
        <v>161.32077000000001</v>
      </c>
      <c r="I163" s="40">
        <v>1581.3700800000001</v>
      </c>
      <c r="J163" s="66">
        <v>1742.6908500000002</v>
      </c>
      <c r="K163" s="54"/>
      <c r="L163" s="54"/>
      <c r="M163" s="54"/>
      <c r="N163" s="56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spans="1:27" ht="12" customHeight="1" x14ac:dyDescent="0.2">
      <c r="A164" s="63">
        <v>2022</v>
      </c>
      <c r="B164" s="50" t="s">
        <v>4</v>
      </c>
      <c r="C164" s="40">
        <v>0</v>
      </c>
      <c r="D164" s="40">
        <v>0</v>
      </c>
      <c r="E164" s="40"/>
      <c r="F164" s="40">
        <v>0</v>
      </c>
      <c r="G164" s="40">
        <v>0</v>
      </c>
      <c r="H164" s="40">
        <v>132.32978999999997</v>
      </c>
      <c r="I164" s="40">
        <v>1596.3085599999997</v>
      </c>
      <c r="J164" s="66">
        <v>1728.6383499999997</v>
      </c>
      <c r="K164" s="54"/>
      <c r="L164" s="54"/>
      <c r="M164" s="54"/>
      <c r="N164" s="56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spans="1:27" ht="12" customHeight="1" x14ac:dyDescent="0.2">
      <c r="A165" s="63">
        <v>2022</v>
      </c>
      <c r="B165" s="50" t="s">
        <v>5</v>
      </c>
      <c r="C165" s="40">
        <v>0</v>
      </c>
      <c r="D165" s="40">
        <v>0</v>
      </c>
      <c r="E165" s="40"/>
      <c r="F165" s="40">
        <v>0</v>
      </c>
      <c r="G165" s="40">
        <v>0</v>
      </c>
      <c r="H165" s="40">
        <v>134.92333000000002</v>
      </c>
      <c r="I165" s="40">
        <v>2603.0349800000013</v>
      </c>
      <c r="J165" s="66">
        <v>2737.9583100000013</v>
      </c>
      <c r="K165" s="54"/>
      <c r="L165" s="54"/>
      <c r="M165" s="54"/>
      <c r="N165" s="56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spans="1:27" ht="12" customHeight="1" x14ac:dyDescent="0.2">
      <c r="A166" s="63">
        <v>2022</v>
      </c>
      <c r="B166" s="50" t="s">
        <v>6</v>
      </c>
      <c r="C166" s="40">
        <v>0</v>
      </c>
      <c r="D166" s="40">
        <v>0</v>
      </c>
      <c r="E166" s="40"/>
      <c r="F166" s="40">
        <v>0</v>
      </c>
      <c r="G166" s="40">
        <v>0</v>
      </c>
      <c r="H166" s="40">
        <v>175.44833000000003</v>
      </c>
      <c r="I166" s="40">
        <v>5618.045420000004</v>
      </c>
      <c r="J166" s="66">
        <v>5793.4937500000042</v>
      </c>
      <c r="K166" s="54"/>
      <c r="L166" s="54"/>
      <c r="M166" s="54"/>
      <c r="N166" s="56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spans="1:27" ht="12" customHeight="1" x14ac:dyDescent="0.2">
      <c r="A167" s="63">
        <v>2022</v>
      </c>
      <c r="B167" s="50" t="s">
        <v>7</v>
      </c>
      <c r="C167" s="40">
        <v>0</v>
      </c>
      <c r="D167" s="40">
        <v>0</v>
      </c>
      <c r="E167" s="40"/>
      <c r="F167" s="40">
        <v>0</v>
      </c>
      <c r="G167" s="40">
        <v>0</v>
      </c>
      <c r="H167" s="40">
        <v>99.005300000000005</v>
      </c>
      <c r="I167" s="40">
        <v>6181.1917700000004</v>
      </c>
      <c r="J167" s="66">
        <v>6280.1970700000002</v>
      </c>
      <c r="K167" s="54"/>
      <c r="L167" s="54"/>
      <c r="M167" s="54"/>
      <c r="N167" s="56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spans="1:27" ht="12" customHeight="1" x14ac:dyDescent="0.2">
      <c r="A168" s="63">
        <v>2022</v>
      </c>
      <c r="B168" s="50" t="s">
        <v>8</v>
      </c>
      <c r="C168" s="40">
        <v>0</v>
      </c>
      <c r="D168" s="40">
        <v>0</v>
      </c>
      <c r="E168" s="40"/>
      <c r="F168" s="40">
        <v>0</v>
      </c>
      <c r="G168" s="40">
        <v>60</v>
      </c>
      <c r="H168" s="40">
        <v>189.28527000000003</v>
      </c>
      <c r="I168" s="40">
        <v>3051.3502799999978</v>
      </c>
      <c r="J168" s="66">
        <v>3300.6355499999977</v>
      </c>
      <c r="K168" s="54"/>
      <c r="L168" s="54"/>
      <c r="M168" s="54"/>
      <c r="N168" s="56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spans="1:27" ht="12" customHeight="1" x14ac:dyDescent="0.2">
      <c r="A169" s="63">
        <v>2022</v>
      </c>
      <c r="B169" s="50" t="s">
        <v>9</v>
      </c>
      <c r="C169" s="40">
        <v>0</v>
      </c>
      <c r="D169" s="40">
        <v>0</v>
      </c>
      <c r="E169" s="40"/>
      <c r="F169" s="40">
        <v>0</v>
      </c>
      <c r="G169" s="40">
        <v>172</v>
      </c>
      <c r="H169" s="40">
        <v>145.94993000000002</v>
      </c>
      <c r="I169" s="40">
        <v>3076.6948399999987</v>
      </c>
      <c r="J169" s="66">
        <v>3394.644769999999</v>
      </c>
      <c r="K169" s="54"/>
      <c r="L169" s="54"/>
      <c r="M169" s="54"/>
      <c r="N169" s="56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spans="1:27" ht="12" customHeight="1" x14ac:dyDescent="0.2">
      <c r="A170" s="63">
        <v>2022</v>
      </c>
      <c r="B170" s="50" t="s">
        <v>10</v>
      </c>
      <c r="C170" s="40">
        <v>0</v>
      </c>
      <c r="D170" s="40">
        <v>0</v>
      </c>
      <c r="E170" s="40"/>
      <c r="F170" s="40">
        <v>0</v>
      </c>
      <c r="G170" s="40">
        <v>119.45</v>
      </c>
      <c r="H170" s="40">
        <v>598.98352</v>
      </c>
      <c r="I170" s="40">
        <v>1596.85277</v>
      </c>
      <c r="J170" s="66">
        <v>2315.28629</v>
      </c>
      <c r="K170" s="54"/>
      <c r="L170" s="54"/>
      <c r="M170" s="54"/>
      <c r="N170" s="56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spans="1:27" ht="12" customHeight="1" x14ac:dyDescent="0.2">
      <c r="A171" s="63">
        <v>2022</v>
      </c>
      <c r="B171" s="50" t="s">
        <v>11</v>
      </c>
      <c r="C171" s="40">
        <v>0</v>
      </c>
      <c r="D171" s="40">
        <v>0</v>
      </c>
      <c r="E171" s="40"/>
      <c r="F171" s="40">
        <v>0</v>
      </c>
      <c r="G171" s="40">
        <v>122.5</v>
      </c>
      <c r="H171" s="40">
        <v>840.28614999999991</v>
      </c>
      <c r="I171" s="40">
        <v>1031.5062600000001</v>
      </c>
      <c r="J171" s="66">
        <v>1994.29241</v>
      </c>
      <c r="K171" s="54"/>
      <c r="L171" s="54"/>
      <c r="M171" s="54"/>
      <c r="N171" s="56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spans="1:27" ht="12" customHeight="1" x14ac:dyDescent="0.2">
      <c r="A172" s="63">
        <v>2022</v>
      </c>
      <c r="B172" s="50" t="s">
        <v>12</v>
      </c>
      <c r="C172" s="40">
        <v>0</v>
      </c>
      <c r="D172" s="40">
        <v>0</v>
      </c>
      <c r="E172" s="40"/>
      <c r="F172" s="40">
        <v>0</v>
      </c>
      <c r="G172" s="40">
        <v>328</v>
      </c>
      <c r="H172" s="40">
        <v>1841.0186899999999</v>
      </c>
      <c r="I172" s="40">
        <v>647.35590000000002</v>
      </c>
      <c r="J172" s="66">
        <v>2816.3745899999999</v>
      </c>
      <c r="K172" s="54"/>
      <c r="L172" s="54"/>
      <c r="M172" s="54"/>
      <c r="N172" s="56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spans="1:27" ht="12" customHeight="1" x14ac:dyDescent="0.2">
      <c r="A173" s="63">
        <v>2022</v>
      </c>
      <c r="B173" s="50" t="s">
        <v>13</v>
      </c>
      <c r="C173" s="40">
        <v>0</v>
      </c>
      <c r="D173" s="40">
        <v>0</v>
      </c>
      <c r="E173" s="40"/>
      <c r="F173" s="40">
        <v>0</v>
      </c>
      <c r="G173" s="40">
        <v>552.82000000000005</v>
      </c>
      <c r="H173" s="40">
        <v>594.30841999999996</v>
      </c>
      <c r="I173" s="40">
        <v>3112.0738899999997</v>
      </c>
      <c r="J173" s="66">
        <v>4259.2023099999997</v>
      </c>
      <c r="K173" s="54"/>
      <c r="L173" s="54"/>
      <c r="M173" s="54"/>
      <c r="N173" s="56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spans="1:27" ht="12" customHeight="1" x14ac:dyDescent="0.2">
      <c r="A174" s="63">
        <v>2022</v>
      </c>
      <c r="B174" s="50" t="s">
        <v>14</v>
      </c>
      <c r="C174" s="40">
        <v>0</v>
      </c>
      <c r="D174" s="40">
        <v>0</v>
      </c>
      <c r="E174" s="40"/>
      <c r="F174" s="40">
        <v>0</v>
      </c>
      <c r="G174" s="40">
        <v>527</v>
      </c>
      <c r="H174" s="40">
        <v>966.81626999999992</v>
      </c>
      <c r="I174" s="40">
        <v>5140.2460599999995</v>
      </c>
      <c r="J174" s="66">
        <v>6634.0623299999988</v>
      </c>
      <c r="K174" s="54"/>
      <c r="L174" s="54"/>
      <c r="M174" s="54"/>
      <c r="N174" s="56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spans="1:27" ht="12" customHeight="1" x14ac:dyDescent="0.2">
      <c r="A175" s="63">
        <v>2022</v>
      </c>
      <c r="B175" s="50" t="s">
        <v>15</v>
      </c>
      <c r="C175" s="40">
        <v>0</v>
      </c>
      <c r="D175" s="80">
        <v>0</v>
      </c>
      <c r="E175" s="80"/>
      <c r="F175" s="80">
        <v>0</v>
      </c>
      <c r="G175" s="80">
        <v>1881.77</v>
      </c>
      <c r="H175" s="80">
        <v>5879.6757700000007</v>
      </c>
      <c r="I175" s="80">
        <v>35236.030810000004</v>
      </c>
      <c r="J175" s="66">
        <v>42997.476580000002</v>
      </c>
      <c r="K175" s="54"/>
      <c r="L175" s="54"/>
      <c r="M175" s="54"/>
      <c r="N175" s="56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spans="1:27" ht="12" customHeight="1" x14ac:dyDescent="0.2">
      <c r="A176" s="49">
        <v>2023</v>
      </c>
      <c r="B176" s="49" t="s">
        <v>3</v>
      </c>
      <c r="C176" s="40">
        <v>0</v>
      </c>
      <c r="D176" s="40">
        <v>0</v>
      </c>
      <c r="E176" s="40"/>
      <c r="F176" s="40">
        <v>0</v>
      </c>
      <c r="G176" s="40">
        <v>536</v>
      </c>
      <c r="H176" s="40">
        <v>562.77664000000004</v>
      </c>
      <c r="I176" s="40">
        <v>3059.7040200000006</v>
      </c>
      <c r="J176" s="67">
        <v>4158.4806600000011</v>
      </c>
      <c r="K176" s="54"/>
      <c r="L176" s="54"/>
      <c r="M176" s="54"/>
      <c r="N176" s="56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spans="1:27" ht="12" customHeight="1" x14ac:dyDescent="0.2">
      <c r="A177" s="49">
        <v>2023</v>
      </c>
      <c r="B177" s="49" t="s">
        <v>4</v>
      </c>
      <c r="C177" s="40">
        <v>0</v>
      </c>
      <c r="D177" s="40">
        <v>0</v>
      </c>
      <c r="E177" s="40"/>
      <c r="F177" s="40">
        <v>0</v>
      </c>
      <c r="G177" s="40">
        <v>680</v>
      </c>
      <c r="H177" s="40">
        <v>1334.3240399999997</v>
      </c>
      <c r="I177" s="40">
        <v>1367.4540699999998</v>
      </c>
      <c r="J177" s="67">
        <v>3381.7781099999993</v>
      </c>
      <c r="K177" s="54"/>
      <c r="L177" s="54"/>
      <c r="M177" s="54"/>
      <c r="N177" s="56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spans="1:27" ht="12" customHeight="1" x14ac:dyDescent="0.2">
      <c r="A178" s="49">
        <v>2023</v>
      </c>
      <c r="B178" s="49" t="s">
        <v>5</v>
      </c>
      <c r="C178" s="40">
        <v>0</v>
      </c>
      <c r="D178" s="40">
        <v>0</v>
      </c>
      <c r="E178" s="40"/>
      <c r="F178" s="40">
        <v>0</v>
      </c>
      <c r="G178" s="40">
        <v>820</v>
      </c>
      <c r="H178" s="40">
        <v>894.52283999999986</v>
      </c>
      <c r="I178" s="40">
        <v>3707.2966599999991</v>
      </c>
      <c r="J178" s="67">
        <v>5421.8194999999987</v>
      </c>
      <c r="K178" s="54"/>
      <c r="L178" s="54"/>
      <c r="M178" s="54"/>
      <c r="N178" s="56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spans="1:27" ht="12" customHeight="1" x14ac:dyDescent="0.2">
      <c r="A179" s="49">
        <v>2023</v>
      </c>
      <c r="B179" s="49" t="s">
        <v>6</v>
      </c>
      <c r="C179" s="40">
        <v>0</v>
      </c>
      <c r="D179" s="40">
        <v>0</v>
      </c>
      <c r="E179" s="40"/>
      <c r="F179" s="40">
        <v>0</v>
      </c>
      <c r="G179" s="40">
        <v>834</v>
      </c>
      <c r="H179" s="40">
        <v>244.77356</v>
      </c>
      <c r="I179" s="40">
        <v>6581.4361399999971</v>
      </c>
      <c r="J179" s="67">
        <v>7660.2096999999976</v>
      </c>
      <c r="K179" s="54"/>
      <c r="L179" s="54"/>
      <c r="M179" s="54"/>
      <c r="N179" s="56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spans="1:27" ht="12" customHeight="1" x14ac:dyDescent="0.2">
      <c r="A180" s="49">
        <v>2023</v>
      </c>
      <c r="B180" s="49" t="s">
        <v>7</v>
      </c>
      <c r="C180" s="40">
        <v>0</v>
      </c>
      <c r="D180" s="40">
        <v>0</v>
      </c>
      <c r="E180" s="40"/>
      <c r="F180" s="40">
        <v>0</v>
      </c>
      <c r="G180" s="40">
        <v>868</v>
      </c>
      <c r="H180" s="40">
        <v>234.04202000000001</v>
      </c>
      <c r="I180" s="40">
        <v>6226.5198900000005</v>
      </c>
      <c r="J180" s="67">
        <v>7328.5619100000004</v>
      </c>
      <c r="K180" s="54"/>
      <c r="L180" s="54"/>
      <c r="M180" s="54"/>
      <c r="N180" s="56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spans="1:27" ht="12" customHeight="1" x14ac:dyDescent="0.2">
      <c r="A181" s="49">
        <v>2023</v>
      </c>
      <c r="B181" s="49" t="s">
        <v>8</v>
      </c>
      <c r="C181" s="40">
        <v>0</v>
      </c>
      <c r="D181" s="40">
        <v>0</v>
      </c>
      <c r="E181" s="40"/>
      <c r="F181" s="40">
        <v>0</v>
      </c>
      <c r="G181" s="40">
        <v>840</v>
      </c>
      <c r="H181" s="40">
        <v>261.99269999999996</v>
      </c>
      <c r="I181" s="40">
        <v>3891.0983800000026</v>
      </c>
      <c r="J181" s="67">
        <v>4993.0910800000029</v>
      </c>
      <c r="K181" s="54"/>
      <c r="L181" s="54"/>
      <c r="M181" s="54"/>
      <c r="N181" s="56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spans="1:27" ht="12" customHeight="1" x14ac:dyDescent="0.2">
      <c r="A182" s="49">
        <v>2023</v>
      </c>
      <c r="B182" s="49" t="s">
        <v>9</v>
      </c>
      <c r="C182" s="40">
        <v>0</v>
      </c>
      <c r="D182" s="40">
        <v>0</v>
      </c>
      <c r="E182" s="40"/>
      <c r="F182" s="40">
        <v>0</v>
      </c>
      <c r="G182" s="40">
        <v>840</v>
      </c>
      <c r="H182" s="40">
        <v>461.14868000000001</v>
      </c>
      <c r="I182" s="40">
        <v>2010.9614199999996</v>
      </c>
      <c r="J182" s="67">
        <v>3312.1100999999999</v>
      </c>
      <c r="K182" s="54"/>
      <c r="L182" s="54"/>
      <c r="M182" s="54"/>
      <c r="N182" s="56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spans="1:27" ht="12" customHeight="1" x14ac:dyDescent="0.2">
      <c r="A183" s="49">
        <v>2023</v>
      </c>
      <c r="B183" s="49" t="s">
        <v>10</v>
      </c>
      <c r="C183" s="40">
        <v>0</v>
      </c>
      <c r="D183" s="40">
        <v>0</v>
      </c>
      <c r="E183" s="40"/>
      <c r="F183" s="40">
        <v>0</v>
      </c>
      <c r="G183" s="40">
        <v>958</v>
      </c>
      <c r="H183" s="40">
        <v>470.14670000000081</v>
      </c>
      <c r="I183" s="40">
        <v>1143.0598799999998</v>
      </c>
      <c r="J183" s="67">
        <v>2571.2065800000005</v>
      </c>
      <c r="K183" s="54"/>
      <c r="L183" s="54"/>
      <c r="M183" s="54"/>
      <c r="N183" s="56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spans="1:27" ht="12" customHeight="1" x14ac:dyDescent="0.2">
      <c r="A184" s="49">
        <v>2023</v>
      </c>
      <c r="B184" s="49" t="s">
        <v>11</v>
      </c>
      <c r="C184" s="40">
        <v>0</v>
      </c>
      <c r="D184" s="40">
        <v>0</v>
      </c>
      <c r="E184" s="40"/>
      <c r="F184" s="40">
        <v>0</v>
      </c>
      <c r="G184" s="40">
        <v>880</v>
      </c>
      <c r="H184" s="40">
        <v>428.43566000000004</v>
      </c>
      <c r="I184" s="40">
        <v>1498.3167900000003</v>
      </c>
      <c r="J184" s="67">
        <v>2806.7524500000004</v>
      </c>
      <c r="K184" s="54"/>
      <c r="L184" s="54"/>
      <c r="M184" s="54"/>
      <c r="N184" s="56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spans="1:27" ht="12" customHeight="1" x14ac:dyDescent="0.2">
      <c r="A185" s="49">
        <v>2023</v>
      </c>
      <c r="B185" s="49" t="s">
        <v>12</v>
      </c>
      <c r="C185" s="40">
        <v>0</v>
      </c>
      <c r="D185" s="40">
        <v>0</v>
      </c>
      <c r="E185" s="40"/>
      <c r="F185" s="40">
        <v>0</v>
      </c>
      <c r="G185" s="40">
        <v>806</v>
      </c>
      <c r="H185" s="40">
        <v>525.80962999999997</v>
      </c>
      <c r="I185" s="40">
        <v>2266.8897700000011</v>
      </c>
      <c r="J185" s="67">
        <v>3598.6994000000013</v>
      </c>
      <c r="K185" s="54"/>
      <c r="L185" s="54"/>
      <c r="M185" s="54"/>
      <c r="N185" s="56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spans="1:27" ht="12" customHeight="1" x14ac:dyDescent="0.2">
      <c r="A186" s="49">
        <v>2023</v>
      </c>
      <c r="B186" s="49" t="s">
        <v>13</v>
      </c>
      <c r="C186" s="40">
        <v>0</v>
      </c>
      <c r="D186" s="40">
        <v>0</v>
      </c>
      <c r="E186" s="40"/>
      <c r="F186" s="40">
        <v>0</v>
      </c>
      <c r="G186" s="40">
        <v>600</v>
      </c>
      <c r="H186" s="40">
        <v>678.63978999999995</v>
      </c>
      <c r="I186" s="40">
        <v>3993.6191600000034</v>
      </c>
      <c r="J186" s="67">
        <v>5272.2589500000031</v>
      </c>
      <c r="K186" s="54"/>
      <c r="L186" s="54"/>
      <c r="M186" s="54"/>
      <c r="N186" s="56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spans="1:27" ht="12" customHeight="1" x14ac:dyDescent="0.2">
      <c r="A187" s="49">
        <v>2023</v>
      </c>
      <c r="B187" s="49" t="s">
        <v>14</v>
      </c>
      <c r="C187" s="40">
        <v>0</v>
      </c>
      <c r="D187" s="40">
        <v>0</v>
      </c>
      <c r="E187" s="40"/>
      <c r="F187" s="40">
        <v>0</v>
      </c>
      <c r="G187" s="40">
        <v>809</v>
      </c>
      <c r="H187" s="40">
        <v>361.00761000000006</v>
      </c>
      <c r="I187" s="40">
        <v>1486.79071</v>
      </c>
      <c r="J187" s="67">
        <v>2656.7983199999999</v>
      </c>
      <c r="K187" s="54"/>
      <c r="L187" s="54"/>
      <c r="M187" s="54"/>
      <c r="N187" s="56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spans="1:27" ht="12" customHeight="1" x14ac:dyDescent="0.2">
      <c r="A188" s="49">
        <v>2023</v>
      </c>
      <c r="B188" s="49" t="s">
        <v>15</v>
      </c>
      <c r="C188" s="80">
        <v>0</v>
      </c>
      <c r="D188" s="80">
        <v>0</v>
      </c>
      <c r="E188" s="80"/>
      <c r="F188" s="80">
        <v>0</v>
      </c>
      <c r="G188" s="80">
        <v>9471</v>
      </c>
      <c r="H188" s="80">
        <v>6457.6198700000004</v>
      </c>
      <c r="I188" s="80">
        <v>37233.146890000011</v>
      </c>
      <c r="J188" s="67">
        <v>53161.766759999999</v>
      </c>
      <c r="K188" s="54"/>
      <c r="L188" s="54"/>
      <c r="M188" s="54"/>
      <c r="N188" s="56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spans="1:27" ht="12" customHeight="1" x14ac:dyDescent="0.2">
      <c r="A189" s="63">
        <v>2024</v>
      </c>
      <c r="B189" s="50" t="s">
        <v>3</v>
      </c>
      <c r="C189" s="40">
        <v>0</v>
      </c>
      <c r="D189" s="40">
        <v>0</v>
      </c>
      <c r="E189" s="40"/>
      <c r="F189" s="40">
        <v>0</v>
      </c>
      <c r="G189" s="40">
        <v>868</v>
      </c>
      <c r="H189" s="40">
        <v>563.35573999999986</v>
      </c>
      <c r="I189" s="40">
        <v>604.81740999999977</v>
      </c>
      <c r="J189" s="66">
        <v>2036.1731499999996</v>
      </c>
      <c r="K189" s="54"/>
      <c r="L189" s="54"/>
      <c r="M189" s="54"/>
      <c r="N189" s="56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spans="1:27" ht="12" customHeight="1" x14ac:dyDescent="0.2">
      <c r="A190" s="63">
        <v>2024</v>
      </c>
      <c r="B190" s="50" t="s">
        <v>4</v>
      </c>
      <c r="C190" s="40">
        <v>0</v>
      </c>
      <c r="D190" s="40">
        <v>0</v>
      </c>
      <c r="E190" s="40"/>
      <c r="F190" s="40">
        <v>0</v>
      </c>
      <c r="G190" s="40">
        <v>464</v>
      </c>
      <c r="H190" s="40">
        <v>413.06210999999996</v>
      </c>
      <c r="I190" s="40">
        <v>712.18298000000004</v>
      </c>
      <c r="J190" s="66">
        <v>1589.2450899999999</v>
      </c>
      <c r="K190" s="54"/>
      <c r="L190" s="54"/>
      <c r="M190" s="54"/>
      <c r="N190" s="56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ht="12" customHeight="1" x14ac:dyDescent="0.2">
      <c r="A191" s="63">
        <v>2024</v>
      </c>
      <c r="B191" s="50" t="s">
        <v>5</v>
      </c>
      <c r="C191" s="40">
        <v>0</v>
      </c>
      <c r="D191" s="40">
        <v>0</v>
      </c>
      <c r="E191" s="40"/>
      <c r="F191" s="40">
        <v>0</v>
      </c>
      <c r="G191" s="40">
        <v>712</v>
      </c>
      <c r="H191" s="40">
        <v>639.93132000000003</v>
      </c>
      <c r="I191" s="40">
        <v>1244.6792800000001</v>
      </c>
      <c r="J191" s="66">
        <v>2596.6106</v>
      </c>
      <c r="K191" s="54"/>
      <c r="L191" s="54"/>
      <c r="M191" s="54"/>
      <c r="N191" s="56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1:27" ht="12" customHeight="1" x14ac:dyDescent="0.2">
      <c r="A192" s="63">
        <v>2024</v>
      </c>
      <c r="B192" s="50" t="s">
        <v>6</v>
      </c>
      <c r="C192" s="40">
        <v>0</v>
      </c>
      <c r="D192" s="40">
        <v>0</v>
      </c>
      <c r="E192" s="40"/>
      <c r="F192" s="40">
        <v>0</v>
      </c>
      <c r="G192" s="40">
        <v>780</v>
      </c>
      <c r="H192" s="40">
        <v>321.92197000000004</v>
      </c>
      <c r="I192" s="40">
        <v>977.9688000000001</v>
      </c>
      <c r="J192" s="66">
        <v>2079.89077</v>
      </c>
      <c r="K192" s="54"/>
      <c r="L192" s="54"/>
      <c r="M192" s="54"/>
      <c r="N192" s="56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spans="1:27" ht="12" customHeight="1" x14ac:dyDescent="0.2">
      <c r="A193" s="63">
        <v>2024</v>
      </c>
      <c r="B193" s="50" t="s">
        <v>7</v>
      </c>
      <c r="C193" s="40">
        <v>0</v>
      </c>
      <c r="D193" s="40">
        <v>0</v>
      </c>
      <c r="E193" s="40"/>
      <c r="F193" s="40">
        <v>0</v>
      </c>
      <c r="G193" s="40">
        <v>822</v>
      </c>
      <c r="H193" s="40">
        <v>297.65474999999998</v>
      </c>
      <c r="I193" s="40">
        <v>931.15256999999986</v>
      </c>
      <c r="J193" s="66">
        <v>2050.8073199999999</v>
      </c>
      <c r="K193" s="54"/>
      <c r="L193" s="54"/>
      <c r="M193" s="54"/>
      <c r="N193" s="56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spans="1:27" ht="12" customHeight="1" x14ac:dyDescent="0.2">
      <c r="A194" s="63">
        <v>2024</v>
      </c>
      <c r="B194" s="50" t="s">
        <v>8</v>
      </c>
      <c r="C194" s="40">
        <v>0</v>
      </c>
      <c r="D194" s="40">
        <v>0</v>
      </c>
      <c r="E194" s="40"/>
      <c r="F194" s="40">
        <v>0</v>
      </c>
      <c r="G194" s="40">
        <v>798</v>
      </c>
      <c r="H194" s="40">
        <v>269.33433999999994</v>
      </c>
      <c r="I194" s="40">
        <v>1036.7963999999999</v>
      </c>
      <c r="J194" s="66">
        <v>2104.1307399999996</v>
      </c>
      <c r="K194" s="54"/>
      <c r="L194" s="54"/>
      <c r="M194" s="54"/>
      <c r="N194" s="56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spans="1:27" ht="12" customHeight="1" x14ac:dyDescent="0.2">
      <c r="A195" s="63">
        <v>2024</v>
      </c>
      <c r="B195" s="50" t="s">
        <v>9</v>
      </c>
      <c r="C195" s="40">
        <v>0</v>
      </c>
      <c r="D195" s="40">
        <v>0</v>
      </c>
      <c r="E195" s="40"/>
      <c r="F195" s="40">
        <v>0</v>
      </c>
      <c r="G195" s="40">
        <v>854</v>
      </c>
      <c r="H195" s="40">
        <v>247.71912</v>
      </c>
      <c r="I195" s="40">
        <v>1283.0145500000003</v>
      </c>
      <c r="J195" s="66">
        <v>2384.7336700000005</v>
      </c>
      <c r="K195" s="54"/>
      <c r="L195" s="54"/>
      <c r="M195" s="54"/>
      <c r="N195" s="56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1:27" ht="12" customHeight="1" x14ac:dyDescent="0.2">
      <c r="A196" s="63">
        <v>2024</v>
      </c>
      <c r="B196" s="50" t="s">
        <v>10</v>
      </c>
      <c r="C196" s="40">
        <v>0</v>
      </c>
      <c r="D196" s="40">
        <v>0</v>
      </c>
      <c r="E196" s="40"/>
      <c r="F196" s="40">
        <v>0</v>
      </c>
      <c r="G196" s="40">
        <v>992</v>
      </c>
      <c r="H196" s="40">
        <v>183.68778000000006</v>
      </c>
      <c r="I196" s="40">
        <v>615.12298999999996</v>
      </c>
      <c r="J196" s="66">
        <v>1790.81077</v>
      </c>
      <c r="K196" s="54"/>
      <c r="L196" s="54"/>
      <c r="M196" s="54"/>
      <c r="N196" s="56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spans="1:27" ht="12" customHeight="1" x14ac:dyDescent="0.2">
      <c r="A197" s="63">
        <v>2024</v>
      </c>
      <c r="B197" s="50" t="s">
        <v>11</v>
      </c>
      <c r="C197" s="40">
        <v>0</v>
      </c>
      <c r="D197" s="40">
        <v>0</v>
      </c>
      <c r="E197" s="40"/>
      <c r="F197" s="40">
        <v>0</v>
      </c>
      <c r="G197" s="40">
        <v>900</v>
      </c>
      <c r="H197" s="40">
        <v>244.35682</v>
      </c>
      <c r="I197" s="40">
        <v>499.96648999999996</v>
      </c>
      <c r="J197" s="66">
        <v>1644.32331</v>
      </c>
      <c r="K197" s="54"/>
      <c r="L197" s="54"/>
      <c r="M197" s="54"/>
      <c r="N197" s="56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spans="1:27" ht="12" customHeight="1" x14ac:dyDescent="0.2">
      <c r="A198" s="63">
        <v>2024</v>
      </c>
      <c r="B198" s="50" t="s">
        <v>12</v>
      </c>
      <c r="C198" s="40">
        <v>0</v>
      </c>
      <c r="D198" s="40">
        <v>0</v>
      </c>
      <c r="E198" s="40"/>
      <c r="F198" s="40">
        <v>0</v>
      </c>
      <c r="G198" s="40">
        <v>930</v>
      </c>
      <c r="H198" s="40">
        <v>307.61882999999995</v>
      </c>
      <c r="I198" s="40">
        <v>416.37214999999998</v>
      </c>
      <c r="J198" s="66">
        <v>1653.9909799999998</v>
      </c>
      <c r="K198" s="54"/>
      <c r="L198" s="54"/>
      <c r="M198" s="54"/>
      <c r="N198" s="56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ht="12" customHeight="1" x14ac:dyDescent="0.2">
      <c r="A199" s="63">
        <v>2024</v>
      </c>
      <c r="B199" s="50" t="s">
        <v>13</v>
      </c>
      <c r="C199" s="40">
        <v>0</v>
      </c>
      <c r="D199" s="40">
        <v>0</v>
      </c>
      <c r="E199" s="40"/>
      <c r="F199" s="40">
        <v>0</v>
      </c>
      <c r="G199" s="40">
        <v>928</v>
      </c>
      <c r="H199" s="40">
        <v>248.83872</v>
      </c>
      <c r="I199" s="40">
        <v>253.73863</v>
      </c>
      <c r="J199" s="66">
        <v>1430.57735</v>
      </c>
      <c r="K199" s="54"/>
      <c r="L199" s="54"/>
      <c r="M199" s="54"/>
      <c r="N199" s="56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1:27" ht="12" customHeight="1" x14ac:dyDescent="0.2">
      <c r="A200" s="63">
        <v>2024</v>
      </c>
      <c r="B200" s="50" t="s">
        <v>14</v>
      </c>
      <c r="C200" s="40">
        <v>0</v>
      </c>
      <c r="D200" s="40">
        <v>0</v>
      </c>
      <c r="E200" s="40"/>
      <c r="F200" s="40">
        <v>0</v>
      </c>
      <c r="G200" s="40">
        <v>655</v>
      </c>
      <c r="H200" s="40">
        <v>318.03608999999994</v>
      </c>
      <c r="I200" s="40">
        <v>132.64302999999998</v>
      </c>
      <c r="J200" s="66">
        <v>1105.67912</v>
      </c>
      <c r="K200" s="54"/>
      <c r="L200" s="54"/>
      <c r="M200" s="54"/>
      <c r="N200" s="56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 spans="1:27" ht="12" customHeight="1" x14ac:dyDescent="0.2">
      <c r="A201" s="63">
        <v>2024</v>
      </c>
      <c r="B201" s="50" t="s">
        <v>15</v>
      </c>
      <c r="C201" s="40">
        <v>0</v>
      </c>
      <c r="D201" s="99">
        <v>0</v>
      </c>
      <c r="E201" s="99"/>
      <c r="F201" s="99">
        <v>0</v>
      </c>
      <c r="G201" s="80">
        <v>9703</v>
      </c>
      <c r="H201" s="80">
        <v>4055.5175900000004</v>
      </c>
      <c r="I201" s="80">
        <v>8708.4552799999983</v>
      </c>
      <c r="J201" s="66">
        <v>22466.972869999998</v>
      </c>
      <c r="K201" s="54"/>
      <c r="L201" s="54"/>
      <c r="M201" s="54"/>
      <c r="N201" s="56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 spans="1:27" ht="12" customHeight="1" x14ac:dyDescent="0.2">
      <c r="A202" s="49">
        <v>2025</v>
      </c>
      <c r="B202" s="49" t="s">
        <v>3</v>
      </c>
      <c r="C202" s="40">
        <v>0</v>
      </c>
      <c r="D202" s="40">
        <v>0</v>
      </c>
      <c r="E202" s="40"/>
      <c r="F202" s="40">
        <v>0</v>
      </c>
      <c r="G202" s="40">
        <v>672</v>
      </c>
      <c r="H202" s="40">
        <v>420.06531000000007</v>
      </c>
      <c r="I202" s="40">
        <v>1415.3804799999996</v>
      </c>
      <c r="J202" s="67">
        <v>2507.4457899999998</v>
      </c>
      <c r="K202" s="54"/>
      <c r="L202" s="54"/>
      <c r="M202" s="54"/>
      <c r="N202" s="56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 spans="1:27" ht="12" customHeight="1" x14ac:dyDescent="0.2">
      <c r="A203" s="49">
        <v>2025</v>
      </c>
      <c r="B203" s="49" t="s">
        <v>4</v>
      </c>
      <c r="C203" s="40">
        <v>0</v>
      </c>
      <c r="D203" s="40">
        <v>0</v>
      </c>
      <c r="E203" s="40"/>
      <c r="F203" s="40">
        <v>0</v>
      </c>
      <c r="G203" s="40">
        <v>700</v>
      </c>
      <c r="H203" s="40">
        <v>332.11745000000002</v>
      </c>
      <c r="I203" s="40">
        <v>2433.3665300000039</v>
      </c>
      <c r="J203" s="67">
        <v>3465.4839800000036</v>
      </c>
      <c r="K203" s="54"/>
      <c r="L203" s="54"/>
      <c r="M203" s="54"/>
      <c r="N203" s="56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 spans="1:27" ht="12" customHeight="1" x14ac:dyDescent="0.2">
      <c r="A204" s="49">
        <v>2025</v>
      </c>
      <c r="B204" s="49" t="s">
        <v>5</v>
      </c>
      <c r="C204" s="40">
        <v>0</v>
      </c>
      <c r="D204" s="40">
        <v>0</v>
      </c>
      <c r="E204" s="40"/>
      <c r="F204" s="40">
        <v>0</v>
      </c>
      <c r="G204" s="40">
        <v>956</v>
      </c>
      <c r="H204" s="40">
        <v>1148.18129</v>
      </c>
      <c r="I204" s="40">
        <v>753.89354000000014</v>
      </c>
      <c r="J204" s="67">
        <v>2858.07483</v>
      </c>
      <c r="K204" s="54"/>
      <c r="L204" s="54"/>
      <c r="M204" s="54"/>
      <c r="N204" s="56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 spans="1:27" ht="12" customHeight="1" x14ac:dyDescent="0.2">
      <c r="A205" s="49">
        <v>2025</v>
      </c>
      <c r="B205" s="49" t="s">
        <v>6</v>
      </c>
      <c r="C205" s="40">
        <v>0</v>
      </c>
      <c r="D205" s="40">
        <v>0</v>
      </c>
      <c r="E205" s="40"/>
      <c r="F205" s="40">
        <v>0</v>
      </c>
      <c r="G205" s="40">
        <v>738</v>
      </c>
      <c r="H205" s="40">
        <v>210.86197999999999</v>
      </c>
      <c r="I205" s="40">
        <v>4415.4650500000016</v>
      </c>
      <c r="J205" s="67">
        <v>5364.3270300000013</v>
      </c>
      <c r="K205" s="54"/>
      <c r="L205" s="54"/>
      <c r="M205" s="54"/>
      <c r="N205" s="56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 spans="1:27" ht="12" customHeight="1" x14ac:dyDescent="0.2">
      <c r="A206" s="49">
        <v>2025</v>
      </c>
      <c r="B206" s="49" t="s">
        <v>7</v>
      </c>
      <c r="C206" s="40">
        <v>0</v>
      </c>
      <c r="D206" s="40">
        <v>0</v>
      </c>
      <c r="E206" s="40"/>
      <c r="F206" s="40">
        <v>0</v>
      </c>
      <c r="G206" s="40">
        <v>823</v>
      </c>
      <c r="H206" s="40">
        <v>231.18607000000003</v>
      </c>
      <c r="I206" s="40">
        <v>1431.7793700000002</v>
      </c>
      <c r="J206" s="67">
        <v>2485.9654399999999</v>
      </c>
      <c r="K206" s="54"/>
      <c r="L206" s="54"/>
      <c r="M206" s="54"/>
      <c r="N206" s="56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1:27" ht="12" customHeight="1" x14ac:dyDescent="0.2">
      <c r="A207" s="49">
        <v>2025</v>
      </c>
      <c r="B207" s="49" t="s">
        <v>8</v>
      </c>
      <c r="C207" s="40">
        <v>0</v>
      </c>
      <c r="D207" s="40">
        <v>0</v>
      </c>
      <c r="E207" s="40"/>
      <c r="F207" s="40">
        <v>0</v>
      </c>
      <c r="G207" s="40">
        <v>858</v>
      </c>
      <c r="H207" s="40">
        <v>176.28126000000009</v>
      </c>
      <c r="I207" s="40">
        <v>224.00460999999999</v>
      </c>
      <c r="J207" s="67">
        <v>1258.2858700000002</v>
      </c>
      <c r="K207" s="54"/>
      <c r="L207" s="54"/>
      <c r="M207" s="54"/>
      <c r="N207" s="56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1:27" ht="12" customHeight="1" x14ac:dyDescent="0.2">
      <c r="A208" s="49">
        <v>2025</v>
      </c>
      <c r="B208" s="49" t="s">
        <v>9</v>
      </c>
      <c r="C208" s="40">
        <v>0</v>
      </c>
      <c r="D208" s="40">
        <v>0</v>
      </c>
      <c r="E208" s="40"/>
      <c r="F208" s="40">
        <v>0</v>
      </c>
      <c r="G208" s="40">
        <v>992</v>
      </c>
      <c r="H208" s="40">
        <v>642.18342999999959</v>
      </c>
      <c r="I208" s="40">
        <v>59.592429999999993</v>
      </c>
      <c r="J208" s="67">
        <v>1693.7758599999995</v>
      </c>
      <c r="K208" s="54"/>
      <c r="L208" s="54"/>
      <c r="M208" s="54"/>
      <c r="N208" s="56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1:27" ht="12" customHeight="1" x14ac:dyDescent="0.2">
      <c r="A209" s="49">
        <v>2025</v>
      </c>
      <c r="B209" s="49" t="s">
        <v>10</v>
      </c>
      <c r="C209" s="40">
        <v>0</v>
      </c>
      <c r="D209" s="40">
        <v>0</v>
      </c>
      <c r="E209" s="40"/>
      <c r="F209" s="40">
        <v>0</v>
      </c>
      <c r="G209" s="40">
        <v>992</v>
      </c>
      <c r="H209" s="40">
        <v>315.37170999999995</v>
      </c>
      <c r="I209" s="40">
        <v>79.51385999999998</v>
      </c>
      <c r="J209" s="67">
        <v>1386.8855699999999</v>
      </c>
      <c r="K209" s="54"/>
      <c r="L209" s="54"/>
      <c r="M209" s="54"/>
      <c r="N209" s="56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ht="12" customHeight="1" x14ac:dyDescent="0.2">
      <c r="A210" s="49">
        <v>2025</v>
      </c>
      <c r="B210" s="49" t="s">
        <v>11</v>
      </c>
      <c r="C210" s="40">
        <v>0</v>
      </c>
      <c r="D210" s="40">
        <v>0</v>
      </c>
      <c r="E210" s="40"/>
      <c r="F210" s="40">
        <v>0</v>
      </c>
      <c r="G210" s="40">
        <v>912</v>
      </c>
      <c r="H210" s="40">
        <v>280.63115000000005</v>
      </c>
      <c r="I210" s="40">
        <v>761.83369999999991</v>
      </c>
      <c r="J210" s="67">
        <v>1954.4648500000001</v>
      </c>
      <c r="K210" s="54"/>
      <c r="L210" s="54"/>
      <c r="M210" s="54"/>
      <c r="N210" s="56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1:27" ht="12" customHeight="1" x14ac:dyDescent="0.2">
      <c r="A211" s="49">
        <v>2025</v>
      </c>
      <c r="B211" s="49" t="s">
        <v>12</v>
      </c>
      <c r="C211" s="40">
        <v>0</v>
      </c>
      <c r="D211" s="40">
        <v>0</v>
      </c>
      <c r="E211" s="40"/>
      <c r="F211" s="40">
        <v>0</v>
      </c>
      <c r="G211" s="40">
        <v>976</v>
      </c>
      <c r="H211" s="40">
        <v>360.32347999999985</v>
      </c>
      <c r="I211" s="40">
        <v>1884.2417800000003</v>
      </c>
      <c r="J211" s="67">
        <v>3220.5652600000003</v>
      </c>
      <c r="K211" s="54"/>
      <c r="L211" s="54"/>
      <c r="M211" s="54"/>
      <c r="N211" s="56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1:27" ht="12" customHeight="1" x14ac:dyDescent="0.2">
      <c r="A212" s="49">
        <v>2025</v>
      </c>
      <c r="B212" s="49" t="s">
        <v>13</v>
      </c>
      <c r="C212" s="40">
        <v>0</v>
      </c>
      <c r="D212" s="40">
        <v>0</v>
      </c>
      <c r="E212" s="40"/>
      <c r="F212" s="40">
        <v>0</v>
      </c>
      <c r="G212" s="40">
        <v>840</v>
      </c>
      <c r="H212" s="40">
        <v>305.83405999999997</v>
      </c>
      <c r="I212" s="40">
        <v>88.406410000000008</v>
      </c>
      <c r="J212" s="67">
        <v>1234.24047</v>
      </c>
      <c r="K212" s="54"/>
      <c r="L212" s="54"/>
      <c r="M212" s="54"/>
      <c r="N212" s="56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x14ac:dyDescent="0.2">
      <c r="A213" s="49">
        <v>2025</v>
      </c>
      <c r="B213" s="49" t="s">
        <v>14</v>
      </c>
      <c r="C213" s="40">
        <v>0</v>
      </c>
      <c r="D213" s="40">
        <v>0</v>
      </c>
      <c r="E213" s="40"/>
      <c r="F213" s="40">
        <v>0</v>
      </c>
      <c r="G213" s="40">
        <v>916</v>
      </c>
      <c r="H213" s="40">
        <v>301.63596999999999</v>
      </c>
      <c r="I213" s="40">
        <v>41.948440000000005</v>
      </c>
      <c r="J213" s="67">
        <v>1259.5844099999999</v>
      </c>
      <c r="K213" s="54"/>
      <c r="L213" s="54"/>
      <c r="M213" s="54"/>
      <c r="N213" s="56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x14ac:dyDescent="0.2">
      <c r="A214" s="49">
        <v>2025</v>
      </c>
      <c r="B214" s="49" t="s">
        <v>15</v>
      </c>
      <c r="C214" s="80">
        <v>0</v>
      </c>
      <c r="D214" s="80">
        <v>0</v>
      </c>
      <c r="E214" s="80"/>
      <c r="F214" s="80">
        <v>0</v>
      </c>
      <c r="G214" s="80">
        <v>10375</v>
      </c>
      <c r="H214" s="80">
        <v>4724.6731600000003</v>
      </c>
      <c r="I214" s="80">
        <v>13589.426200000005</v>
      </c>
      <c r="J214" s="67">
        <v>28689.09936</v>
      </c>
      <c r="K214" s="54"/>
      <c r="L214" s="54"/>
      <c r="M214" s="54"/>
      <c r="N214" s="56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1:27" x14ac:dyDescent="0.2">
      <c r="A215" s="49">
        <v>2026</v>
      </c>
      <c r="B215" s="49" t="s">
        <v>3</v>
      </c>
      <c r="C215" s="40">
        <v>0</v>
      </c>
      <c r="D215" s="40">
        <v>0</v>
      </c>
      <c r="E215" s="40"/>
      <c r="F215" s="40">
        <v>0</v>
      </c>
      <c r="G215" s="40">
        <v>822</v>
      </c>
      <c r="H215" s="40">
        <v>941.07553999999982</v>
      </c>
      <c r="I215" s="40">
        <v>96.42667999999999</v>
      </c>
      <c r="J215" s="67">
        <v>1859.5022199999999</v>
      </c>
      <c r="K215" s="54"/>
      <c r="L215" s="54"/>
      <c r="M215" s="54"/>
      <c r="N215" s="56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1:27" x14ac:dyDescent="0.2">
      <c r="A216" s="49">
        <v>2026</v>
      </c>
      <c r="B216" s="49" t="s">
        <v>4</v>
      </c>
      <c r="C216" s="40">
        <v>0</v>
      </c>
      <c r="D216" s="40">
        <v>0</v>
      </c>
      <c r="E216" s="40"/>
      <c r="F216" s="40">
        <v>0</v>
      </c>
      <c r="G216" s="40">
        <v>571.6</v>
      </c>
      <c r="H216" s="40">
        <v>1244.3922100000007</v>
      </c>
      <c r="I216" s="40">
        <v>1420.7252000000026</v>
      </c>
      <c r="J216" s="67">
        <v>3236.7174100000034</v>
      </c>
      <c r="K216" s="54"/>
      <c r="L216" s="54"/>
      <c r="M216" s="54"/>
      <c r="N216" s="56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1:27" x14ac:dyDescent="0.2">
      <c r="A217" s="49">
        <v>2026</v>
      </c>
      <c r="B217" s="49" t="s">
        <v>5</v>
      </c>
      <c r="C217" s="40">
        <v>0</v>
      </c>
      <c r="D217" s="40">
        <v>0</v>
      </c>
      <c r="E217" s="40"/>
      <c r="F217" s="40">
        <v>0</v>
      </c>
      <c r="G217" s="40">
        <v>584.19054000000006</v>
      </c>
      <c r="H217" s="40">
        <v>167.93048000000005</v>
      </c>
      <c r="I217" s="40">
        <v>2091.4429</v>
      </c>
      <c r="J217" s="67">
        <v>2843.5639200000001</v>
      </c>
      <c r="K217" s="54"/>
      <c r="L217" s="54"/>
      <c r="M217" s="54"/>
      <c r="N217" s="56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1:27" x14ac:dyDescent="0.2">
      <c r="A218" s="49">
        <v>2026</v>
      </c>
      <c r="B218" s="49" t="s">
        <v>6</v>
      </c>
      <c r="C218" s="40">
        <v>0</v>
      </c>
      <c r="D218" s="40">
        <v>0</v>
      </c>
      <c r="E218" s="40"/>
      <c r="F218" s="40">
        <v>0</v>
      </c>
      <c r="G218" s="101">
        <v>341.66667999999999</v>
      </c>
      <c r="H218" s="101">
        <v>97.575870000000023</v>
      </c>
      <c r="I218" s="101">
        <v>2416.1674900000048</v>
      </c>
      <c r="J218" s="67">
        <v>2855.4100400000048</v>
      </c>
      <c r="K218" s="54"/>
      <c r="L218" s="54"/>
      <c r="M218" s="54"/>
      <c r="N218" s="56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1:27" x14ac:dyDescent="0.2">
      <c r="A219" s="49">
        <v>2026</v>
      </c>
      <c r="B219" s="49" t="s">
        <v>7</v>
      </c>
      <c r="C219" s="40">
        <v>0</v>
      </c>
      <c r="D219" s="40">
        <v>0</v>
      </c>
      <c r="E219" s="40"/>
      <c r="F219" s="40">
        <v>0</v>
      </c>
      <c r="G219" s="40">
        <v>780.80700000000002</v>
      </c>
      <c r="H219" s="40">
        <v>116.70973000000001</v>
      </c>
      <c r="I219" s="40">
        <v>2065.3696900000004</v>
      </c>
      <c r="J219" s="67">
        <v>2962.8864200000007</v>
      </c>
      <c r="K219" s="54"/>
      <c r="L219" s="54"/>
      <c r="M219" s="54"/>
      <c r="N219" s="56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1:27" x14ac:dyDescent="0.2">
      <c r="A220" s="49" t="s">
        <v>36</v>
      </c>
      <c r="B220" s="49" t="s">
        <v>36</v>
      </c>
      <c r="C220" s="40">
        <v>0</v>
      </c>
      <c r="D220" s="40">
        <v>0</v>
      </c>
      <c r="E220" s="40"/>
      <c r="F220" s="40">
        <v>0</v>
      </c>
      <c r="G220" s="40">
        <v>0</v>
      </c>
      <c r="H220" s="40">
        <v>0</v>
      </c>
      <c r="I220" s="40">
        <v>0</v>
      </c>
      <c r="J220" s="67">
        <v>0</v>
      </c>
      <c r="K220" s="54"/>
      <c r="L220" s="54"/>
      <c r="M220" s="54"/>
      <c r="N220" s="56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1:27" x14ac:dyDescent="0.2">
      <c r="A221" s="49" t="s">
        <v>36</v>
      </c>
      <c r="B221" s="49" t="s">
        <v>36</v>
      </c>
      <c r="C221" s="40">
        <v>0</v>
      </c>
      <c r="D221" s="40">
        <v>0</v>
      </c>
      <c r="E221" s="40"/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54"/>
      <c r="L221" s="54"/>
      <c r="M221" s="54"/>
      <c r="N221" s="56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1:27" x14ac:dyDescent="0.2">
      <c r="A222" s="49" t="s">
        <v>36</v>
      </c>
      <c r="B222" s="49" t="s">
        <v>36</v>
      </c>
      <c r="C222" s="40">
        <v>0</v>
      </c>
      <c r="D222" s="40">
        <v>0</v>
      </c>
      <c r="E222" s="40"/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54"/>
      <c r="L222" s="54"/>
      <c r="M222" s="54"/>
      <c r="N222" s="56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1:27" x14ac:dyDescent="0.2">
      <c r="A223" s="49" t="s">
        <v>36</v>
      </c>
      <c r="B223" s="49" t="s">
        <v>36</v>
      </c>
      <c r="C223" s="40">
        <v>0</v>
      </c>
      <c r="D223" s="40">
        <v>0</v>
      </c>
      <c r="E223" s="40"/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54"/>
      <c r="L223" s="54"/>
      <c r="M223" s="54"/>
      <c r="N223" s="56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1:27" x14ac:dyDescent="0.2">
      <c r="A224" s="49" t="s">
        <v>36</v>
      </c>
      <c r="B224" s="49" t="s">
        <v>36</v>
      </c>
      <c r="C224" s="40">
        <v>0</v>
      </c>
      <c r="D224" s="40">
        <v>0</v>
      </c>
      <c r="E224" s="40"/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54"/>
      <c r="L224" s="54"/>
      <c r="M224" s="54"/>
      <c r="N224" s="56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1:27" x14ac:dyDescent="0.2">
      <c r="A225" s="49" t="s">
        <v>36</v>
      </c>
      <c r="B225" s="49" t="s">
        <v>36</v>
      </c>
      <c r="C225" s="40">
        <v>0</v>
      </c>
      <c r="D225" s="40">
        <v>0</v>
      </c>
      <c r="E225" s="40"/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54"/>
      <c r="L225" s="54"/>
      <c r="M225" s="54"/>
      <c r="N225" s="56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1:27" x14ac:dyDescent="0.2">
      <c r="A226" s="49" t="s">
        <v>36</v>
      </c>
      <c r="B226" s="49" t="s">
        <v>36</v>
      </c>
      <c r="C226" s="40">
        <v>0</v>
      </c>
      <c r="D226" s="40">
        <v>0</v>
      </c>
      <c r="E226" s="40"/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54"/>
      <c r="L226" s="54"/>
      <c r="M226" s="54"/>
      <c r="N226" s="56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1:27" x14ac:dyDescent="0.2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54"/>
      <c r="L227" s="54"/>
      <c r="M227" s="54"/>
      <c r="N227" s="56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x14ac:dyDescent="0.2">
      <c r="A228" s="49"/>
      <c r="B228" s="49" t="s">
        <v>36</v>
      </c>
      <c r="C228" s="40">
        <v>0</v>
      </c>
      <c r="D228" s="40">
        <v>0</v>
      </c>
      <c r="E228" s="40">
        <v>0</v>
      </c>
      <c r="F228" s="40"/>
      <c r="G228" s="40">
        <v>0</v>
      </c>
      <c r="H228" s="40">
        <v>0</v>
      </c>
      <c r="I228" s="40">
        <v>0</v>
      </c>
      <c r="J228" s="67"/>
      <c r="K228" s="54"/>
      <c r="L228" s="54"/>
      <c r="M228" s="54"/>
      <c r="N228" s="56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x14ac:dyDescent="0.2">
      <c r="A229" s="49"/>
      <c r="B229" s="49" t="s">
        <v>36</v>
      </c>
      <c r="C229" s="40">
        <v>0</v>
      </c>
      <c r="D229" s="40">
        <v>0</v>
      </c>
      <c r="E229" s="40">
        <v>0</v>
      </c>
      <c r="F229" s="40"/>
      <c r="G229" s="40">
        <v>0</v>
      </c>
      <c r="H229" s="40">
        <v>0</v>
      </c>
      <c r="I229" s="40">
        <v>0</v>
      </c>
      <c r="J229" s="67"/>
      <c r="K229" s="54"/>
      <c r="L229" s="54"/>
      <c r="M229" s="54"/>
      <c r="N229" s="56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1:27" x14ac:dyDescent="0.2">
      <c r="A230" s="49"/>
      <c r="B230" s="49" t="s">
        <v>36</v>
      </c>
      <c r="C230" s="40">
        <v>0</v>
      </c>
      <c r="D230" s="40">
        <v>0</v>
      </c>
      <c r="E230" s="40">
        <v>0</v>
      </c>
      <c r="F230" s="40"/>
      <c r="G230" s="40">
        <v>0</v>
      </c>
      <c r="H230" s="40">
        <v>0</v>
      </c>
      <c r="I230" s="40">
        <v>0</v>
      </c>
      <c r="J230" s="67"/>
      <c r="K230" s="54"/>
      <c r="L230" s="54"/>
      <c r="M230" s="54"/>
      <c r="N230" s="56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x14ac:dyDescent="0.2">
      <c r="A231" s="49"/>
      <c r="B231" s="49" t="s">
        <v>36</v>
      </c>
      <c r="C231" s="40">
        <v>0</v>
      </c>
      <c r="D231" s="40">
        <v>0</v>
      </c>
      <c r="E231" s="40">
        <v>0</v>
      </c>
      <c r="F231" s="40"/>
      <c r="G231" s="40">
        <v>0</v>
      </c>
      <c r="H231" s="40">
        <v>0</v>
      </c>
      <c r="I231" s="40">
        <v>0</v>
      </c>
      <c r="J231" s="67"/>
      <c r="K231" s="54"/>
      <c r="L231" s="54"/>
      <c r="M231" s="54"/>
      <c r="N231" s="56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x14ac:dyDescent="0.2">
      <c r="A232" s="49"/>
      <c r="B232" s="49" t="s">
        <v>36</v>
      </c>
      <c r="C232" s="40">
        <v>0</v>
      </c>
      <c r="D232" s="40">
        <v>0</v>
      </c>
      <c r="E232" s="40">
        <v>0</v>
      </c>
      <c r="F232" s="40"/>
      <c r="G232" s="40">
        <v>0</v>
      </c>
      <c r="H232" s="40">
        <v>0</v>
      </c>
      <c r="I232" s="40">
        <v>0</v>
      </c>
      <c r="J232" s="67"/>
      <c r="K232" s="54"/>
      <c r="L232" s="54"/>
      <c r="M232" s="54"/>
      <c r="N232" s="56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1:27" x14ac:dyDescent="0.2">
      <c r="A233" s="49"/>
      <c r="B233" s="49" t="s">
        <v>36</v>
      </c>
      <c r="C233" s="40">
        <v>0</v>
      </c>
      <c r="D233" s="40">
        <v>0</v>
      </c>
      <c r="E233" s="40">
        <v>0</v>
      </c>
      <c r="F233" s="40"/>
      <c r="G233" s="40">
        <v>0</v>
      </c>
      <c r="H233" s="40">
        <v>0</v>
      </c>
      <c r="I233" s="40">
        <v>0</v>
      </c>
      <c r="J233" s="67"/>
      <c r="K233" s="54"/>
      <c r="L233" s="54"/>
      <c r="M233" s="54"/>
      <c r="N233" s="56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1:27" x14ac:dyDescent="0.2">
      <c r="A234" s="49"/>
      <c r="B234" s="49" t="s">
        <v>36</v>
      </c>
      <c r="C234" s="40">
        <v>0</v>
      </c>
      <c r="D234" s="40">
        <v>0</v>
      </c>
      <c r="E234" s="40">
        <v>0</v>
      </c>
      <c r="F234" s="40"/>
      <c r="G234" s="40">
        <v>0</v>
      </c>
      <c r="H234" s="40">
        <v>0</v>
      </c>
      <c r="I234" s="40">
        <v>0</v>
      </c>
      <c r="J234" s="67"/>
      <c r="K234" s="54"/>
      <c r="L234" s="54"/>
      <c r="M234" s="54"/>
      <c r="N234" s="56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1:27" x14ac:dyDescent="0.2">
      <c r="A235" s="49"/>
      <c r="B235" s="49" t="s">
        <v>36</v>
      </c>
      <c r="C235" s="40">
        <v>0</v>
      </c>
      <c r="D235" s="40">
        <v>0</v>
      </c>
      <c r="E235" s="40">
        <v>0</v>
      </c>
      <c r="F235" s="40"/>
      <c r="G235" s="40">
        <v>0</v>
      </c>
      <c r="H235" s="40">
        <v>0</v>
      </c>
      <c r="I235" s="40">
        <v>0</v>
      </c>
      <c r="J235" s="67"/>
      <c r="K235" s="54"/>
      <c r="L235" s="54"/>
      <c r="M235" s="54"/>
      <c r="N235" s="56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1:27" x14ac:dyDescent="0.2">
      <c r="A236" s="49"/>
      <c r="B236" s="49" t="s">
        <v>36</v>
      </c>
      <c r="C236" s="40">
        <v>0</v>
      </c>
      <c r="D236" s="40">
        <v>0</v>
      </c>
      <c r="E236" s="40">
        <v>0</v>
      </c>
      <c r="F236" s="40"/>
      <c r="G236" s="40">
        <v>0</v>
      </c>
      <c r="H236" s="40">
        <v>0</v>
      </c>
      <c r="I236" s="40">
        <v>0</v>
      </c>
      <c r="J236" s="67"/>
      <c r="K236" s="54"/>
      <c r="L236" s="54"/>
      <c r="M236" s="54"/>
      <c r="N236" s="56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1:27" x14ac:dyDescent="0.2">
      <c r="A237" s="49"/>
      <c r="B237" s="49" t="s">
        <v>36</v>
      </c>
      <c r="C237" s="40">
        <v>0</v>
      </c>
      <c r="D237" s="40">
        <v>0</v>
      </c>
      <c r="E237" s="40">
        <v>0</v>
      </c>
      <c r="F237" s="40"/>
      <c r="G237" s="40">
        <v>0</v>
      </c>
      <c r="H237" s="40">
        <v>0</v>
      </c>
      <c r="I237" s="40">
        <v>0</v>
      </c>
      <c r="J237" s="67"/>
      <c r="K237" s="54"/>
      <c r="L237" s="54"/>
      <c r="M237" s="54"/>
      <c r="N237" s="56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1:27" x14ac:dyDescent="0.2">
      <c r="A238" s="49"/>
      <c r="B238" s="49" t="s">
        <v>36</v>
      </c>
      <c r="C238" s="40">
        <v>0</v>
      </c>
      <c r="D238" s="40">
        <v>0</v>
      </c>
      <c r="E238" s="40">
        <v>0</v>
      </c>
      <c r="F238" s="40"/>
      <c r="G238" s="40">
        <v>0</v>
      </c>
      <c r="H238" s="40">
        <v>0</v>
      </c>
      <c r="I238" s="40">
        <v>0</v>
      </c>
      <c r="J238" s="67"/>
      <c r="K238" s="54"/>
      <c r="L238" s="54"/>
      <c r="M238" s="54"/>
      <c r="N238" s="56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1:27" x14ac:dyDescent="0.2">
      <c r="A239" s="49"/>
      <c r="B239" s="49" t="s">
        <v>36</v>
      </c>
      <c r="C239" s="40">
        <v>0</v>
      </c>
      <c r="D239" s="40">
        <v>0</v>
      </c>
      <c r="E239" s="40">
        <v>0</v>
      </c>
      <c r="F239" s="40"/>
      <c r="G239" s="40">
        <v>0</v>
      </c>
      <c r="H239" s="40">
        <v>0</v>
      </c>
      <c r="I239" s="40">
        <v>0</v>
      </c>
      <c r="J239" s="67"/>
      <c r="K239" s="54"/>
      <c r="L239" s="54"/>
      <c r="M239" s="54"/>
      <c r="N239" s="56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1:27" x14ac:dyDescent="0.2">
      <c r="A240" s="49"/>
      <c r="B240" s="49" t="s">
        <v>36</v>
      </c>
      <c r="C240" s="40">
        <v>0</v>
      </c>
      <c r="D240" s="40">
        <v>0</v>
      </c>
      <c r="E240" s="40">
        <v>0</v>
      </c>
      <c r="F240" s="40"/>
      <c r="G240" s="40">
        <v>0</v>
      </c>
      <c r="H240" s="40">
        <v>0</v>
      </c>
      <c r="I240" s="40">
        <v>0</v>
      </c>
      <c r="J240" s="67"/>
      <c r="K240" s="54"/>
      <c r="L240" s="54"/>
      <c r="M240" s="54"/>
      <c r="N240" s="56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1:27" x14ac:dyDescent="0.2">
      <c r="A241" s="49"/>
      <c r="B241" s="49" t="s">
        <v>36</v>
      </c>
      <c r="C241" s="40">
        <v>0</v>
      </c>
      <c r="D241" s="40">
        <v>0</v>
      </c>
      <c r="E241" s="40">
        <v>0</v>
      </c>
      <c r="F241" s="40"/>
      <c r="G241" s="40">
        <v>0</v>
      </c>
      <c r="H241" s="40">
        <v>0</v>
      </c>
      <c r="I241" s="40">
        <v>0</v>
      </c>
      <c r="J241" s="67"/>
      <c r="K241" s="54"/>
      <c r="L241" s="54"/>
      <c r="M241" s="54"/>
      <c r="N241" s="56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1:27" x14ac:dyDescent="0.2">
      <c r="A242" s="49"/>
      <c r="B242" s="49" t="s">
        <v>36</v>
      </c>
      <c r="C242" s="40">
        <v>0</v>
      </c>
      <c r="D242" s="40">
        <v>0</v>
      </c>
      <c r="E242" s="40">
        <v>0</v>
      </c>
      <c r="F242" s="40"/>
      <c r="G242" s="40">
        <v>0</v>
      </c>
      <c r="H242" s="40">
        <v>0</v>
      </c>
      <c r="I242" s="40">
        <v>0</v>
      </c>
      <c r="J242" s="67"/>
      <c r="K242" s="54"/>
      <c r="L242" s="54"/>
      <c r="M242" s="54"/>
      <c r="N242" s="56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1:27" x14ac:dyDescent="0.2">
      <c r="A243" s="49"/>
      <c r="B243" s="49" t="s">
        <v>36</v>
      </c>
      <c r="C243" s="40">
        <v>0</v>
      </c>
      <c r="D243" s="40">
        <v>0</v>
      </c>
      <c r="E243" s="40">
        <v>0</v>
      </c>
      <c r="F243" s="40"/>
      <c r="G243" s="40">
        <v>0</v>
      </c>
      <c r="H243" s="40">
        <v>0</v>
      </c>
      <c r="I243" s="40">
        <v>0</v>
      </c>
      <c r="J243" s="67"/>
      <c r="K243" s="54"/>
      <c r="L243" s="54"/>
      <c r="M243" s="54"/>
      <c r="N243" s="56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1:27" x14ac:dyDescent="0.2">
      <c r="A244" s="49"/>
      <c r="B244" s="49" t="s">
        <v>36</v>
      </c>
      <c r="C244" s="40">
        <v>0</v>
      </c>
      <c r="D244" s="40">
        <v>0</v>
      </c>
      <c r="E244" s="40">
        <v>0</v>
      </c>
      <c r="F244" s="40"/>
      <c r="G244" s="40">
        <v>0</v>
      </c>
      <c r="H244" s="40">
        <v>0</v>
      </c>
      <c r="I244" s="40">
        <v>0</v>
      </c>
      <c r="J244" s="67"/>
      <c r="K244" s="54"/>
      <c r="L244" s="54"/>
      <c r="M244" s="54"/>
      <c r="N244" s="56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1:27" x14ac:dyDescent="0.2">
      <c r="A245" s="49"/>
      <c r="B245" s="49" t="s">
        <v>36</v>
      </c>
      <c r="C245" s="40">
        <v>0</v>
      </c>
      <c r="D245" s="40">
        <v>0</v>
      </c>
      <c r="E245" s="40">
        <v>0</v>
      </c>
      <c r="F245" s="40"/>
      <c r="G245" s="40">
        <v>0</v>
      </c>
      <c r="H245" s="40">
        <v>0</v>
      </c>
      <c r="I245" s="40">
        <v>0</v>
      </c>
      <c r="J245" s="67"/>
      <c r="K245" s="54"/>
      <c r="L245" s="54"/>
      <c r="M245" s="54"/>
      <c r="N245" s="56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1:27" x14ac:dyDescent="0.2">
      <c r="A246" s="49"/>
      <c r="B246" s="49" t="s">
        <v>36</v>
      </c>
      <c r="C246" s="40">
        <v>0</v>
      </c>
      <c r="D246" s="40">
        <v>0</v>
      </c>
      <c r="E246" s="40">
        <v>0</v>
      </c>
      <c r="F246" s="40"/>
      <c r="G246" s="40">
        <v>0</v>
      </c>
      <c r="H246" s="40">
        <v>0</v>
      </c>
      <c r="I246" s="40">
        <v>0</v>
      </c>
      <c r="J246" s="67"/>
      <c r="K246" s="54"/>
      <c r="L246" s="54"/>
      <c r="M246" s="54"/>
      <c r="N246" s="56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1:27" x14ac:dyDescent="0.2">
      <c r="A247" s="49"/>
      <c r="B247" s="49" t="s">
        <v>36</v>
      </c>
      <c r="C247" s="40">
        <v>0</v>
      </c>
      <c r="D247" s="40">
        <v>0</v>
      </c>
      <c r="E247" s="40">
        <v>0</v>
      </c>
      <c r="F247" s="40"/>
      <c r="G247" s="40">
        <v>0</v>
      </c>
      <c r="H247" s="40">
        <v>0</v>
      </c>
      <c r="I247" s="40">
        <v>0</v>
      </c>
      <c r="J247" s="67"/>
      <c r="K247" s="54"/>
      <c r="L247" s="54"/>
      <c r="M247" s="54"/>
      <c r="N247" s="56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1:27" x14ac:dyDescent="0.2">
      <c r="A248" s="49"/>
      <c r="B248" s="49" t="s">
        <v>36</v>
      </c>
      <c r="C248" s="40">
        <v>0</v>
      </c>
      <c r="D248" s="40">
        <v>0</v>
      </c>
      <c r="E248" s="40">
        <v>0</v>
      </c>
      <c r="F248" s="40"/>
      <c r="G248" s="40">
        <v>0</v>
      </c>
      <c r="H248" s="40">
        <v>0</v>
      </c>
      <c r="I248" s="40">
        <v>0</v>
      </c>
      <c r="J248" s="67"/>
      <c r="K248" s="54"/>
      <c r="L248" s="54"/>
      <c r="M248" s="54"/>
      <c r="N248" s="56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1:27" x14ac:dyDescent="0.2">
      <c r="A249" s="49"/>
      <c r="B249" s="49" t="s">
        <v>36</v>
      </c>
      <c r="C249" s="40">
        <v>0</v>
      </c>
      <c r="D249" s="40">
        <v>0</v>
      </c>
      <c r="E249" s="40">
        <v>0</v>
      </c>
      <c r="F249" s="40"/>
      <c r="G249" s="40">
        <v>0</v>
      </c>
      <c r="H249" s="40">
        <v>0</v>
      </c>
      <c r="I249" s="40">
        <v>0</v>
      </c>
      <c r="J249" s="67"/>
      <c r="K249" s="54"/>
      <c r="L249" s="54"/>
      <c r="M249" s="54"/>
      <c r="N249" s="56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1:27" x14ac:dyDescent="0.2">
      <c r="A250" s="49"/>
      <c r="B250" s="49" t="s">
        <v>36</v>
      </c>
      <c r="C250" s="40">
        <v>0</v>
      </c>
      <c r="D250" s="40">
        <v>0</v>
      </c>
      <c r="E250" s="40">
        <v>0</v>
      </c>
      <c r="F250" s="40"/>
      <c r="G250" s="40">
        <v>0</v>
      </c>
      <c r="H250" s="40">
        <v>0</v>
      </c>
      <c r="I250" s="40">
        <v>0</v>
      </c>
      <c r="J250" s="67"/>
      <c r="K250" s="54"/>
      <c r="L250" s="54"/>
      <c r="M250" s="54"/>
      <c r="N250" s="56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1:27" x14ac:dyDescent="0.2">
      <c r="A251" s="49"/>
      <c r="B251" s="49" t="s">
        <v>36</v>
      </c>
      <c r="C251" s="40">
        <v>0</v>
      </c>
      <c r="D251" s="40">
        <v>0</v>
      </c>
      <c r="E251" s="40">
        <v>0</v>
      </c>
      <c r="F251" s="40"/>
      <c r="G251" s="40">
        <v>0</v>
      </c>
      <c r="H251" s="40">
        <v>0</v>
      </c>
      <c r="I251" s="40">
        <v>0</v>
      </c>
      <c r="J251" s="67"/>
      <c r="K251" s="54"/>
      <c r="L251" s="54"/>
      <c r="M251" s="54"/>
      <c r="N251" s="56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1:27" x14ac:dyDescent="0.2">
      <c r="A252" s="49"/>
      <c r="B252" s="49" t="s">
        <v>36</v>
      </c>
      <c r="C252" s="40">
        <v>0</v>
      </c>
      <c r="D252" s="40">
        <v>0</v>
      </c>
      <c r="E252" s="40">
        <v>0</v>
      </c>
      <c r="F252" s="40"/>
      <c r="G252" s="40">
        <v>0</v>
      </c>
      <c r="H252" s="40">
        <v>0</v>
      </c>
      <c r="I252" s="40">
        <v>0</v>
      </c>
      <c r="J252" s="67"/>
      <c r="K252" s="54"/>
      <c r="L252" s="54"/>
      <c r="M252" s="54"/>
      <c r="N252" s="56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1:27" x14ac:dyDescent="0.2">
      <c r="A253" s="49"/>
      <c r="B253" s="49" t="s">
        <v>36</v>
      </c>
      <c r="C253" s="40">
        <v>0</v>
      </c>
      <c r="D253" s="40">
        <v>0</v>
      </c>
      <c r="E253" s="40">
        <v>0</v>
      </c>
      <c r="F253" s="40"/>
      <c r="G253" s="40">
        <v>0</v>
      </c>
      <c r="H253" s="40">
        <v>0</v>
      </c>
      <c r="I253" s="40">
        <v>0</v>
      </c>
      <c r="J253" s="67"/>
      <c r="K253" s="54"/>
      <c r="L253" s="54"/>
      <c r="M253" s="54"/>
      <c r="N253" s="56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1:27" x14ac:dyDescent="0.2">
      <c r="A254" s="49"/>
      <c r="B254" s="49" t="s">
        <v>36</v>
      </c>
      <c r="C254" s="40">
        <v>0</v>
      </c>
      <c r="D254" s="40">
        <v>0</v>
      </c>
      <c r="E254" s="40">
        <v>0</v>
      </c>
      <c r="F254" s="40"/>
      <c r="G254" s="40">
        <v>0</v>
      </c>
      <c r="H254" s="40">
        <v>0</v>
      </c>
      <c r="I254" s="40">
        <v>0</v>
      </c>
      <c r="J254" s="67"/>
      <c r="K254" s="54"/>
      <c r="L254" s="54"/>
      <c r="M254" s="54"/>
      <c r="N254" s="56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1:27" x14ac:dyDescent="0.2">
      <c r="A255" s="49"/>
      <c r="B255" s="49" t="s">
        <v>36</v>
      </c>
      <c r="C255" s="40">
        <v>0</v>
      </c>
      <c r="D255" s="40">
        <v>0</v>
      </c>
      <c r="E255" s="40">
        <v>0</v>
      </c>
      <c r="F255" s="40"/>
      <c r="G255" s="40">
        <v>0</v>
      </c>
      <c r="H255" s="40">
        <v>0</v>
      </c>
      <c r="I255" s="40">
        <v>0</v>
      </c>
      <c r="J255" s="67"/>
      <c r="K255" s="54"/>
      <c r="L255" s="54"/>
      <c r="M255" s="54"/>
      <c r="N255" s="56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1:27" x14ac:dyDescent="0.2">
      <c r="A256" s="49"/>
      <c r="B256" s="49" t="s">
        <v>36</v>
      </c>
      <c r="C256" s="40">
        <v>0</v>
      </c>
      <c r="D256" s="40">
        <v>0</v>
      </c>
      <c r="E256" s="40">
        <v>0</v>
      </c>
      <c r="F256" s="40"/>
      <c r="G256" s="40">
        <v>0</v>
      </c>
      <c r="H256" s="40">
        <v>0</v>
      </c>
      <c r="I256" s="40">
        <v>0</v>
      </c>
      <c r="J256" s="67"/>
      <c r="K256" s="54"/>
      <c r="L256" s="54"/>
      <c r="M256" s="54"/>
      <c r="N256" s="56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1:27" x14ac:dyDescent="0.2">
      <c r="A257" s="49"/>
      <c r="B257" s="49" t="s">
        <v>36</v>
      </c>
      <c r="C257" s="40">
        <v>0</v>
      </c>
      <c r="D257" s="40">
        <v>0</v>
      </c>
      <c r="E257" s="40">
        <v>0</v>
      </c>
      <c r="F257" s="40"/>
      <c r="G257" s="40">
        <v>0</v>
      </c>
      <c r="H257" s="40">
        <v>0</v>
      </c>
      <c r="I257" s="40">
        <v>0</v>
      </c>
      <c r="J257" s="67"/>
      <c r="K257" s="54"/>
      <c r="L257" s="54"/>
      <c r="M257" s="54"/>
      <c r="N257" s="56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1:27" x14ac:dyDescent="0.2">
      <c r="A258" s="49"/>
      <c r="B258" s="49" t="s">
        <v>36</v>
      </c>
      <c r="C258" s="40">
        <v>0</v>
      </c>
      <c r="D258" s="40">
        <v>0</v>
      </c>
      <c r="E258" s="40">
        <v>0</v>
      </c>
      <c r="F258" s="40"/>
      <c r="G258" s="40">
        <v>0</v>
      </c>
      <c r="H258" s="40">
        <v>0</v>
      </c>
      <c r="I258" s="40">
        <v>0</v>
      </c>
      <c r="J258" s="67"/>
      <c r="K258" s="54"/>
      <c r="L258" s="54"/>
      <c r="M258" s="54"/>
      <c r="N258" s="56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1:27" x14ac:dyDescent="0.2">
      <c r="A259" s="49"/>
      <c r="B259" s="49" t="s">
        <v>36</v>
      </c>
      <c r="C259" s="40">
        <v>0</v>
      </c>
      <c r="D259" s="40">
        <v>0</v>
      </c>
      <c r="E259" s="40">
        <v>0</v>
      </c>
      <c r="F259" s="40"/>
      <c r="G259" s="40">
        <v>0</v>
      </c>
      <c r="H259" s="40">
        <v>0</v>
      </c>
      <c r="I259" s="40">
        <v>0</v>
      </c>
      <c r="J259" s="67"/>
      <c r="K259" s="54"/>
      <c r="L259" s="54"/>
      <c r="M259" s="54"/>
      <c r="N259" s="56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1:27" x14ac:dyDescent="0.2">
      <c r="A260" s="49"/>
      <c r="B260" s="49" t="s">
        <v>36</v>
      </c>
      <c r="C260" s="40">
        <v>0</v>
      </c>
      <c r="D260" s="40">
        <v>0</v>
      </c>
      <c r="E260" s="40">
        <v>0</v>
      </c>
      <c r="F260" s="40"/>
      <c r="G260" s="40">
        <v>0</v>
      </c>
      <c r="H260" s="40">
        <v>0</v>
      </c>
      <c r="I260" s="40">
        <v>0</v>
      </c>
      <c r="J260" s="67"/>
      <c r="K260" s="54"/>
      <c r="L260" s="54"/>
      <c r="M260" s="54"/>
      <c r="N260" s="56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1:27" x14ac:dyDescent="0.2">
      <c r="A261" s="49"/>
      <c r="B261" s="49" t="s">
        <v>36</v>
      </c>
      <c r="C261" s="40">
        <v>0</v>
      </c>
      <c r="D261" s="40">
        <v>0</v>
      </c>
      <c r="E261" s="40">
        <v>0</v>
      </c>
      <c r="F261" s="40"/>
      <c r="G261" s="40">
        <v>0</v>
      </c>
      <c r="H261" s="40">
        <v>0</v>
      </c>
      <c r="I261" s="40">
        <v>0</v>
      </c>
      <c r="J261" s="67"/>
      <c r="K261" s="54"/>
      <c r="L261" s="54"/>
      <c r="M261" s="54"/>
      <c r="N261" s="56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1:27" x14ac:dyDescent="0.2">
      <c r="A262" s="49"/>
      <c r="B262" s="49" t="s">
        <v>36</v>
      </c>
      <c r="C262" s="40">
        <v>0</v>
      </c>
      <c r="D262" s="40">
        <v>0</v>
      </c>
      <c r="E262" s="40">
        <v>0</v>
      </c>
      <c r="F262" s="40"/>
      <c r="G262" s="40">
        <v>0</v>
      </c>
      <c r="H262" s="40">
        <v>0</v>
      </c>
      <c r="I262" s="40">
        <v>0</v>
      </c>
      <c r="J262" s="67"/>
      <c r="K262" s="54"/>
      <c r="L262" s="54"/>
      <c r="M262" s="54"/>
      <c r="N262" s="56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1:27" x14ac:dyDescent="0.2">
      <c r="A263" s="49"/>
      <c r="B263" s="49" t="s">
        <v>36</v>
      </c>
      <c r="C263" s="40">
        <v>0</v>
      </c>
      <c r="D263" s="40">
        <v>0</v>
      </c>
      <c r="E263" s="40">
        <v>0</v>
      </c>
      <c r="F263" s="40"/>
      <c r="G263" s="40">
        <v>0</v>
      </c>
      <c r="H263" s="40">
        <v>0</v>
      </c>
      <c r="I263" s="40">
        <v>0</v>
      </c>
      <c r="J263" s="67"/>
      <c r="K263" s="54"/>
      <c r="L263" s="54"/>
      <c r="M263" s="54"/>
      <c r="N263" s="56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1:27" x14ac:dyDescent="0.2">
      <c r="A264" s="49"/>
      <c r="B264" s="49" t="s">
        <v>36</v>
      </c>
      <c r="C264" s="40">
        <v>0</v>
      </c>
      <c r="D264" s="40">
        <v>0</v>
      </c>
      <c r="E264" s="40">
        <v>0</v>
      </c>
      <c r="F264" s="40"/>
      <c r="G264" s="40">
        <v>0</v>
      </c>
      <c r="H264" s="40">
        <v>0</v>
      </c>
      <c r="I264" s="40">
        <v>0</v>
      </c>
      <c r="J264" s="67"/>
      <c r="K264" s="54"/>
      <c r="L264" s="54"/>
      <c r="M264" s="54"/>
      <c r="N264" s="56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1:27" x14ac:dyDescent="0.2">
      <c r="A265" s="49"/>
      <c r="B265" s="49" t="s">
        <v>36</v>
      </c>
      <c r="C265" s="40">
        <v>0</v>
      </c>
      <c r="D265" s="40">
        <v>0</v>
      </c>
      <c r="E265" s="40">
        <v>0</v>
      </c>
      <c r="F265" s="40"/>
      <c r="G265" s="40">
        <v>0</v>
      </c>
      <c r="H265" s="40">
        <v>0</v>
      </c>
      <c r="I265" s="40">
        <v>0</v>
      </c>
      <c r="J265" s="67"/>
      <c r="K265" s="54"/>
      <c r="L265" s="54"/>
      <c r="M265" s="54"/>
      <c r="N265" s="56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1:27" x14ac:dyDescent="0.2">
      <c r="A266" s="49"/>
      <c r="B266" s="49" t="s">
        <v>36</v>
      </c>
      <c r="C266" s="40">
        <v>0</v>
      </c>
      <c r="D266" s="40">
        <v>0</v>
      </c>
      <c r="E266" s="40">
        <v>0</v>
      </c>
      <c r="F266" s="40"/>
      <c r="G266" s="40">
        <v>0</v>
      </c>
      <c r="H266" s="40">
        <v>0</v>
      </c>
      <c r="I266" s="40">
        <v>0</v>
      </c>
      <c r="J266" s="67"/>
      <c r="K266" s="54"/>
      <c r="L266" s="54"/>
      <c r="M266" s="54"/>
      <c r="N266" s="56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x14ac:dyDescent="0.2">
      <c r="A267" s="49"/>
      <c r="B267" s="49" t="s">
        <v>36</v>
      </c>
      <c r="C267" s="40">
        <v>0</v>
      </c>
      <c r="D267" s="40">
        <v>0</v>
      </c>
      <c r="E267" s="40">
        <v>0</v>
      </c>
      <c r="F267" s="40"/>
      <c r="G267" s="40">
        <v>0</v>
      </c>
      <c r="H267" s="40">
        <v>0</v>
      </c>
      <c r="I267" s="40">
        <v>0</v>
      </c>
      <c r="J267" s="67"/>
      <c r="K267" s="54"/>
      <c r="L267" s="54"/>
      <c r="M267" s="54"/>
      <c r="N267" s="56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1:27" x14ac:dyDescent="0.2">
      <c r="A268" s="49"/>
      <c r="B268" s="49" t="s">
        <v>36</v>
      </c>
      <c r="C268" s="40">
        <v>0</v>
      </c>
      <c r="D268" s="40">
        <v>0</v>
      </c>
      <c r="E268" s="40">
        <v>0</v>
      </c>
      <c r="F268" s="40"/>
      <c r="G268" s="40">
        <v>0</v>
      </c>
      <c r="H268" s="40">
        <v>0</v>
      </c>
      <c r="I268" s="40">
        <v>0</v>
      </c>
      <c r="J268" s="67"/>
      <c r="K268" s="54"/>
      <c r="L268" s="54"/>
      <c r="M268" s="54"/>
      <c r="N268" s="56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x14ac:dyDescent="0.2">
      <c r="A269" s="49"/>
      <c r="B269" s="49" t="s">
        <v>36</v>
      </c>
      <c r="C269" s="40">
        <v>0</v>
      </c>
      <c r="D269" s="40">
        <v>0</v>
      </c>
      <c r="E269" s="40">
        <v>0</v>
      </c>
      <c r="F269" s="40"/>
      <c r="G269" s="40">
        <v>0</v>
      </c>
      <c r="H269" s="40">
        <v>0</v>
      </c>
      <c r="I269" s="40">
        <v>0</v>
      </c>
      <c r="J269" s="67"/>
      <c r="K269" s="54"/>
      <c r="L269" s="54"/>
      <c r="M269" s="54"/>
      <c r="N269" s="56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1:27" x14ac:dyDescent="0.2">
      <c r="A270" s="49"/>
      <c r="B270" s="49" t="s">
        <v>36</v>
      </c>
      <c r="C270" s="40">
        <v>0</v>
      </c>
      <c r="D270" s="40">
        <v>0</v>
      </c>
      <c r="E270" s="40">
        <v>0</v>
      </c>
      <c r="F270" s="40"/>
      <c r="G270" s="40">
        <v>0</v>
      </c>
      <c r="H270" s="40">
        <v>0</v>
      </c>
      <c r="I270" s="40">
        <v>0</v>
      </c>
      <c r="J270" s="67"/>
      <c r="K270" s="54"/>
      <c r="L270" s="54"/>
      <c r="M270" s="54"/>
      <c r="N270" s="56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1:27" x14ac:dyDescent="0.2">
      <c r="A271" s="49"/>
      <c r="B271" s="49" t="s">
        <v>36</v>
      </c>
      <c r="C271" s="40">
        <v>0</v>
      </c>
      <c r="D271" s="40">
        <v>0</v>
      </c>
      <c r="E271" s="40">
        <v>0</v>
      </c>
      <c r="F271" s="40"/>
      <c r="G271" s="40">
        <v>0</v>
      </c>
      <c r="H271" s="40">
        <v>0</v>
      </c>
      <c r="I271" s="40">
        <v>0</v>
      </c>
      <c r="J271" s="67"/>
      <c r="K271" s="54"/>
      <c r="L271" s="54"/>
      <c r="M271" s="54"/>
      <c r="N271" s="56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1:27" x14ac:dyDescent="0.2">
      <c r="A272" s="49"/>
      <c r="B272" s="49" t="s">
        <v>36</v>
      </c>
      <c r="C272" s="40">
        <v>0</v>
      </c>
      <c r="D272" s="40">
        <v>0</v>
      </c>
      <c r="E272" s="40">
        <v>0</v>
      </c>
      <c r="F272" s="40"/>
      <c r="G272" s="40">
        <v>0</v>
      </c>
      <c r="H272" s="40">
        <v>0</v>
      </c>
      <c r="I272" s="40">
        <v>0</v>
      </c>
      <c r="J272" s="67"/>
      <c r="K272" s="54"/>
      <c r="L272" s="54"/>
      <c r="M272" s="54"/>
      <c r="N272" s="56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1:27" x14ac:dyDescent="0.2">
      <c r="A273" s="49"/>
      <c r="B273" s="49" t="s">
        <v>36</v>
      </c>
      <c r="C273" s="40">
        <v>0</v>
      </c>
      <c r="D273" s="40">
        <v>0</v>
      </c>
      <c r="E273" s="40">
        <v>0</v>
      </c>
      <c r="F273" s="40"/>
      <c r="G273" s="40">
        <v>0</v>
      </c>
      <c r="H273" s="40">
        <v>0</v>
      </c>
      <c r="I273" s="40">
        <v>0</v>
      </c>
      <c r="J273" s="67"/>
      <c r="K273" s="54"/>
      <c r="L273" s="54"/>
      <c r="M273" s="54"/>
      <c r="N273" s="56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1:27" x14ac:dyDescent="0.2">
      <c r="A274" s="49"/>
      <c r="B274" s="49" t="s">
        <v>36</v>
      </c>
      <c r="C274" s="40">
        <v>0</v>
      </c>
      <c r="D274" s="40">
        <v>0</v>
      </c>
      <c r="E274" s="40">
        <v>0</v>
      </c>
      <c r="F274" s="40"/>
      <c r="G274" s="40">
        <v>0</v>
      </c>
      <c r="H274" s="40">
        <v>0</v>
      </c>
      <c r="I274" s="40">
        <v>0</v>
      </c>
      <c r="J274" s="67"/>
      <c r="K274" s="54"/>
      <c r="L274" s="54"/>
      <c r="M274" s="54"/>
      <c r="N274" s="56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1:27" x14ac:dyDescent="0.2">
      <c r="A275" s="49"/>
      <c r="B275" s="49" t="s">
        <v>36</v>
      </c>
      <c r="C275" s="40">
        <v>0</v>
      </c>
      <c r="D275" s="40">
        <v>0</v>
      </c>
      <c r="E275" s="40">
        <v>0</v>
      </c>
      <c r="F275" s="40"/>
      <c r="G275" s="40">
        <v>0</v>
      </c>
      <c r="H275" s="40">
        <v>0</v>
      </c>
      <c r="I275" s="40">
        <v>0</v>
      </c>
      <c r="J275" s="67"/>
      <c r="K275" s="54"/>
      <c r="L275" s="54"/>
      <c r="M275" s="54"/>
      <c r="N275" s="56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1:27" x14ac:dyDescent="0.2">
      <c r="A276" s="49"/>
      <c r="B276" s="49" t="s">
        <v>36</v>
      </c>
      <c r="C276" s="40">
        <v>0</v>
      </c>
      <c r="D276" s="40">
        <v>0</v>
      </c>
      <c r="E276" s="40">
        <v>0</v>
      </c>
      <c r="F276" s="40"/>
      <c r="G276" s="40">
        <v>0</v>
      </c>
      <c r="H276" s="40">
        <v>0</v>
      </c>
      <c r="I276" s="40">
        <v>0</v>
      </c>
      <c r="J276" s="67"/>
      <c r="K276" s="54"/>
      <c r="L276" s="54"/>
      <c r="M276" s="54"/>
      <c r="N276" s="56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1:27" x14ac:dyDescent="0.2">
      <c r="A277" s="49"/>
      <c r="B277" s="49" t="s">
        <v>36</v>
      </c>
      <c r="C277" s="40">
        <v>0</v>
      </c>
      <c r="D277" s="40">
        <v>0</v>
      </c>
      <c r="E277" s="40">
        <v>0</v>
      </c>
      <c r="F277" s="40"/>
      <c r="G277" s="40">
        <v>0</v>
      </c>
      <c r="H277" s="40">
        <v>0</v>
      </c>
      <c r="I277" s="40">
        <v>0</v>
      </c>
      <c r="J277" s="67"/>
      <c r="K277" s="54"/>
      <c r="L277" s="54"/>
      <c r="M277" s="54"/>
      <c r="N277" s="56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1:27" x14ac:dyDescent="0.2">
      <c r="A278" s="49"/>
      <c r="B278" s="49" t="s">
        <v>36</v>
      </c>
      <c r="C278" s="40">
        <v>0</v>
      </c>
      <c r="D278" s="40">
        <v>0</v>
      </c>
      <c r="E278" s="40">
        <v>0</v>
      </c>
      <c r="F278" s="40"/>
      <c r="G278" s="40">
        <v>0</v>
      </c>
      <c r="H278" s="40">
        <v>0</v>
      </c>
      <c r="I278" s="40">
        <v>0</v>
      </c>
      <c r="J278" s="67"/>
      <c r="K278" s="54"/>
      <c r="L278" s="54"/>
      <c r="M278" s="54"/>
      <c r="N278" s="56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1:27" x14ac:dyDescent="0.2">
      <c r="A279" s="49"/>
      <c r="B279" s="49" t="s">
        <v>36</v>
      </c>
      <c r="C279" s="40">
        <v>0</v>
      </c>
      <c r="D279" s="40">
        <v>0</v>
      </c>
      <c r="E279" s="40">
        <v>0</v>
      </c>
      <c r="F279" s="40"/>
      <c r="G279" s="40">
        <v>0</v>
      </c>
      <c r="H279" s="40">
        <v>0</v>
      </c>
      <c r="I279" s="40">
        <v>0</v>
      </c>
      <c r="J279" s="67"/>
      <c r="K279" s="54"/>
      <c r="L279" s="54"/>
      <c r="M279" s="54"/>
      <c r="N279" s="56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1:27" x14ac:dyDescent="0.2">
      <c r="A280" s="49"/>
      <c r="B280" s="49" t="s">
        <v>36</v>
      </c>
      <c r="C280" s="40">
        <v>0</v>
      </c>
      <c r="D280" s="40">
        <v>0</v>
      </c>
      <c r="E280" s="40">
        <v>0</v>
      </c>
      <c r="F280" s="40"/>
      <c r="G280" s="40">
        <v>0</v>
      </c>
      <c r="H280" s="40">
        <v>0</v>
      </c>
      <c r="I280" s="40">
        <v>0</v>
      </c>
      <c r="J280" s="67"/>
      <c r="K280" s="54"/>
      <c r="L280" s="54"/>
      <c r="M280" s="54"/>
      <c r="N280" s="56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1:27" x14ac:dyDescent="0.2">
      <c r="A281" s="49"/>
      <c r="B281" s="49" t="s">
        <v>36</v>
      </c>
      <c r="C281" s="40">
        <v>0</v>
      </c>
      <c r="D281" s="40">
        <v>0</v>
      </c>
      <c r="E281" s="40">
        <v>0</v>
      </c>
      <c r="F281" s="40"/>
      <c r="G281" s="40">
        <v>0</v>
      </c>
      <c r="H281" s="40">
        <v>0</v>
      </c>
      <c r="I281" s="40">
        <v>0</v>
      </c>
      <c r="J281" s="67"/>
      <c r="K281" s="54"/>
      <c r="L281" s="54"/>
      <c r="M281" s="54"/>
      <c r="N281" s="56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spans="1:27" x14ac:dyDescent="0.2">
      <c r="A282" s="49"/>
      <c r="B282" s="49" t="s">
        <v>36</v>
      </c>
      <c r="C282" s="40">
        <v>0</v>
      </c>
      <c r="D282" s="40">
        <v>0</v>
      </c>
      <c r="E282" s="40">
        <v>0</v>
      </c>
      <c r="F282" s="40"/>
      <c r="G282" s="40">
        <v>0</v>
      </c>
      <c r="H282" s="40">
        <v>0</v>
      </c>
      <c r="I282" s="40">
        <v>0</v>
      </c>
      <c r="J282" s="67"/>
      <c r="K282" s="54"/>
      <c r="L282" s="54"/>
      <c r="M282" s="54"/>
      <c r="N282" s="56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spans="1:27" x14ac:dyDescent="0.2">
      <c r="A283" s="49"/>
      <c r="B283" s="49" t="s">
        <v>36</v>
      </c>
      <c r="C283" s="40">
        <v>0</v>
      </c>
      <c r="D283" s="40">
        <v>0</v>
      </c>
      <c r="E283" s="40">
        <v>0</v>
      </c>
      <c r="F283" s="40"/>
      <c r="G283" s="40">
        <v>0</v>
      </c>
      <c r="H283" s="40">
        <v>0</v>
      </c>
      <c r="I283" s="40">
        <v>0</v>
      </c>
      <c r="J283" s="67"/>
      <c r="K283" s="54"/>
      <c r="L283" s="54"/>
      <c r="M283" s="54"/>
      <c r="N283" s="56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spans="1:27" x14ac:dyDescent="0.2">
      <c r="A284" s="49"/>
      <c r="B284" s="49" t="s">
        <v>36</v>
      </c>
      <c r="C284" s="40">
        <v>0</v>
      </c>
      <c r="D284" s="40">
        <v>0</v>
      </c>
      <c r="E284" s="40">
        <v>0</v>
      </c>
      <c r="F284" s="40"/>
      <c r="G284" s="40">
        <v>0</v>
      </c>
      <c r="H284" s="40">
        <v>0</v>
      </c>
      <c r="I284" s="40">
        <v>0</v>
      </c>
      <c r="J284" s="67"/>
      <c r="K284" s="54"/>
      <c r="L284" s="54"/>
      <c r="M284" s="54"/>
      <c r="N284" s="56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spans="1:27" x14ac:dyDescent="0.2">
      <c r="A285" s="49"/>
      <c r="B285" s="49" t="s">
        <v>36</v>
      </c>
      <c r="C285" s="40">
        <v>0</v>
      </c>
      <c r="D285" s="40">
        <v>0</v>
      </c>
      <c r="E285" s="40">
        <v>0</v>
      </c>
      <c r="F285" s="40"/>
      <c r="G285" s="40">
        <v>0</v>
      </c>
      <c r="H285" s="40">
        <v>0</v>
      </c>
      <c r="I285" s="40">
        <v>0</v>
      </c>
      <c r="J285" s="67"/>
      <c r="K285" s="54"/>
      <c r="L285" s="54"/>
      <c r="M285" s="54"/>
      <c r="N285" s="56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spans="1:27" x14ac:dyDescent="0.2">
      <c r="A286" s="49"/>
      <c r="B286" s="49" t="s">
        <v>36</v>
      </c>
      <c r="C286" s="40">
        <v>0</v>
      </c>
      <c r="D286" s="40">
        <v>0</v>
      </c>
      <c r="E286" s="40">
        <v>0</v>
      </c>
      <c r="F286" s="40"/>
      <c r="G286" s="40">
        <v>0</v>
      </c>
      <c r="H286" s="40">
        <v>0</v>
      </c>
      <c r="I286" s="40">
        <v>0</v>
      </c>
      <c r="J286" s="67"/>
      <c r="K286" s="54"/>
      <c r="L286" s="54"/>
      <c r="M286" s="54"/>
      <c r="N286" s="56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spans="1:27" x14ac:dyDescent="0.2">
      <c r="A287" s="49"/>
      <c r="B287" s="49" t="s">
        <v>36</v>
      </c>
      <c r="C287" s="40">
        <v>0</v>
      </c>
      <c r="D287" s="40">
        <v>0</v>
      </c>
      <c r="E287" s="40">
        <v>0</v>
      </c>
      <c r="F287" s="40"/>
      <c r="G287" s="40">
        <v>0</v>
      </c>
      <c r="H287" s="40">
        <v>0</v>
      </c>
      <c r="I287" s="40">
        <v>0</v>
      </c>
      <c r="J287" s="67"/>
      <c r="K287" s="54"/>
      <c r="L287" s="54"/>
      <c r="M287" s="54"/>
      <c r="N287" s="56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spans="1:27" x14ac:dyDescent="0.2">
      <c r="A288" s="49"/>
      <c r="B288" s="49" t="s">
        <v>36</v>
      </c>
      <c r="C288" s="40">
        <v>0</v>
      </c>
      <c r="D288" s="40">
        <v>0</v>
      </c>
      <c r="E288" s="40">
        <v>0</v>
      </c>
      <c r="F288" s="40"/>
      <c r="G288" s="40">
        <v>0</v>
      </c>
      <c r="H288" s="40">
        <v>0</v>
      </c>
      <c r="I288" s="40">
        <v>0</v>
      </c>
      <c r="J288" s="67"/>
      <c r="K288" s="54"/>
      <c r="L288" s="54"/>
      <c r="M288" s="54"/>
      <c r="N288" s="56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spans="1:27" x14ac:dyDescent="0.2">
      <c r="A289" s="49"/>
      <c r="B289" s="49" t="s">
        <v>36</v>
      </c>
      <c r="C289" s="40">
        <v>0</v>
      </c>
      <c r="D289" s="40">
        <v>0</v>
      </c>
      <c r="E289" s="40">
        <v>0</v>
      </c>
      <c r="F289" s="40"/>
      <c r="G289" s="40">
        <v>0</v>
      </c>
      <c r="H289" s="40">
        <v>0</v>
      </c>
      <c r="I289" s="40">
        <v>0</v>
      </c>
      <c r="J289" s="67"/>
      <c r="K289" s="54"/>
      <c r="L289" s="54"/>
      <c r="M289" s="54"/>
      <c r="N289" s="56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spans="1:27" x14ac:dyDescent="0.2">
      <c r="A290" s="49"/>
      <c r="B290" s="49" t="s">
        <v>36</v>
      </c>
      <c r="C290" s="40">
        <v>0</v>
      </c>
      <c r="D290" s="40">
        <v>0</v>
      </c>
      <c r="E290" s="40">
        <v>0</v>
      </c>
      <c r="F290" s="40"/>
      <c r="G290" s="40">
        <v>0</v>
      </c>
      <c r="H290" s="40">
        <v>0</v>
      </c>
      <c r="I290" s="40">
        <v>0</v>
      </c>
      <c r="J290" s="67"/>
      <c r="K290" s="54"/>
      <c r="L290" s="54"/>
      <c r="M290" s="54"/>
      <c r="N290" s="56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spans="1:27" x14ac:dyDescent="0.2">
      <c r="A291" s="49"/>
      <c r="B291" s="49" t="s">
        <v>36</v>
      </c>
      <c r="C291" s="40">
        <v>0</v>
      </c>
      <c r="D291" s="40">
        <v>0</v>
      </c>
      <c r="E291" s="40">
        <v>0</v>
      </c>
      <c r="F291" s="40"/>
      <c r="G291" s="40">
        <v>0</v>
      </c>
      <c r="H291" s="40">
        <v>0</v>
      </c>
      <c r="I291" s="40">
        <v>0</v>
      </c>
      <c r="J291" s="67"/>
      <c r="K291" s="54"/>
      <c r="L291" s="54"/>
      <c r="M291" s="54"/>
      <c r="N291" s="56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spans="1:27" x14ac:dyDescent="0.2">
      <c r="A292" s="49"/>
      <c r="B292" s="49" t="s">
        <v>36</v>
      </c>
      <c r="C292" s="40">
        <v>0</v>
      </c>
      <c r="D292" s="40">
        <v>0</v>
      </c>
      <c r="E292" s="40">
        <v>0</v>
      </c>
      <c r="F292" s="40"/>
      <c r="G292" s="40">
        <v>0</v>
      </c>
      <c r="H292" s="40">
        <v>0</v>
      </c>
      <c r="I292" s="40">
        <v>0</v>
      </c>
      <c r="J292" s="67"/>
      <c r="K292" s="54"/>
      <c r="L292" s="54"/>
      <c r="M292" s="54"/>
      <c r="N292" s="56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x14ac:dyDescent="0.2">
      <c r="A293" s="49"/>
      <c r="B293" s="49" t="s">
        <v>36</v>
      </c>
      <c r="C293" s="40">
        <v>0</v>
      </c>
      <c r="D293" s="40">
        <v>0</v>
      </c>
      <c r="E293" s="40">
        <v>0</v>
      </c>
      <c r="F293" s="40"/>
      <c r="G293" s="40">
        <v>0</v>
      </c>
      <c r="H293" s="40">
        <v>0</v>
      </c>
      <c r="I293" s="40">
        <v>0</v>
      </c>
      <c r="J293" s="67"/>
      <c r="K293" s="54"/>
      <c r="L293" s="54"/>
      <c r="M293" s="54"/>
      <c r="N293" s="56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x14ac:dyDescent="0.2">
      <c r="A294" s="49"/>
      <c r="B294" s="49" t="s">
        <v>36</v>
      </c>
      <c r="C294" s="40">
        <v>0</v>
      </c>
      <c r="D294" s="40">
        <v>0</v>
      </c>
      <c r="E294" s="40">
        <v>0</v>
      </c>
      <c r="F294" s="40"/>
      <c r="G294" s="40">
        <v>0</v>
      </c>
      <c r="H294" s="40">
        <v>0</v>
      </c>
      <c r="I294" s="40">
        <v>0</v>
      </c>
      <c r="J294" s="67"/>
      <c r="K294" s="54"/>
      <c r="L294" s="54"/>
      <c r="M294" s="54"/>
      <c r="N294" s="56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x14ac:dyDescent="0.2">
      <c r="A295" s="49"/>
      <c r="B295" s="49" t="s">
        <v>36</v>
      </c>
      <c r="C295" s="40">
        <v>0</v>
      </c>
      <c r="D295" s="40">
        <v>0</v>
      </c>
      <c r="E295" s="40">
        <v>0</v>
      </c>
      <c r="F295" s="40"/>
      <c r="G295" s="40">
        <v>0</v>
      </c>
      <c r="H295" s="40">
        <v>0</v>
      </c>
      <c r="I295" s="40">
        <v>0</v>
      </c>
      <c r="J295" s="67"/>
      <c r="K295" s="54"/>
      <c r="L295" s="54"/>
      <c r="M295" s="54"/>
      <c r="N295" s="56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x14ac:dyDescent="0.2">
      <c r="A296" s="49"/>
      <c r="B296" s="49" t="s">
        <v>36</v>
      </c>
      <c r="C296" s="40">
        <v>0</v>
      </c>
      <c r="D296" s="40">
        <v>0</v>
      </c>
      <c r="E296" s="40">
        <v>0</v>
      </c>
      <c r="F296" s="40"/>
      <c r="G296" s="40">
        <v>0</v>
      </c>
      <c r="H296" s="40">
        <v>0</v>
      </c>
      <c r="I296" s="40">
        <v>0</v>
      </c>
      <c r="J296" s="67"/>
      <c r="K296" s="54"/>
      <c r="L296" s="54"/>
      <c r="M296" s="54"/>
      <c r="N296" s="56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x14ac:dyDescent="0.2">
      <c r="A297" s="49"/>
      <c r="B297" s="49" t="s">
        <v>36</v>
      </c>
      <c r="C297" s="40">
        <v>0</v>
      </c>
      <c r="D297" s="40">
        <v>0</v>
      </c>
      <c r="E297" s="40">
        <v>0</v>
      </c>
      <c r="F297" s="40"/>
      <c r="G297" s="40">
        <v>0</v>
      </c>
      <c r="H297" s="40">
        <v>0</v>
      </c>
      <c r="I297" s="40">
        <v>0</v>
      </c>
      <c r="J297" s="67"/>
      <c r="K297" s="54"/>
      <c r="L297" s="54"/>
      <c r="M297" s="54"/>
      <c r="N297" s="56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x14ac:dyDescent="0.2">
      <c r="A298" s="49"/>
      <c r="B298" s="49" t="s">
        <v>36</v>
      </c>
      <c r="C298" s="40">
        <v>0</v>
      </c>
      <c r="D298" s="40">
        <v>0</v>
      </c>
      <c r="E298" s="40">
        <v>0</v>
      </c>
      <c r="F298" s="40"/>
      <c r="G298" s="40">
        <v>0</v>
      </c>
      <c r="H298" s="40">
        <v>0</v>
      </c>
      <c r="I298" s="40">
        <v>0</v>
      </c>
      <c r="J298" s="67"/>
      <c r="K298" s="54"/>
      <c r="L298" s="54"/>
      <c r="M298" s="54"/>
      <c r="N298" s="56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x14ac:dyDescent="0.2">
      <c r="A299" s="49"/>
      <c r="B299" s="49" t="s">
        <v>36</v>
      </c>
      <c r="C299" s="40">
        <v>0</v>
      </c>
      <c r="D299" s="40">
        <v>0</v>
      </c>
      <c r="E299" s="40">
        <v>0</v>
      </c>
      <c r="F299" s="40"/>
      <c r="G299" s="40">
        <v>0</v>
      </c>
      <c r="H299" s="40">
        <v>0</v>
      </c>
      <c r="I299" s="40">
        <v>0</v>
      </c>
      <c r="J299" s="67"/>
      <c r="K299" s="54"/>
      <c r="L299" s="54"/>
      <c r="M299" s="54"/>
      <c r="N299" s="56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x14ac:dyDescent="0.2">
      <c r="A300" s="49"/>
      <c r="B300" s="49" t="s">
        <v>36</v>
      </c>
      <c r="C300" s="40">
        <v>0</v>
      </c>
      <c r="D300" s="40">
        <v>0</v>
      </c>
      <c r="E300" s="40">
        <v>0</v>
      </c>
      <c r="F300" s="40"/>
      <c r="G300" s="40">
        <v>0</v>
      </c>
      <c r="H300" s="40">
        <v>0</v>
      </c>
      <c r="I300" s="40">
        <v>0</v>
      </c>
      <c r="J300" s="67"/>
      <c r="K300" s="54"/>
      <c r="L300" s="54"/>
      <c r="M300" s="54"/>
      <c r="N300" s="56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x14ac:dyDescent="0.2">
      <c r="A301" s="49"/>
      <c r="B301" s="49" t="s">
        <v>36</v>
      </c>
      <c r="C301" s="40">
        <v>0</v>
      </c>
      <c r="D301" s="40">
        <v>0</v>
      </c>
      <c r="E301" s="40">
        <v>0</v>
      </c>
      <c r="F301" s="40"/>
      <c r="G301" s="40">
        <v>0</v>
      </c>
      <c r="H301" s="40">
        <v>0</v>
      </c>
      <c r="I301" s="40">
        <v>0</v>
      </c>
      <c r="J301" s="67"/>
      <c r="K301" s="54"/>
      <c r="L301" s="54"/>
      <c r="M301" s="54"/>
      <c r="N301" s="56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x14ac:dyDescent="0.2">
      <c r="A302" s="49"/>
      <c r="B302" s="49" t="s">
        <v>36</v>
      </c>
      <c r="C302" s="40">
        <v>0</v>
      </c>
      <c r="D302" s="40">
        <v>0</v>
      </c>
      <c r="E302" s="40">
        <v>0</v>
      </c>
      <c r="F302" s="40"/>
      <c r="G302" s="40">
        <v>0</v>
      </c>
      <c r="H302" s="40">
        <v>0</v>
      </c>
      <c r="I302" s="40">
        <v>0</v>
      </c>
      <c r="J302" s="67"/>
      <c r="K302" s="54"/>
      <c r="L302" s="54"/>
      <c r="M302" s="54"/>
      <c r="N302" s="56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x14ac:dyDescent="0.2">
      <c r="A303" s="49"/>
      <c r="B303" s="49" t="s">
        <v>36</v>
      </c>
      <c r="C303" s="40">
        <v>0</v>
      </c>
      <c r="D303" s="40">
        <v>0</v>
      </c>
      <c r="E303" s="40">
        <v>0</v>
      </c>
      <c r="F303" s="40"/>
      <c r="G303" s="40">
        <v>0</v>
      </c>
      <c r="H303" s="40">
        <v>0</v>
      </c>
      <c r="I303" s="40">
        <v>0</v>
      </c>
      <c r="J303" s="67"/>
      <c r="K303" s="54"/>
      <c r="L303" s="54"/>
      <c r="M303" s="54"/>
      <c r="N303" s="56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x14ac:dyDescent="0.2">
      <c r="A304" s="49"/>
      <c r="B304" s="49" t="s">
        <v>36</v>
      </c>
      <c r="C304" s="40">
        <v>0</v>
      </c>
      <c r="D304" s="40">
        <v>0</v>
      </c>
      <c r="E304" s="40">
        <v>0</v>
      </c>
      <c r="F304" s="40"/>
      <c r="G304" s="40">
        <v>0</v>
      </c>
      <c r="H304" s="40">
        <v>0</v>
      </c>
      <c r="I304" s="40">
        <v>0</v>
      </c>
      <c r="J304" s="67"/>
      <c r="K304" s="54"/>
      <c r="L304" s="54"/>
      <c r="M304" s="54"/>
      <c r="N304" s="56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x14ac:dyDescent="0.2">
      <c r="A305" s="49"/>
      <c r="B305" s="49" t="s">
        <v>36</v>
      </c>
      <c r="C305" s="40">
        <v>0</v>
      </c>
      <c r="D305" s="40">
        <v>0</v>
      </c>
      <c r="E305" s="40">
        <v>0</v>
      </c>
      <c r="F305" s="40"/>
      <c r="G305" s="40">
        <v>0</v>
      </c>
      <c r="H305" s="40">
        <v>0</v>
      </c>
      <c r="I305" s="40">
        <v>0</v>
      </c>
      <c r="J305" s="67"/>
      <c r="K305" s="54"/>
      <c r="L305" s="54"/>
      <c r="M305" s="54"/>
      <c r="N305" s="56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x14ac:dyDescent="0.2">
      <c r="A306" s="49"/>
      <c r="B306" s="49" t="s">
        <v>36</v>
      </c>
      <c r="C306" s="40">
        <v>0</v>
      </c>
      <c r="D306" s="40">
        <v>0</v>
      </c>
      <c r="E306" s="40">
        <v>0</v>
      </c>
      <c r="F306" s="40"/>
      <c r="G306" s="40">
        <v>0</v>
      </c>
      <c r="H306" s="40">
        <v>0</v>
      </c>
      <c r="I306" s="40">
        <v>0</v>
      </c>
      <c r="J306" s="67"/>
      <c r="K306" s="54"/>
      <c r="L306" s="54"/>
      <c r="M306" s="54"/>
      <c r="N306" s="56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x14ac:dyDescent="0.2">
      <c r="A307" s="49"/>
      <c r="B307" s="49" t="s">
        <v>36</v>
      </c>
      <c r="C307" s="40">
        <v>0</v>
      </c>
      <c r="D307" s="40">
        <v>0</v>
      </c>
      <c r="E307" s="40">
        <v>0</v>
      </c>
      <c r="F307" s="40"/>
      <c r="G307" s="40">
        <v>0</v>
      </c>
      <c r="H307" s="40">
        <v>0</v>
      </c>
      <c r="I307" s="40">
        <v>0</v>
      </c>
      <c r="J307" s="67"/>
      <c r="K307" s="54"/>
      <c r="L307" s="54"/>
      <c r="M307" s="54"/>
      <c r="N307" s="56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x14ac:dyDescent="0.2">
      <c r="A308" s="49"/>
      <c r="B308" s="49" t="s">
        <v>36</v>
      </c>
      <c r="C308" s="40">
        <v>0</v>
      </c>
      <c r="D308" s="40">
        <v>0</v>
      </c>
      <c r="E308" s="40">
        <v>0</v>
      </c>
      <c r="F308" s="40"/>
      <c r="G308" s="40">
        <v>0</v>
      </c>
      <c r="H308" s="40">
        <v>0</v>
      </c>
      <c r="I308" s="40">
        <v>0</v>
      </c>
      <c r="J308" s="67"/>
      <c r="K308" s="54"/>
      <c r="L308" s="54"/>
      <c r="M308" s="54"/>
      <c r="N308" s="56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x14ac:dyDescent="0.2">
      <c r="A309" s="49"/>
      <c r="B309" s="49" t="s">
        <v>36</v>
      </c>
      <c r="C309" s="40">
        <v>0</v>
      </c>
      <c r="D309" s="40">
        <v>0</v>
      </c>
      <c r="E309" s="40">
        <v>0</v>
      </c>
      <c r="F309" s="40"/>
      <c r="G309" s="40">
        <v>0</v>
      </c>
      <c r="H309" s="40">
        <v>0</v>
      </c>
      <c r="I309" s="40">
        <v>0</v>
      </c>
      <c r="J309" s="67"/>
      <c r="K309" s="54"/>
      <c r="L309" s="54"/>
      <c r="M309" s="54"/>
      <c r="N309" s="56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x14ac:dyDescent="0.2">
      <c r="A310" s="49"/>
      <c r="B310" s="49" t="s">
        <v>36</v>
      </c>
      <c r="C310" s="40">
        <v>0</v>
      </c>
      <c r="D310" s="40">
        <v>0</v>
      </c>
      <c r="E310" s="40">
        <v>0</v>
      </c>
      <c r="F310" s="40"/>
      <c r="G310" s="40">
        <v>0</v>
      </c>
      <c r="H310" s="40">
        <v>0</v>
      </c>
      <c r="I310" s="40">
        <v>0</v>
      </c>
      <c r="J310" s="67"/>
      <c r="K310" s="54"/>
      <c r="L310" s="54"/>
      <c r="M310" s="54"/>
      <c r="N310" s="56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x14ac:dyDescent="0.2">
      <c r="A311" s="49"/>
      <c r="B311" s="49" t="s">
        <v>36</v>
      </c>
      <c r="C311" s="40">
        <v>0</v>
      </c>
      <c r="D311" s="40">
        <v>0</v>
      </c>
      <c r="E311" s="40">
        <v>0</v>
      </c>
      <c r="F311" s="40"/>
      <c r="G311" s="40">
        <v>0</v>
      </c>
      <c r="H311" s="40">
        <v>0</v>
      </c>
      <c r="I311" s="40">
        <v>0</v>
      </c>
      <c r="J311" s="67"/>
      <c r="K311" s="54"/>
      <c r="L311" s="54"/>
      <c r="M311" s="54"/>
      <c r="N311" s="56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x14ac:dyDescent="0.2">
      <c r="A312" s="49"/>
      <c r="B312" s="49" t="s">
        <v>36</v>
      </c>
      <c r="C312" s="40">
        <v>0</v>
      </c>
      <c r="D312" s="40">
        <v>0</v>
      </c>
      <c r="E312" s="40">
        <v>0</v>
      </c>
      <c r="F312" s="40"/>
      <c r="G312" s="40">
        <v>0</v>
      </c>
      <c r="H312" s="40">
        <v>0</v>
      </c>
      <c r="I312" s="40">
        <v>0</v>
      </c>
      <c r="J312" s="67"/>
      <c r="K312" s="54"/>
      <c r="L312" s="54"/>
      <c r="M312" s="54"/>
      <c r="N312" s="56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x14ac:dyDescent="0.2">
      <c r="A313" s="49"/>
      <c r="B313" s="49" t="s">
        <v>36</v>
      </c>
      <c r="C313" s="40">
        <v>0</v>
      </c>
      <c r="D313" s="40">
        <v>0</v>
      </c>
      <c r="E313" s="40">
        <v>0</v>
      </c>
      <c r="F313" s="40"/>
      <c r="G313" s="40">
        <v>0</v>
      </c>
      <c r="H313" s="40">
        <v>0</v>
      </c>
      <c r="I313" s="40">
        <v>0</v>
      </c>
      <c r="J313" s="67"/>
      <c r="K313" s="54"/>
      <c r="L313" s="54"/>
      <c r="M313" s="54"/>
      <c r="N313" s="56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x14ac:dyDescent="0.2">
      <c r="A314" s="49"/>
      <c r="B314" s="49" t="s">
        <v>36</v>
      </c>
      <c r="C314" s="40">
        <v>0</v>
      </c>
      <c r="D314" s="40">
        <v>0</v>
      </c>
      <c r="E314" s="40">
        <v>0</v>
      </c>
      <c r="F314" s="40"/>
      <c r="G314" s="40">
        <v>0</v>
      </c>
      <c r="H314" s="40">
        <v>0</v>
      </c>
      <c r="I314" s="40">
        <v>0</v>
      </c>
      <c r="J314" s="67"/>
      <c r="K314" s="54"/>
      <c r="L314" s="54"/>
      <c r="M314" s="54"/>
      <c r="N314" s="56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x14ac:dyDescent="0.2">
      <c r="A315" s="49"/>
      <c r="B315" s="49" t="s">
        <v>36</v>
      </c>
      <c r="C315" s="40">
        <v>0</v>
      </c>
      <c r="D315" s="40">
        <v>0</v>
      </c>
      <c r="E315" s="40">
        <v>0</v>
      </c>
      <c r="F315" s="40"/>
      <c r="G315" s="40">
        <v>0</v>
      </c>
      <c r="H315" s="40">
        <v>0</v>
      </c>
      <c r="I315" s="40">
        <v>0</v>
      </c>
      <c r="J315" s="67"/>
      <c r="K315" s="54"/>
      <c r="L315" s="54"/>
      <c r="M315" s="54"/>
      <c r="N315" s="56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x14ac:dyDescent="0.2">
      <c r="A316" s="49"/>
      <c r="B316" s="49" t="s">
        <v>36</v>
      </c>
      <c r="C316" s="40">
        <v>0</v>
      </c>
      <c r="D316" s="40">
        <v>0</v>
      </c>
      <c r="E316" s="40">
        <v>0</v>
      </c>
      <c r="F316" s="40"/>
      <c r="G316" s="40">
        <v>0</v>
      </c>
      <c r="H316" s="40">
        <v>0</v>
      </c>
      <c r="I316" s="40">
        <v>0</v>
      </c>
      <c r="J316" s="67"/>
      <c r="K316" s="54"/>
      <c r="L316" s="54"/>
      <c r="M316" s="54"/>
      <c r="N316" s="56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x14ac:dyDescent="0.2">
      <c r="A317" s="49"/>
      <c r="B317" s="49" t="s">
        <v>36</v>
      </c>
      <c r="C317" s="40">
        <v>0</v>
      </c>
      <c r="D317" s="40">
        <v>0</v>
      </c>
      <c r="E317" s="40">
        <v>0</v>
      </c>
      <c r="F317" s="40"/>
      <c r="G317" s="40">
        <v>0</v>
      </c>
      <c r="H317" s="40">
        <v>0</v>
      </c>
      <c r="I317" s="40">
        <v>0</v>
      </c>
      <c r="J317" s="67"/>
      <c r="K317" s="54"/>
      <c r="L317" s="54"/>
      <c r="M317" s="54"/>
      <c r="N317" s="56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x14ac:dyDescent="0.2">
      <c r="A318" s="49"/>
      <c r="B318" s="49" t="s">
        <v>36</v>
      </c>
      <c r="C318" s="40">
        <v>0</v>
      </c>
      <c r="D318" s="40">
        <v>0</v>
      </c>
      <c r="E318" s="40">
        <v>0</v>
      </c>
      <c r="F318" s="40"/>
      <c r="G318" s="40">
        <v>0</v>
      </c>
      <c r="H318" s="40">
        <v>0</v>
      </c>
      <c r="I318" s="40">
        <v>0</v>
      </c>
      <c r="J318" s="67"/>
      <c r="K318" s="54"/>
      <c r="L318" s="54"/>
      <c r="M318" s="54"/>
      <c r="N318" s="56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x14ac:dyDescent="0.2">
      <c r="A319" s="49"/>
      <c r="B319" s="49" t="s">
        <v>36</v>
      </c>
      <c r="C319" s="40">
        <v>0</v>
      </c>
      <c r="D319" s="40">
        <v>0</v>
      </c>
      <c r="E319" s="40">
        <v>0</v>
      </c>
      <c r="F319" s="40"/>
      <c r="G319" s="40">
        <v>0</v>
      </c>
      <c r="H319" s="40">
        <v>0</v>
      </c>
      <c r="I319" s="40">
        <v>0</v>
      </c>
      <c r="J319" s="67"/>
      <c r="K319" s="54"/>
      <c r="L319" s="54"/>
      <c r="M319" s="54"/>
      <c r="N319" s="56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x14ac:dyDescent="0.2">
      <c r="A320" s="49"/>
      <c r="B320" s="49" t="s">
        <v>36</v>
      </c>
      <c r="C320" s="40">
        <v>0</v>
      </c>
      <c r="D320" s="40">
        <v>0</v>
      </c>
      <c r="E320" s="40">
        <v>0</v>
      </c>
      <c r="F320" s="40"/>
      <c r="G320" s="40">
        <v>0</v>
      </c>
      <c r="H320" s="40">
        <v>0</v>
      </c>
      <c r="I320" s="40">
        <v>0</v>
      </c>
      <c r="J320" s="67"/>
      <c r="K320" s="54"/>
      <c r="L320" s="54"/>
      <c r="M320" s="54"/>
      <c r="N320" s="56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x14ac:dyDescent="0.2">
      <c r="A321" s="49"/>
      <c r="B321" s="49" t="s">
        <v>36</v>
      </c>
      <c r="C321" s="40">
        <v>0</v>
      </c>
      <c r="D321" s="40">
        <v>0</v>
      </c>
      <c r="E321" s="40">
        <v>0</v>
      </c>
      <c r="F321" s="40"/>
      <c r="G321" s="40">
        <v>0</v>
      </c>
      <c r="H321" s="40">
        <v>0</v>
      </c>
      <c r="I321" s="40">
        <v>0</v>
      </c>
      <c r="J321" s="67"/>
      <c r="K321" s="54"/>
      <c r="L321" s="54"/>
      <c r="M321" s="54"/>
      <c r="N321" s="56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x14ac:dyDescent="0.2">
      <c r="A322" s="49"/>
      <c r="B322" s="49" t="s">
        <v>36</v>
      </c>
      <c r="C322" s="40">
        <v>0</v>
      </c>
      <c r="D322" s="40">
        <v>0</v>
      </c>
      <c r="E322" s="40">
        <v>0</v>
      </c>
      <c r="F322" s="40"/>
      <c r="G322" s="40">
        <v>0</v>
      </c>
      <c r="H322" s="40">
        <v>0</v>
      </c>
      <c r="I322" s="40">
        <v>0</v>
      </c>
      <c r="J322" s="67"/>
      <c r="K322" s="54"/>
      <c r="L322" s="54"/>
      <c r="M322" s="54"/>
      <c r="N322" s="56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x14ac:dyDescent="0.2">
      <c r="A323" s="49"/>
      <c r="B323" s="49" t="s">
        <v>36</v>
      </c>
      <c r="C323" s="40">
        <v>0</v>
      </c>
      <c r="D323" s="40">
        <v>0</v>
      </c>
      <c r="E323" s="40">
        <v>0</v>
      </c>
      <c r="F323" s="40"/>
      <c r="G323" s="40">
        <v>0</v>
      </c>
      <c r="H323" s="40">
        <v>0</v>
      </c>
      <c r="I323" s="40">
        <v>0</v>
      </c>
      <c r="J323" s="67"/>
      <c r="K323" s="54"/>
      <c r="L323" s="54"/>
      <c r="M323" s="54"/>
      <c r="N323" s="56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x14ac:dyDescent="0.2">
      <c r="A324" s="49"/>
      <c r="B324" s="49" t="s">
        <v>36</v>
      </c>
      <c r="C324" s="40">
        <v>0</v>
      </c>
      <c r="D324" s="40">
        <v>0</v>
      </c>
      <c r="E324" s="40">
        <v>0</v>
      </c>
      <c r="F324" s="40"/>
      <c r="G324" s="40">
        <v>0</v>
      </c>
      <c r="H324" s="40">
        <v>0</v>
      </c>
      <c r="I324" s="40">
        <v>0</v>
      </c>
      <c r="J324" s="67"/>
      <c r="K324" s="54"/>
      <c r="L324" s="54"/>
      <c r="M324" s="54"/>
      <c r="N324" s="56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x14ac:dyDescent="0.2">
      <c r="A325" s="49"/>
      <c r="B325" s="49" t="s">
        <v>36</v>
      </c>
      <c r="C325" s="40">
        <v>0</v>
      </c>
      <c r="D325" s="40">
        <v>0</v>
      </c>
      <c r="E325" s="40">
        <v>0</v>
      </c>
      <c r="F325" s="40"/>
      <c r="G325" s="40">
        <v>0</v>
      </c>
      <c r="H325" s="40">
        <v>0</v>
      </c>
      <c r="I325" s="40">
        <v>0</v>
      </c>
      <c r="J325" s="67"/>
      <c r="K325" s="54"/>
      <c r="L325" s="54"/>
      <c r="M325" s="54"/>
      <c r="N325" s="56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x14ac:dyDescent="0.2">
      <c r="A326" s="49"/>
      <c r="B326" s="49" t="s">
        <v>36</v>
      </c>
      <c r="C326" s="40">
        <v>0</v>
      </c>
      <c r="D326" s="40">
        <v>0</v>
      </c>
      <c r="E326" s="40">
        <v>0</v>
      </c>
      <c r="F326" s="40"/>
      <c r="G326" s="40">
        <v>0</v>
      </c>
      <c r="H326" s="40">
        <v>0</v>
      </c>
      <c r="I326" s="40">
        <v>0</v>
      </c>
      <c r="J326" s="67"/>
      <c r="K326" s="54"/>
      <c r="L326" s="54"/>
      <c r="M326" s="54"/>
      <c r="N326" s="56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x14ac:dyDescent="0.2">
      <c r="A327" s="49"/>
      <c r="B327" s="49" t="s">
        <v>36</v>
      </c>
      <c r="C327" s="40">
        <v>0</v>
      </c>
      <c r="D327" s="40">
        <v>0</v>
      </c>
      <c r="E327" s="40">
        <v>0</v>
      </c>
      <c r="F327" s="40"/>
      <c r="G327" s="40">
        <v>0</v>
      </c>
      <c r="H327" s="40">
        <v>0</v>
      </c>
      <c r="I327" s="40">
        <v>0</v>
      </c>
      <c r="J327" s="67"/>
      <c r="K327" s="54"/>
      <c r="L327" s="54"/>
      <c r="M327" s="54"/>
      <c r="N327" s="56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x14ac:dyDescent="0.2">
      <c r="A328" s="49"/>
      <c r="B328" s="49" t="s">
        <v>36</v>
      </c>
      <c r="C328" s="40">
        <v>0</v>
      </c>
      <c r="D328" s="40">
        <v>0</v>
      </c>
      <c r="E328" s="40">
        <v>0</v>
      </c>
      <c r="F328" s="40"/>
      <c r="G328" s="40">
        <v>0</v>
      </c>
      <c r="H328" s="40">
        <v>0</v>
      </c>
      <c r="I328" s="40">
        <v>0</v>
      </c>
      <c r="J328" s="67"/>
      <c r="K328" s="54"/>
      <c r="L328" s="54"/>
      <c r="M328" s="54"/>
      <c r="N328" s="56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x14ac:dyDescent="0.2">
      <c r="A329" s="49"/>
      <c r="B329" s="49" t="s">
        <v>36</v>
      </c>
      <c r="C329" s="40">
        <v>0</v>
      </c>
      <c r="D329" s="40">
        <v>0</v>
      </c>
      <c r="E329" s="40">
        <v>0</v>
      </c>
      <c r="F329" s="40"/>
      <c r="G329" s="40">
        <v>0</v>
      </c>
      <c r="H329" s="40">
        <v>0</v>
      </c>
      <c r="I329" s="40">
        <v>0</v>
      </c>
      <c r="J329" s="67"/>
      <c r="K329" s="54"/>
      <c r="L329" s="54"/>
      <c r="M329" s="54"/>
      <c r="N329" s="56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x14ac:dyDescent="0.2">
      <c r="A330" s="49"/>
      <c r="B330" s="49" t="s">
        <v>36</v>
      </c>
      <c r="C330" s="40">
        <v>0</v>
      </c>
      <c r="D330" s="40">
        <v>0</v>
      </c>
      <c r="E330" s="40">
        <v>0</v>
      </c>
      <c r="F330" s="40"/>
      <c r="G330" s="40">
        <v>0</v>
      </c>
      <c r="H330" s="40">
        <v>0</v>
      </c>
      <c r="I330" s="40">
        <v>0</v>
      </c>
      <c r="J330" s="67"/>
      <c r="K330" s="54"/>
      <c r="L330" s="54"/>
      <c r="M330" s="54"/>
      <c r="N330" s="56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x14ac:dyDescent="0.2">
      <c r="A331" s="49"/>
      <c r="B331" s="49" t="s">
        <v>36</v>
      </c>
      <c r="C331" s="40">
        <v>0</v>
      </c>
      <c r="D331" s="40">
        <v>0</v>
      </c>
      <c r="E331" s="40">
        <v>0</v>
      </c>
      <c r="F331" s="40"/>
      <c r="G331" s="40">
        <v>0</v>
      </c>
      <c r="H331" s="40">
        <v>0</v>
      </c>
      <c r="I331" s="40">
        <v>0</v>
      </c>
      <c r="J331" s="67"/>
      <c r="K331" s="54"/>
      <c r="L331" s="54"/>
      <c r="M331" s="54"/>
      <c r="N331" s="56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x14ac:dyDescent="0.2">
      <c r="A332" s="49"/>
      <c r="B332" s="49" t="s">
        <v>36</v>
      </c>
      <c r="C332" s="40">
        <v>0</v>
      </c>
      <c r="D332" s="40">
        <v>0</v>
      </c>
      <c r="E332" s="40">
        <v>0</v>
      </c>
      <c r="F332" s="40"/>
      <c r="G332" s="40">
        <v>0</v>
      </c>
      <c r="H332" s="40">
        <v>0</v>
      </c>
      <c r="I332" s="40">
        <v>0</v>
      </c>
      <c r="J332" s="67"/>
      <c r="K332" s="54"/>
      <c r="L332" s="54"/>
      <c r="M332" s="54"/>
      <c r="N332" s="56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x14ac:dyDescent="0.2">
      <c r="A333" s="49"/>
      <c r="B333" s="49" t="s">
        <v>36</v>
      </c>
      <c r="C333" s="40">
        <v>0</v>
      </c>
      <c r="D333" s="40">
        <v>0</v>
      </c>
      <c r="E333" s="40">
        <v>0</v>
      </c>
      <c r="F333" s="40"/>
      <c r="G333" s="40">
        <v>0</v>
      </c>
      <c r="H333" s="40">
        <v>0</v>
      </c>
      <c r="I333" s="40">
        <v>0</v>
      </c>
      <c r="J333" s="67"/>
      <c r="K333" s="54"/>
      <c r="L333" s="54"/>
      <c r="M333" s="54"/>
      <c r="N333" s="56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x14ac:dyDescent="0.2">
      <c r="A334" s="49"/>
      <c r="B334" s="49" t="s">
        <v>36</v>
      </c>
      <c r="C334" s="40">
        <v>0</v>
      </c>
      <c r="D334" s="40">
        <v>0</v>
      </c>
      <c r="E334" s="40">
        <v>0</v>
      </c>
      <c r="F334" s="40"/>
      <c r="G334" s="40">
        <v>0</v>
      </c>
      <c r="H334" s="40">
        <v>0</v>
      </c>
      <c r="I334" s="40">
        <v>0</v>
      </c>
      <c r="J334" s="67"/>
      <c r="K334" s="54"/>
      <c r="L334" s="54"/>
      <c r="M334" s="54"/>
      <c r="N334" s="56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x14ac:dyDescent="0.2">
      <c r="A335" s="49"/>
      <c r="B335" s="49" t="s">
        <v>36</v>
      </c>
      <c r="C335" s="40">
        <v>0</v>
      </c>
      <c r="D335" s="40">
        <v>0</v>
      </c>
      <c r="E335" s="40">
        <v>0</v>
      </c>
      <c r="F335" s="40"/>
      <c r="G335" s="40">
        <v>0</v>
      </c>
      <c r="H335" s="40">
        <v>0</v>
      </c>
      <c r="I335" s="40">
        <v>0</v>
      </c>
      <c r="J335" s="67"/>
      <c r="K335" s="54"/>
      <c r="L335" s="54"/>
      <c r="M335" s="54"/>
      <c r="N335" s="56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x14ac:dyDescent="0.2">
      <c r="A336" s="49"/>
      <c r="B336" s="49" t="s">
        <v>36</v>
      </c>
      <c r="C336" s="40">
        <v>0</v>
      </c>
      <c r="D336" s="40">
        <v>0</v>
      </c>
      <c r="E336" s="40">
        <v>0</v>
      </c>
      <c r="F336" s="40"/>
      <c r="G336" s="40">
        <v>0</v>
      </c>
      <c r="H336" s="40">
        <v>0</v>
      </c>
      <c r="I336" s="40">
        <v>0</v>
      </c>
      <c r="J336" s="67"/>
      <c r="K336" s="54"/>
      <c r="L336" s="54"/>
      <c r="M336" s="54"/>
      <c r="N336" s="56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x14ac:dyDescent="0.2">
      <c r="A337" s="49"/>
      <c r="B337" s="49" t="s">
        <v>36</v>
      </c>
      <c r="C337" s="40">
        <v>0</v>
      </c>
      <c r="D337" s="40">
        <v>0</v>
      </c>
      <c r="E337" s="40">
        <v>0</v>
      </c>
      <c r="F337" s="40"/>
      <c r="G337" s="40">
        <v>0</v>
      </c>
      <c r="H337" s="40">
        <v>0</v>
      </c>
      <c r="I337" s="40">
        <v>0</v>
      </c>
      <c r="J337" s="67"/>
      <c r="K337" s="54"/>
      <c r="L337" s="54"/>
      <c r="M337" s="54"/>
      <c r="N337" s="56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x14ac:dyDescent="0.2">
      <c r="A338" s="49"/>
      <c r="B338" s="49" t="s">
        <v>36</v>
      </c>
      <c r="C338" s="40">
        <v>0</v>
      </c>
      <c r="D338" s="40">
        <v>0</v>
      </c>
      <c r="E338" s="40">
        <v>0</v>
      </c>
      <c r="F338" s="40"/>
      <c r="G338" s="40">
        <v>0</v>
      </c>
      <c r="H338" s="40">
        <v>0</v>
      </c>
      <c r="I338" s="40">
        <v>0</v>
      </c>
      <c r="J338" s="67"/>
      <c r="K338" s="54"/>
      <c r="L338" s="54"/>
      <c r="M338" s="54"/>
      <c r="N338" s="56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x14ac:dyDescent="0.2">
      <c r="A339" s="49"/>
      <c r="B339" s="49" t="s">
        <v>36</v>
      </c>
      <c r="C339" s="40">
        <v>0</v>
      </c>
      <c r="D339" s="40">
        <v>0</v>
      </c>
      <c r="E339" s="40">
        <v>0</v>
      </c>
      <c r="F339" s="40"/>
      <c r="G339" s="40">
        <v>0</v>
      </c>
      <c r="H339" s="40">
        <v>0</v>
      </c>
      <c r="I339" s="40">
        <v>0</v>
      </c>
      <c r="J339" s="67"/>
      <c r="K339" s="54"/>
      <c r="L339" s="54"/>
      <c r="M339" s="54"/>
      <c r="N339" s="56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x14ac:dyDescent="0.2">
      <c r="A340" s="49"/>
      <c r="B340" s="49" t="s">
        <v>36</v>
      </c>
      <c r="C340" s="40">
        <v>0</v>
      </c>
      <c r="D340" s="40">
        <v>0</v>
      </c>
      <c r="E340" s="40">
        <v>0</v>
      </c>
      <c r="F340" s="40"/>
      <c r="G340" s="40">
        <v>0</v>
      </c>
      <c r="H340" s="40">
        <v>0</v>
      </c>
      <c r="I340" s="40">
        <v>0</v>
      </c>
      <c r="J340" s="67"/>
      <c r="K340" s="54"/>
      <c r="L340" s="54"/>
      <c r="M340" s="54"/>
      <c r="N340" s="56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x14ac:dyDescent="0.2">
      <c r="A341" s="49"/>
      <c r="B341" s="49" t="s">
        <v>36</v>
      </c>
      <c r="C341" s="40">
        <v>0</v>
      </c>
      <c r="D341" s="40">
        <v>0</v>
      </c>
      <c r="E341" s="40">
        <v>0</v>
      </c>
      <c r="F341" s="40"/>
      <c r="G341" s="40">
        <v>0</v>
      </c>
      <c r="H341" s="40">
        <v>0</v>
      </c>
      <c r="I341" s="40">
        <v>0</v>
      </c>
      <c r="J341" s="67"/>
      <c r="K341" s="54"/>
      <c r="L341" s="54"/>
      <c r="M341" s="54"/>
      <c r="N341" s="56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x14ac:dyDescent="0.2">
      <c r="A342" s="49"/>
      <c r="B342" s="49" t="s">
        <v>36</v>
      </c>
      <c r="C342" s="40">
        <v>0</v>
      </c>
      <c r="D342" s="40">
        <v>0</v>
      </c>
      <c r="E342" s="40">
        <v>0</v>
      </c>
      <c r="F342" s="40"/>
      <c r="G342" s="40">
        <v>0</v>
      </c>
      <c r="H342" s="40">
        <v>0</v>
      </c>
      <c r="I342" s="40">
        <v>0</v>
      </c>
      <c r="J342" s="67"/>
      <c r="K342" s="54"/>
      <c r="L342" s="54"/>
      <c r="M342" s="54"/>
      <c r="N342" s="56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x14ac:dyDescent="0.2">
      <c r="A343" s="49"/>
      <c r="B343" s="49" t="s">
        <v>36</v>
      </c>
      <c r="C343" s="40">
        <v>0</v>
      </c>
      <c r="D343" s="40">
        <v>0</v>
      </c>
      <c r="E343" s="40">
        <v>0</v>
      </c>
      <c r="F343" s="40"/>
      <c r="G343" s="40">
        <v>0</v>
      </c>
      <c r="H343" s="40">
        <v>0</v>
      </c>
      <c r="I343" s="40">
        <v>0</v>
      </c>
      <c r="J343" s="67"/>
      <c r="K343" s="54"/>
      <c r="L343" s="54"/>
      <c r="M343" s="54"/>
      <c r="N343" s="56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x14ac:dyDescent="0.2">
      <c r="A344" s="49"/>
      <c r="B344" s="49" t="s">
        <v>36</v>
      </c>
      <c r="C344" s="40">
        <v>0</v>
      </c>
      <c r="D344" s="40">
        <v>0</v>
      </c>
      <c r="E344" s="40">
        <v>0</v>
      </c>
      <c r="F344" s="40"/>
      <c r="G344" s="40">
        <v>0</v>
      </c>
      <c r="H344" s="40">
        <v>0</v>
      </c>
      <c r="I344" s="40">
        <v>0</v>
      </c>
      <c r="J344" s="67"/>
      <c r="K344" s="54"/>
      <c r="L344" s="54"/>
      <c r="M344" s="54"/>
      <c r="N344" s="56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x14ac:dyDescent="0.2">
      <c r="A345" s="49"/>
      <c r="B345" s="49" t="s">
        <v>36</v>
      </c>
      <c r="C345" s="40">
        <v>0</v>
      </c>
      <c r="D345" s="40">
        <v>0</v>
      </c>
      <c r="E345" s="40">
        <v>0</v>
      </c>
      <c r="F345" s="40"/>
      <c r="G345" s="40">
        <v>0</v>
      </c>
      <c r="H345" s="40">
        <v>0</v>
      </c>
      <c r="I345" s="40">
        <v>0</v>
      </c>
      <c r="J345" s="67"/>
      <c r="K345" s="54"/>
      <c r="L345" s="54"/>
      <c r="M345" s="54"/>
      <c r="N345" s="56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x14ac:dyDescent="0.2">
      <c r="A346" s="49"/>
      <c r="B346" s="49" t="s">
        <v>36</v>
      </c>
      <c r="C346" s="40">
        <v>0</v>
      </c>
      <c r="D346" s="40">
        <v>0</v>
      </c>
      <c r="E346" s="40">
        <v>0</v>
      </c>
      <c r="F346" s="40"/>
      <c r="G346" s="40">
        <v>0</v>
      </c>
      <c r="H346" s="40">
        <v>0</v>
      </c>
      <c r="I346" s="40">
        <v>0</v>
      </c>
      <c r="J346" s="67"/>
      <c r="K346" s="54"/>
      <c r="L346" s="54"/>
      <c r="M346" s="54"/>
      <c r="N346" s="56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x14ac:dyDescent="0.2">
      <c r="A347" s="49"/>
      <c r="B347" s="49" t="s">
        <v>36</v>
      </c>
      <c r="C347" s="40">
        <v>0</v>
      </c>
      <c r="D347" s="40">
        <v>0</v>
      </c>
      <c r="E347" s="40">
        <v>0</v>
      </c>
      <c r="F347" s="40"/>
      <c r="G347" s="40">
        <v>0</v>
      </c>
      <c r="H347" s="40">
        <v>0</v>
      </c>
      <c r="I347" s="40">
        <v>0</v>
      </c>
      <c r="J347" s="67"/>
      <c r="K347" s="54"/>
      <c r="L347" s="54"/>
      <c r="M347" s="54"/>
      <c r="N347" s="56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x14ac:dyDescent="0.2">
      <c r="A348" s="49"/>
      <c r="B348" s="49" t="s">
        <v>36</v>
      </c>
      <c r="C348" s="40">
        <v>0</v>
      </c>
      <c r="D348" s="40">
        <v>0</v>
      </c>
      <c r="E348" s="40">
        <v>0</v>
      </c>
      <c r="F348" s="40"/>
      <c r="G348" s="40">
        <v>0</v>
      </c>
      <c r="H348" s="40">
        <v>0</v>
      </c>
      <c r="I348" s="40">
        <v>0</v>
      </c>
      <c r="J348" s="67"/>
      <c r="K348" s="54"/>
      <c r="L348" s="54"/>
      <c r="M348" s="54"/>
      <c r="N348" s="56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x14ac:dyDescent="0.2">
      <c r="A349" s="49"/>
      <c r="B349" s="49" t="s">
        <v>36</v>
      </c>
      <c r="C349" s="40">
        <v>0</v>
      </c>
      <c r="D349" s="40">
        <v>0</v>
      </c>
      <c r="E349" s="40">
        <v>0</v>
      </c>
      <c r="F349" s="40"/>
      <c r="G349" s="40">
        <v>0</v>
      </c>
      <c r="H349" s="40">
        <v>0</v>
      </c>
      <c r="I349" s="40">
        <v>0</v>
      </c>
      <c r="J349" s="67"/>
      <c r="K349" s="54"/>
      <c r="L349" s="54"/>
      <c r="M349" s="54"/>
      <c r="N349" s="56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x14ac:dyDescent="0.2">
      <c r="A350" s="49"/>
      <c r="B350" s="49" t="s">
        <v>36</v>
      </c>
      <c r="C350" s="40">
        <v>0</v>
      </c>
      <c r="D350" s="40">
        <v>0</v>
      </c>
      <c r="E350" s="40">
        <v>0</v>
      </c>
      <c r="F350" s="40"/>
      <c r="G350" s="40">
        <v>0</v>
      </c>
      <c r="H350" s="40">
        <v>0</v>
      </c>
      <c r="I350" s="40">
        <v>0</v>
      </c>
      <c r="J350" s="67"/>
      <c r="K350" s="54"/>
      <c r="L350" s="54"/>
      <c r="M350" s="54"/>
      <c r="N350" s="56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x14ac:dyDescent="0.2">
      <c r="A351" s="49"/>
      <c r="B351" s="49" t="s">
        <v>36</v>
      </c>
      <c r="C351" s="40">
        <v>0</v>
      </c>
      <c r="D351" s="40">
        <v>0</v>
      </c>
      <c r="E351" s="40">
        <v>0</v>
      </c>
      <c r="F351" s="40"/>
      <c r="G351" s="40">
        <v>0</v>
      </c>
      <c r="H351" s="40">
        <v>0</v>
      </c>
      <c r="I351" s="40">
        <v>0</v>
      </c>
      <c r="J351" s="67"/>
      <c r="K351" s="54"/>
      <c r="L351" s="54"/>
      <c r="M351" s="54"/>
      <c r="N351" s="56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x14ac:dyDescent="0.2">
      <c r="A352" s="49"/>
      <c r="B352" s="49" t="s">
        <v>36</v>
      </c>
      <c r="C352" s="40">
        <v>0</v>
      </c>
      <c r="D352" s="40">
        <v>0</v>
      </c>
      <c r="E352" s="40">
        <v>0</v>
      </c>
      <c r="F352" s="40"/>
      <c r="G352" s="40">
        <v>0</v>
      </c>
      <c r="H352" s="40">
        <v>0</v>
      </c>
      <c r="I352" s="40">
        <v>0</v>
      </c>
      <c r="J352" s="67"/>
      <c r="K352" s="54"/>
      <c r="L352" s="54"/>
      <c r="M352" s="54"/>
      <c r="N352" s="56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x14ac:dyDescent="0.2">
      <c r="A353" s="49"/>
      <c r="B353" s="49" t="s">
        <v>36</v>
      </c>
      <c r="C353" s="40">
        <v>0</v>
      </c>
      <c r="D353" s="40">
        <v>0</v>
      </c>
      <c r="E353" s="40">
        <v>0</v>
      </c>
      <c r="F353" s="40"/>
      <c r="G353" s="40">
        <v>0</v>
      </c>
      <c r="H353" s="40">
        <v>0</v>
      </c>
      <c r="I353" s="40">
        <v>0</v>
      </c>
      <c r="J353" s="67"/>
      <c r="K353" s="54"/>
      <c r="L353" s="54"/>
      <c r="M353" s="54"/>
      <c r="N353" s="56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x14ac:dyDescent="0.2">
      <c r="A354" s="49"/>
      <c r="B354" s="49" t="s">
        <v>36</v>
      </c>
      <c r="C354" s="40">
        <v>0</v>
      </c>
      <c r="D354" s="40">
        <v>0</v>
      </c>
      <c r="E354" s="40">
        <v>0</v>
      </c>
      <c r="F354" s="40"/>
      <c r="G354" s="40">
        <v>0</v>
      </c>
      <c r="H354" s="40">
        <v>0</v>
      </c>
      <c r="I354" s="40">
        <v>0</v>
      </c>
      <c r="J354" s="67"/>
      <c r="K354" s="54"/>
      <c r="L354" s="54"/>
      <c r="M354" s="54"/>
      <c r="N354" s="56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x14ac:dyDescent="0.2">
      <c r="A355" s="49"/>
      <c r="B355" s="49" t="s">
        <v>36</v>
      </c>
      <c r="C355" s="40">
        <v>0</v>
      </c>
      <c r="D355" s="40">
        <v>0</v>
      </c>
      <c r="E355" s="40">
        <v>0</v>
      </c>
      <c r="F355" s="40"/>
      <c r="G355" s="40">
        <v>0</v>
      </c>
      <c r="H355" s="40">
        <v>0</v>
      </c>
      <c r="I355" s="40">
        <v>0</v>
      </c>
      <c r="J355" s="67"/>
      <c r="K355" s="54"/>
      <c r="L355" s="54"/>
      <c r="M355" s="54"/>
      <c r="N355" s="56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x14ac:dyDescent="0.2">
      <c r="A356" s="49"/>
      <c r="B356" s="49" t="s">
        <v>36</v>
      </c>
      <c r="C356" s="40">
        <v>0</v>
      </c>
      <c r="D356" s="40">
        <v>0</v>
      </c>
      <c r="E356" s="40">
        <v>0</v>
      </c>
      <c r="F356" s="40"/>
      <c r="G356" s="40">
        <v>0</v>
      </c>
      <c r="H356" s="40">
        <v>0</v>
      </c>
      <c r="I356" s="40">
        <v>0</v>
      </c>
      <c r="J356" s="67"/>
      <c r="K356" s="54"/>
      <c r="L356" s="54"/>
      <c r="M356" s="54"/>
      <c r="N356" s="56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x14ac:dyDescent="0.2">
      <c r="A357" s="49"/>
      <c r="B357" s="49" t="s">
        <v>36</v>
      </c>
      <c r="C357" s="40">
        <v>0</v>
      </c>
      <c r="D357" s="40">
        <v>0</v>
      </c>
      <c r="E357" s="40">
        <v>0</v>
      </c>
      <c r="F357" s="40"/>
      <c r="G357" s="40">
        <v>0</v>
      </c>
      <c r="H357" s="40">
        <v>0</v>
      </c>
      <c r="I357" s="40">
        <v>0</v>
      </c>
      <c r="J357" s="67"/>
      <c r="K357" s="54"/>
      <c r="L357" s="54"/>
      <c r="M357" s="54"/>
      <c r="N357" s="56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x14ac:dyDescent="0.2">
      <c r="A358" s="49"/>
      <c r="B358" s="49" t="s">
        <v>36</v>
      </c>
      <c r="C358" s="40">
        <v>0</v>
      </c>
      <c r="D358" s="40">
        <v>0</v>
      </c>
      <c r="E358" s="40">
        <v>0</v>
      </c>
      <c r="F358" s="40"/>
      <c r="G358" s="40">
        <v>0</v>
      </c>
      <c r="H358" s="40">
        <v>0</v>
      </c>
      <c r="I358" s="40">
        <v>0</v>
      </c>
      <c r="J358" s="67"/>
      <c r="K358" s="54"/>
      <c r="L358" s="54"/>
      <c r="M358" s="54"/>
      <c r="N358" s="56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x14ac:dyDescent="0.2">
      <c r="A359" s="49"/>
      <c r="B359" s="49" t="s">
        <v>36</v>
      </c>
      <c r="C359" s="40">
        <v>0</v>
      </c>
      <c r="D359" s="40">
        <v>0</v>
      </c>
      <c r="E359" s="40">
        <v>0</v>
      </c>
      <c r="F359" s="40"/>
      <c r="G359" s="40">
        <v>0</v>
      </c>
      <c r="H359" s="40">
        <v>0</v>
      </c>
      <c r="I359" s="40">
        <v>0</v>
      </c>
      <c r="J359" s="67"/>
      <c r="K359" s="54"/>
      <c r="L359" s="54"/>
      <c r="M359" s="54"/>
      <c r="N359" s="56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x14ac:dyDescent="0.2">
      <c r="A360" s="49"/>
      <c r="B360" s="49" t="s">
        <v>36</v>
      </c>
      <c r="C360" s="40">
        <v>0</v>
      </c>
      <c r="D360" s="40">
        <v>0</v>
      </c>
      <c r="E360" s="40">
        <v>0</v>
      </c>
      <c r="F360" s="40"/>
      <c r="G360" s="40">
        <v>0</v>
      </c>
      <c r="H360" s="40">
        <v>0</v>
      </c>
      <c r="I360" s="40">
        <v>0</v>
      </c>
      <c r="J360" s="67"/>
      <c r="K360" s="54"/>
      <c r="L360" s="54"/>
      <c r="M360" s="54"/>
      <c r="N360" s="56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x14ac:dyDescent="0.2">
      <c r="A361" s="49"/>
      <c r="B361" s="49" t="s">
        <v>36</v>
      </c>
      <c r="C361" s="40">
        <v>0</v>
      </c>
      <c r="D361" s="40">
        <v>0</v>
      </c>
      <c r="E361" s="40">
        <v>0</v>
      </c>
      <c r="F361" s="40"/>
      <c r="G361" s="40">
        <v>0</v>
      </c>
      <c r="H361" s="40">
        <v>0</v>
      </c>
      <c r="I361" s="40">
        <v>0</v>
      </c>
      <c r="J361" s="67"/>
      <c r="K361" s="54"/>
      <c r="L361" s="54"/>
      <c r="M361" s="54"/>
      <c r="N361" s="56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x14ac:dyDescent="0.2">
      <c r="A362" s="49"/>
      <c r="B362" s="49" t="s">
        <v>36</v>
      </c>
      <c r="C362" s="40">
        <v>0</v>
      </c>
      <c r="D362" s="40">
        <v>0</v>
      </c>
      <c r="E362" s="40">
        <v>0</v>
      </c>
      <c r="F362" s="40"/>
      <c r="G362" s="40">
        <v>0</v>
      </c>
      <c r="H362" s="40">
        <v>0</v>
      </c>
      <c r="I362" s="40">
        <v>0</v>
      </c>
      <c r="J362" s="67"/>
      <c r="K362" s="54"/>
      <c r="L362" s="54"/>
      <c r="M362" s="54"/>
      <c r="N362" s="56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x14ac:dyDescent="0.2">
      <c r="A363" s="49"/>
      <c r="B363" s="49" t="s">
        <v>36</v>
      </c>
      <c r="C363" s="40">
        <v>0</v>
      </c>
      <c r="D363" s="40">
        <v>0</v>
      </c>
      <c r="E363" s="40">
        <v>0</v>
      </c>
      <c r="F363" s="40"/>
      <c r="G363" s="40">
        <v>0</v>
      </c>
      <c r="H363" s="40">
        <v>0</v>
      </c>
      <c r="I363" s="40">
        <v>0</v>
      </c>
      <c r="J363" s="67"/>
      <c r="K363" s="54"/>
      <c r="L363" s="54"/>
      <c r="M363" s="54"/>
      <c r="N363" s="56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x14ac:dyDescent="0.2">
      <c r="A364" s="49"/>
      <c r="B364" s="49" t="s">
        <v>36</v>
      </c>
      <c r="C364" s="40">
        <v>0</v>
      </c>
      <c r="D364" s="40">
        <v>0</v>
      </c>
      <c r="E364" s="40">
        <v>0</v>
      </c>
      <c r="F364" s="40"/>
      <c r="G364" s="40">
        <v>0</v>
      </c>
      <c r="H364" s="40">
        <v>0</v>
      </c>
      <c r="I364" s="40">
        <v>0</v>
      </c>
      <c r="J364" s="67"/>
      <c r="K364" s="54"/>
      <c r="L364" s="54"/>
      <c r="M364" s="54"/>
      <c r="N364" s="56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x14ac:dyDescent="0.2">
      <c r="A365" s="49"/>
      <c r="B365" s="49" t="s">
        <v>36</v>
      </c>
      <c r="C365" s="40">
        <v>0</v>
      </c>
      <c r="D365" s="40">
        <v>0</v>
      </c>
      <c r="E365" s="40">
        <v>0</v>
      </c>
      <c r="F365" s="40"/>
      <c r="G365" s="40">
        <v>0</v>
      </c>
      <c r="H365" s="40">
        <v>0</v>
      </c>
      <c r="I365" s="40">
        <v>0</v>
      </c>
      <c r="J365" s="67"/>
      <c r="K365" s="54"/>
      <c r="L365" s="54"/>
      <c r="M365" s="54"/>
      <c r="N365" s="56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x14ac:dyDescent="0.2">
      <c r="A366" s="49"/>
      <c r="B366" s="49" t="s">
        <v>36</v>
      </c>
      <c r="C366" s="40">
        <v>0</v>
      </c>
      <c r="D366" s="40">
        <v>0</v>
      </c>
      <c r="E366" s="40">
        <v>0</v>
      </c>
      <c r="F366" s="40"/>
      <c r="G366" s="40">
        <v>0</v>
      </c>
      <c r="H366" s="40">
        <v>0</v>
      </c>
      <c r="I366" s="40">
        <v>0</v>
      </c>
      <c r="J366" s="67"/>
      <c r="K366" s="54"/>
      <c r="L366" s="54"/>
      <c r="M366" s="54"/>
      <c r="N366" s="56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x14ac:dyDescent="0.2">
      <c r="A367" s="49"/>
      <c r="B367" s="49" t="s">
        <v>36</v>
      </c>
      <c r="C367" s="40">
        <v>0</v>
      </c>
      <c r="D367" s="40">
        <v>0</v>
      </c>
      <c r="E367" s="40">
        <v>0</v>
      </c>
      <c r="F367" s="40"/>
      <c r="G367" s="40">
        <v>0</v>
      </c>
      <c r="H367" s="40">
        <v>0</v>
      </c>
      <c r="I367" s="40">
        <v>0</v>
      </c>
      <c r="J367" s="67"/>
      <c r="K367" s="54"/>
      <c r="L367" s="54"/>
      <c r="M367" s="54"/>
      <c r="N367" s="56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x14ac:dyDescent="0.2">
      <c r="A368" s="49"/>
      <c r="B368" s="49" t="s">
        <v>36</v>
      </c>
      <c r="C368" s="40">
        <v>0</v>
      </c>
      <c r="D368" s="40">
        <v>0</v>
      </c>
      <c r="E368" s="40">
        <v>0</v>
      </c>
      <c r="F368" s="40"/>
      <c r="G368" s="40">
        <v>0</v>
      </c>
      <c r="H368" s="40">
        <v>0</v>
      </c>
      <c r="I368" s="40">
        <v>0</v>
      </c>
      <c r="J368" s="67"/>
      <c r="K368" s="54"/>
      <c r="L368" s="54"/>
      <c r="M368" s="54"/>
      <c r="N368" s="56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x14ac:dyDescent="0.2">
      <c r="A369" s="49"/>
      <c r="B369" s="49" t="s">
        <v>36</v>
      </c>
      <c r="C369" s="40">
        <v>0</v>
      </c>
      <c r="D369" s="40">
        <v>0</v>
      </c>
      <c r="E369" s="40">
        <v>0</v>
      </c>
      <c r="F369" s="40"/>
      <c r="G369" s="40">
        <v>0</v>
      </c>
      <c r="H369" s="40">
        <v>0</v>
      </c>
      <c r="I369" s="40">
        <v>0</v>
      </c>
      <c r="J369" s="67"/>
      <c r="K369" s="54"/>
      <c r="L369" s="54"/>
      <c r="M369" s="54"/>
      <c r="N369" s="56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x14ac:dyDescent="0.2">
      <c r="A370" s="49"/>
      <c r="B370" s="49" t="s">
        <v>36</v>
      </c>
      <c r="C370" s="40">
        <v>0</v>
      </c>
      <c r="D370" s="40">
        <v>0</v>
      </c>
      <c r="E370" s="40">
        <v>0</v>
      </c>
      <c r="F370" s="40"/>
      <c r="G370" s="40">
        <v>0</v>
      </c>
      <c r="H370" s="40">
        <v>0</v>
      </c>
      <c r="I370" s="40">
        <v>0</v>
      </c>
      <c r="J370" s="67"/>
    </row>
    <row r="371" spans="1:27" x14ac:dyDescent="0.2">
      <c r="A371" s="49"/>
      <c r="B371" s="49" t="s">
        <v>36</v>
      </c>
      <c r="C371" s="40">
        <v>0</v>
      </c>
      <c r="D371" s="40">
        <v>0</v>
      </c>
      <c r="E371" s="40">
        <v>0</v>
      </c>
      <c r="F371" s="40"/>
      <c r="G371" s="40">
        <v>0</v>
      </c>
      <c r="H371" s="40">
        <v>0</v>
      </c>
      <c r="I371" s="40">
        <v>0</v>
      </c>
      <c r="J371" s="67"/>
    </row>
    <row r="372" spans="1:27" x14ac:dyDescent="0.2">
      <c r="A372" s="49"/>
      <c r="B372" s="49" t="s">
        <v>36</v>
      </c>
      <c r="C372" s="40">
        <v>0</v>
      </c>
      <c r="D372" s="40">
        <v>0</v>
      </c>
      <c r="E372" s="40">
        <v>0</v>
      </c>
      <c r="F372" s="40"/>
      <c r="G372" s="40">
        <v>0</v>
      </c>
      <c r="H372" s="40">
        <v>0</v>
      </c>
      <c r="I372" s="40">
        <v>0</v>
      </c>
      <c r="J372" s="67"/>
    </row>
    <row r="373" spans="1:27" x14ac:dyDescent="0.2">
      <c r="A373" s="49"/>
      <c r="B373" s="49" t="s">
        <v>36</v>
      </c>
      <c r="C373" s="40">
        <v>0</v>
      </c>
      <c r="D373" s="40">
        <v>0</v>
      </c>
      <c r="E373" s="40">
        <v>0</v>
      </c>
      <c r="F373" s="40"/>
      <c r="G373" s="40">
        <v>0</v>
      </c>
      <c r="H373" s="40">
        <v>0</v>
      </c>
      <c r="I373" s="40">
        <v>0</v>
      </c>
      <c r="J373" s="67"/>
    </row>
    <row r="374" spans="1:27" x14ac:dyDescent="0.2">
      <c r="A374" s="49"/>
      <c r="B374" s="49" t="s">
        <v>36</v>
      </c>
      <c r="C374" s="40">
        <v>0</v>
      </c>
      <c r="D374" s="40">
        <v>0</v>
      </c>
      <c r="E374" s="40">
        <v>0</v>
      </c>
      <c r="F374" s="40"/>
      <c r="G374" s="40">
        <v>0</v>
      </c>
      <c r="H374" s="40">
        <v>0</v>
      </c>
      <c r="I374" s="40">
        <v>0</v>
      </c>
      <c r="J374" s="67"/>
    </row>
    <row r="375" spans="1:27" x14ac:dyDescent="0.2">
      <c r="A375" s="49"/>
      <c r="B375" s="49" t="s">
        <v>36</v>
      </c>
      <c r="C375" s="40">
        <v>0</v>
      </c>
      <c r="D375" s="40">
        <v>0</v>
      </c>
      <c r="E375" s="40">
        <v>0</v>
      </c>
      <c r="F375" s="40"/>
      <c r="G375" s="40">
        <v>0</v>
      </c>
      <c r="H375" s="40">
        <v>0</v>
      </c>
      <c r="I375" s="40">
        <v>0</v>
      </c>
      <c r="J375" s="67"/>
    </row>
    <row r="376" spans="1:27" x14ac:dyDescent="0.2">
      <c r="A376" s="49"/>
      <c r="B376" s="49" t="s">
        <v>36</v>
      </c>
      <c r="C376" s="40">
        <v>0</v>
      </c>
      <c r="D376" s="40">
        <v>0</v>
      </c>
      <c r="E376" s="40">
        <v>0</v>
      </c>
      <c r="F376" s="40"/>
      <c r="G376" s="40">
        <v>0</v>
      </c>
      <c r="H376" s="40">
        <v>0</v>
      </c>
      <c r="I376" s="40">
        <v>0</v>
      </c>
      <c r="J376" s="67"/>
    </row>
    <row r="377" spans="1:27" x14ac:dyDescent="0.2">
      <c r="A377" s="49"/>
      <c r="B377" s="49" t="s">
        <v>36</v>
      </c>
      <c r="C377" s="40">
        <v>0</v>
      </c>
      <c r="D377" s="40">
        <v>0</v>
      </c>
      <c r="E377" s="40">
        <v>0</v>
      </c>
      <c r="F377" s="40"/>
      <c r="G377" s="40">
        <v>0</v>
      </c>
      <c r="H377" s="40">
        <v>0</v>
      </c>
      <c r="I377" s="40">
        <v>0</v>
      </c>
      <c r="J377" s="67"/>
    </row>
    <row r="378" spans="1:27" x14ac:dyDescent="0.2">
      <c r="A378" s="49"/>
      <c r="B378" s="49" t="s">
        <v>36</v>
      </c>
      <c r="C378" s="40">
        <v>0</v>
      </c>
      <c r="D378" s="40">
        <v>0</v>
      </c>
      <c r="E378" s="40">
        <v>0</v>
      </c>
      <c r="F378" s="40"/>
      <c r="G378" s="40">
        <v>0</v>
      </c>
      <c r="H378" s="40">
        <v>0</v>
      </c>
      <c r="I378" s="40">
        <v>0</v>
      </c>
      <c r="J378" s="67"/>
    </row>
    <row r="379" spans="1:27" x14ac:dyDescent="0.2">
      <c r="A379" s="49"/>
      <c r="B379" s="49" t="s">
        <v>36</v>
      </c>
      <c r="C379" s="40">
        <v>0</v>
      </c>
      <c r="D379" s="40">
        <v>0</v>
      </c>
      <c r="E379" s="40">
        <v>0</v>
      </c>
      <c r="F379" s="40"/>
      <c r="G379" s="40">
        <v>0</v>
      </c>
      <c r="H379" s="40">
        <v>0</v>
      </c>
      <c r="I379" s="40">
        <v>0</v>
      </c>
      <c r="J379" s="67"/>
    </row>
    <row r="380" spans="1:27" x14ac:dyDescent="0.2">
      <c r="A380" s="49"/>
      <c r="B380" s="49" t="s">
        <v>36</v>
      </c>
      <c r="C380" s="40">
        <v>0</v>
      </c>
      <c r="D380" s="40">
        <v>0</v>
      </c>
      <c r="E380" s="40">
        <v>0</v>
      </c>
      <c r="F380" s="40"/>
      <c r="G380" s="40">
        <v>0</v>
      </c>
      <c r="H380" s="40">
        <v>0</v>
      </c>
      <c r="I380" s="40">
        <v>0</v>
      </c>
      <c r="J380" s="67"/>
    </row>
    <row r="381" spans="1:27" x14ac:dyDescent="0.2">
      <c r="A381" s="49"/>
      <c r="B381" s="49" t="s">
        <v>36</v>
      </c>
      <c r="C381" s="40">
        <v>0</v>
      </c>
      <c r="D381" s="40">
        <v>0</v>
      </c>
      <c r="E381" s="40">
        <v>0</v>
      </c>
      <c r="F381" s="40"/>
      <c r="G381" s="40">
        <v>0</v>
      </c>
      <c r="H381" s="40">
        <v>0</v>
      </c>
      <c r="I381" s="40">
        <v>0</v>
      </c>
      <c r="J381" s="67"/>
    </row>
    <row r="382" spans="1:27" x14ac:dyDescent="0.2">
      <c r="A382" s="49"/>
      <c r="B382" s="49" t="s">
        <v>36</v>
      </c>
      <c r="C382" s="40">
        <v>0</v>
      </c>
      <c r="D382" s="40">
        <v>0</v>
      </c>
      <c r="E382" s="40">
        <v>0</v>
      </c>
      <c r="F382" s="40"/>
      <c r="G382" s="40">
        <v>0</v>
      </c>
      <c r="H382" s="40">
        <v>0</v>
      </c>
      <c r="I382" s="40">
        <v>0</v>
      </c>
      <c r="J382" s="67"/>
    </row>
    <row r="383" spans="1:27" x14ac:dyDescent="0.2">
      <c r="A383" s="49"/>
      <c r="B383" s="49" t="s">
        <v>36</v>
      </c>
      <c r="C383" s="40">
        <v>0</v>
      </c>
      <c r="D383" s="40">
        <v>0</v>
      </c>
      <c r="E383" s="40">
        <v>0</v>
      </c>
      <c r="F383" s="40"/>
      <c r="G383" s="40">
        <v>0</v>
      </c>
      <c r="H383" s="40">
        <v>0</v>
      </c>
      <c r="I383" s="40">
        <v>0</v>
      </c>
      <c r="J383" s="67"/>
    </row>
    <row r="384" spans="1:27" x14ac:dyDescent="0.2">
      <c r="A384" s="49"/>
      <c r="B384" s="49" t="s">
        <v>36</v>
      </c>
      <c r="C384" s="40">
        <v>0</v>
      </c>
      <c r="D384" s="40">
        <v>0</v>
      </c>
      <c r="E384" s="40">
        <v>0</v>
      </c>
      <c r="F384" s="40"/>
      <c r="G384" s="40">
        <v>0</v>
      </c>
      <c r="H384" s="40">
        <v>0</v>
      </c>
      <c r="I384" s="40">
        <v>0</v>
      </c>
      <c r="J384" s="67"/>
    </row>
    <row r="385" spans="1:10" x14ac:dyDescent="0.2">
      <c r="A385" s="49"/>
      <c r="B385" s="49" t="s">
        <v>36</v>
      </c>
      <c r="C385" s="40">
        <v>0</v>
      </c>
      <c r="D385" s="40">
        <v>0</v>
      </c>
      <c r="E385" s="40">
        <v>0</v>
      </c>
      <c r="F385" s="40"/>
      <c r="G385" s="40">
        <v>0</v>
      </c>
      <c r="H385" s="40">
        <v>0</v>
      </c>
      <c r="I385" s="40">
        <v>0</v>
      </c>
      <c r="J385" s="67"/>
    </row>
    <row r="386" spans="1:10" x14ac:dyDescent="0.2">
      <c r="A386" s="49"/>
      <c r="B386" s="49" t="s">
        <v>36</v>
      </c>
      <c r="C386" s="40">
        <v>0</v>
      </c>
      <c r="D386" s="40">
        <v>0</v>
      </c>
      <c r="E386" s="40">
        <v>0</v>
      </c>
      <c r="F386" s="40"/>
      <c r="G386" s="40">
        <v>0</v>
      </c>
      <c r="H386" s="40">
        <v>0</v>
      </c>
      <c r="I386" s="40">
        <v>0</v>
      </c>
      <c r="J386" s="67"/>
    </row>
    <row r="387" spans="1:10" x14ac:dyDescent="0.2">
      <c r="A387" s="49"/>
      <c r="B387" s="49" t="s">
        <v>36</v>
      </c>
      <c r="C387" s="40">
        <v>0</v>
      </c>
      <c r="D387" s="40">
        <v>0</v>
      </c>
      <c r="E387" s="40">
        <v>0</v>
      </c>
      <c r="F387" s="40"/>
      <c r="G387" s="40">
        <v>0</v>
      </c>
      <c r="H387" s="40">
        <v>0</v>
      </c>
      <c r="I387" s="40">
        <v>0</v>
      </c>
      <c r="J387" s="67"/>
    </row>
    <row r="388" spans="1:10" x14ac:dyDescent="0.2">
      <c r="A388" s="49"/>
      <c r="B388" s="49" t="s">
        <v>36</v>
      </c>
      <c r="C388" s="40">
        <v>0</v>
      </c>
      <c r="D388" s="40">
        <v>0</v>
      </c>
      <c r="E388" s="40">
        <v>0</v>
      </c>
      <c r="F388" s="40"/>
      <c r="G388" s="40">
        <v>0</v>
      </c>
      <c r="H388" s="40">
        <v>0</v>
      </c>
      <c r="I388" s="40">
        <v>0</v>
      </c>
      <c r="J388" s="67"/>
    </row>
    <row r="389" spans="1:10" x14ac:dyDescent="0.2">
      <c r="A389" s="49"/>
      <c r="B389" s="49" t="s">
        <v>36</v>
      </c>
      <c r="C389" s="40">
        <v>0</v>
      </c>
      <c r="D389" s="40">
        <v>0</v>
      </c>
      <c r="E389" s="40">
        <v>0</v>
      </c>
      <c r="F389" s="40"/>
      <c r="G389" s="40">
        <v>0</v>
      </c>
      <c r="H389" s="40">
        <v>0</v>
      </c>
      <c r="I389" s="40">
        <v>0</v>
      </c>
      <c r="J389" s="67"/>
    </row>
    <row r="390" spans="1:10" x14ac:dyDescent="0.2">
      <c r="A390" s="49"/>
      <c r="B390" s="49" t="s">
        <v>36</v>
      </c>
      <c r="C390" s="40">
        <v>0</v>
      </c>
      <c r="D390" s="40">
        <v>0</v>
      </c>
      <c r="E390" s="40">
        <v>0</v>
      </c>
      <c r="F390" s="40"/>
      <c r="G390" s="40">
        <v>0</v>
      </c>
      <c r="H390" s="40">
        <v>0</v>
      </c>
      <c r="I390" s="40">
        <v>0</v>
      </c>
      <c r="J390" s="67"/>
    </row>
    <row r="391" spans="1:10" x14ac:dyDescent="0.2">
      <c r="A391" s="49"/>
      <c r="B391" s="49" t="s">
        <v>36</v>
      </c>
      <c r="C391" s="40">
        <v>0</v>
      </c>
      <c r="D391" s="40">
        <v>0</v>
      </c>
      <c r="E391" s="40">
        <v>0</v>
      </c>
      <c r="F391" s="40"/>
      <c r="G391" s="40">
        <v>0</v>
      </c>
      <c r="H391" s="40">
        <v>0</v>
      </c>
      <c r="I391" s="40">
        <v>0</v>
      </c>
      <c r="J391" s="67"/>
    </row>
    <row r="392" spans="1:10" x14ac:dyDescent="0.2">
      <c r="A392" s="49"/>
      <c r="B392" s="49" t="s">
        <v>36</v>
      </c>
      <c r="C392" s="40">
        <v>0</v>
      </c>
      <c r="D392" s="40">
        <v>0</v>
      </c>
      <c r="E392" s="40">
        <v>0</v>
      </c>
      <c r="F392" s="40"/>
      <c r="G392" s="40">
        <v>0</v>
      </c>
      <c r="H392" s="40">
        <v>0</v>
      </c>
      <c r="I392" s="40">
        <v>0</v>
      </c>
      <c r="J392" s="67"/>
    </row>
    <row r="393" spans="1:10" x14ac:dyDescent="0.2">
      <c r="A393" s="49"/>
      <c r="B393" s="49" t="s">
        <v>36</v>
      </c>
      <c r="C393" s="40">
        <v>0</v>
      </c>
      <c r="D393" s="40">
        <v>0</v>
      </c>
      <c r="E393" s="40">
        <v>0</v>
      </c>
      <c r="F393" s="40"/>
      <c r="G393" s="40">
        <v>0</v>
      </c>
      <c r="H393" s="40">
        <v>0</v>
      </c>
      <c r="I393" s="40">
        <v>0</v>
      </c>
      <c r="J393" s="67"/>
    </row>
    <row r="394" spans="1:10" x14ac:dyDescent="0.2">
      <c r="A394" s="49"/>
      <c r="B394" s="49" t="s">
        <v>36</v>
      </c>
      <c r="C394" s="40">
        <v>0</v>
      </c>
      <c r="D394" s="40">
        <v>0</v>
      </c>
      <c r="E394" s="40">
        <v>0</v>
      </c>
      <c r="F394" s="40"/>
      <c r="G394" s="40">
        <v>0</v>
      </c>
      <c r="H394" s="40">
        <v>0</v>
      </c>
      <c r="I394" s="40">
        <v>0</v>
      </c>
      <c r="J394" s="67"/>
    </row>
    <row r="395" spans="1:10" x14ac:dyDescent="0.2">
      <c r="A395" s="49"/>
      <c r="B395" s="49" t="s">
        <v>36</v>
      </c>
      <c r="C395" s="40">
        <v>0</v>
      </c>
      <c r="D395" s="40">
        <v>0</v>
      </c>
      <c r="E395" s="40">
        <v>0</v>
      </c>
      <c r="F395" s="40"/>
      <c r="G395" s="40">
        <v>0</v>
      </c>
      <c r="H395" s="40">
        <v>0</v>
      </c>
      <c r="I395" s="40">
        <v>0</v>
      </c>
      <c r="J395" s="67"/>
    </row>
    <row r="396" spans="1:10" x14ac:dyDescent="0.2">
      <c r="A396" s="49"/>
      <c r="B396" s="49" t="s">
        <v>36</v>
      </c>
      <c r="C396" s="40">
        <v>0</v>
      </c>
      <c r="D396" s="40">
        <v>0</v>
      </c>
      <c r="E396" s="40">
        <v>0</v>
      </c>
      <c r="F396" s="40"/>
      <c r="G396" s="40">
        <v>0</v>
      </c>
      <c r="H396" s="40">
        <v>0</v>
      </c>
      <c r="I396" s="40">
        <v>0</v>
      </c>
      <c r="J396" s="67"/>
    </row>
    <row r="397" spans="1:10" x14ac:dyDescent="0.2">
      <c r="A397" s="49"/>
      <c r="B397" s="49" t="s">
        <v>36</v>
      </c>
      <c r="C397" s="40">
        <v>0</v>
      </c>
      <c r="D397" s="40">
        <v>0</v>
      </c>
      <c r="E397" s="40">
        <v>0</v>
      </c>
      <c r="F397" s="40"/>
      <c r="G397" s="40">
        <v>0</v>
      </c>
      <c r="H397" s="40">
        <v>0</v>
      </c>
      <c r="I397" s="40">
        <v>0</v>
      </c>
      <c r="J397" s="67"/>
    </row>
    <row r="398" spans="1:10" x14ac:dyDescent="0.2">
      <c r="A398" s="49"/>
      <c r="B398" s="49" t="s">
        <v>36</v>
      </c>
      <c r="C398" s="40">
        <v>0</v>
      </c>
      <c r="D398" s="40">
        <v>0</v>
      </c>
      <c r="E398" s="40">
        <v>0</v>
      </c>
      <c r="F398" s="40"/>
      <c r="G398" s="40">
        <v>0</v>
      </c>
      <c r="H398" s="40">
        <v>0</v>
      </c>
      <c r="I398" s="40">
        <v>0</v>
      </c>
      <c r="J398" s="67"/>
    </row>
    <row r="399" spans="1:10" x14ac:dyDescent="0.2">
      <c r="A399" s="49"/>
      <c r="B399" s="49" t="s">
        <v>36</v>
      </c>
      <c r="C399" s="40">
        <v>0</v>
      </c>
      <c r="D399" s="40">
        <v>0</v>
      </c>
      <c r="E399" s="40">
        <v>0</v>
      </c>
      <c r="F399" s="40"/>
      <c r="G399" s="40">
        <v>0</v>
      </c>
      <c r="H399" s="40">
        <v>0</v>
      </c>
      <c r="I399" s="40">
        <v>0</v>
      </c>
      <c r="J399" s="67"/>
    </row>
    <row r="400" spans="1:10" x14ac:dyDescent="0.2">
      <c r="A400" s="49"/>
      <c r="B400" s="49" t="s">
        <v>36</v>
      </c>
      <c r="C400" s="40">
        <v>0</v>
      </c>
      <c r="D400" s="40">
        <v>0</v>
      </c>
      <c r="E400" s="40">
        <v>0</v>
      </c>
      <c r="F400" s="40"/>
      <c r="G400" s="40">
        <v>0</v>
      </c>
      <c r="H400" s="40">
        <v>0</v>
      </c>
      <c r="I400" s="40">
        <v>0</v>
      </c>
      <c r="J400" s="67"/>
    </row>
    <row r="401" spans="1:10" x14ac:dyDescent="0.2">
      <c r="A401" s="49"/>
      <c r="B401" s="49" t="s">
        <v>36</v>
      </c>
      <c r="C401" s="40">
        <v>0</v>
      </c>
      <c r="D401" s="40">
        <v>0</v>
      </c>
      <c r="E401" s="40">
        <v>0</v>
      </c>
      <c r="F401" s="40"/>
      <c r="G401" s="40">
        <v>0</v>
      </c>
      <c r="H401" s="40">
        <v>0</v>
      </c>
      <c r="I401" s="40">
        <v>0</v>
      </c>
      <c r="J401" s="67"/>
    </row>
    <row r="402" spans="1:10" x14ac:dyDescent="0.2">
      <c r="A402" s="49"/>
      <c r="B402" s="49" t="s">
        <v>36</v>
      </c>
      <c r="C402" s="40">
        <v>0</v>
      </c>
      <c r="D402" s="40">
        <v>0</v>
      </c>
      <c r="E402" s="40">
        <v>0</v>
      </c>
      <c r="F402" s="40"/>
      <c r="G402" s="40">
        <v>0</v>
      </c>
      <c r="H402" s="40">
        <v>0</v>
      </c>
      <c r="I402" s="40">
        <v>0</v>
      </c>
      <c r="J402" s="67"/>
    </row>
    <row r="403" spans="1:10" x14ac:dyDescent="0.2">
      <c r="A403" s="49"/>
      <c r="B403" s="49" t="s">
        <v>36</v>
      </c>
      <c r="C403" s="40">
        <v>0</v>
      </c>
      <c r="D403" s="40">
        <v>0</v>
      </c>
      <c r="E403" s="40">
        <v>0</v>
      </c>
      <c r="F403" s="40"/>
      <c r="G403" s="40">
        <v>0</v>
      </c>
      <c r="H403" s="40">
        <v>0</v>
      </c>
      <c r="I403" s="40">
        <v>0</v>
      </c>
      <c r="J403" s="67"/>
    </row>
    <row r="404" spans="1:10" x14ac:dyDescent="0.2">
      <c r="A404" s="49"/>
      <c r="B404" s="49" t="s">
        <v>36</v>
      </c>
      <c r="C404" s="40">
        <v>0</v>
      </c>
      <c r="D404" s="40">
        <v>0</v>
      </c>
      <c r="E404" s="40">
        <v>0</v>
      </c>
      <c r="F404" s="40"/>
      <c r="G404" s="40">
        <v>0</v>
      </c>
      <c r="H404" s="40">
        <v>0</v>
      </c>
      <c r="I404" s="40">
        <v>0</v>
      </c>
      <c r="J404" s="67"/>
    </row>
    <row r="405" spans="1:10" x14ac:dyDescent="0.2">
      <c r="A405" s="49"/>
      <c r="B405" s="49" t="s">
        <v>36</v>
      </c>
      <c r="C405" s="40">
        <v>0</v>
      </c>
      <c r="D405" s="40">
        <v>0</v>
      </c>
      <c r="E405" s="40">
        <v>0</v>
      </c>
      <c r="F405" s="40"/>
      <c r="G405" s="40">
        <v>0</v>
      </c>
      <c r="H405" s="40">
        <v>0</v>
      </c>
      <c r="I405" s="40">
        <v>0</v>
      </c>
      <c r="J405" s="67"/>
    </row>
    <row r="406" spans="1:10" x14ac:dyDescent="0.2">
      <c r="A406" s="49"/>
      <c r="B406" s="49" t="s">
        <v>36</v>
      </c>
      <c r="C406" s="40">
        <v>0</v>
      </c>
      <c r="D406" s="40">
        <v>0</v>
      </c>
      <c r="E406" s="40">
        <v>0</v>
      </c>
      <c r="F406" s="40"/>
      <c r="G406" s="40">
        <v>0</v>
      </c>
      <c r="H406" s="40">
        <v>0</v>
      </c>
      <c r="I406" s="40">
        <v>0</v>
      </c>
      <c r="J406" s="67"/>
    </row>
    <row r="407" spans="1:10" x14ac:dyDescent="0.2">
      <c r="A407" s="49"/>
      <c r="B407" s="49" t="s">
        <v>36</v>
      </c>
      <c r="C407" s="40">
        <v>0</v>
      </c>
      <c r="D407" s="40">
        <v>0</v>
      </c>
      <c r="E407" s="40">
        <v>0</v>
      </c>
      <c r="F407" s="40"/>
      <c r="G407" s="40">
        <v>0</v>
      </c>
      <c r="H407" s="40">
        <v>0</v>
      </c>
      <c r="I407" s="40">
        <v>0</v>
      </c>
      <c r="J407" s="67"/>
    </row>
    <row r="408" spans="1:10" x14ac:dyDescent="0.2">
      <c r="A408" s="49"/>
      <c r="B408" s="49" t="s">
        <v>36</v>
      </c>
      <c r="C408" s="40">
        <v>0</v>
      </c>
      <c r="D408" s="40">
        <v>0</v>
      </c>
      <c r="E408" s="40">
        <v>0</v>
      </c>
      <c r="F408" s="40"/>
      <c r="G408" s="40">
        <v>0</v>
      </c>
      <c r="H408" s="40">
        <v>0</v>
      </c>
      <c r="I408" s="40">
        <v>0</v>
      </c>
      <c r="J408" s="67"/>
    </row>
    <row r="409" spans="1:10" x14ac:dyDescent="0.2">
      <c r="A409" s="49"/>
      <c r="B409" s="49" t="s">
        <v>36</v>
      </c>
      <c r="C409" s="40">
        <v>0</v>
      </c>
      <c r="D409" s="40">
        <v>0</v>
      </c>
      <c r="E409" s="40">
        <v>0</v>
      </c>
      <c r="F409" s="40"/>
      <c r="G409" s="40">
        <v>0</v>
      </c>
      <c r="H409" s="40">
        <v>0</v>
      </c>
      <c r="I409" s="40">
        <v>0</v>
      </c>
      <c r="J409" s="67"/>
    </row>
    <row r="410" spans="1:10" x14ac:dyDescent="0.2">
      <c r="A410" s="49"/>
      <c r="B410" s="49" t="s">
        <v>36</v>
      </c>
      <c r="C410" s="40">
        <v>0</v>
      </c>
      <c r="D410" s="40">
        <v>0</v>
      </c>
      <c r="E410" s="40">
        <v>0</v>
      </c>
      <c r="F410" s="40"/>
      <c r="G410" s="40">
        <v>0</v>
      </c>
      <c r="H410" s="40">
        <v>0</v>
      </c>
      <c r="I410" s="40">
        <v>0</v>
      </c>
      <c r="J410" s="67"/>
    </row>
    <row r="411" spans="1:10" x14ac:dyDescent="0.2">
      <c r="A411" s="49"/>
      <c r="B411" s="49" t="s">
        <v>36</v>
      </c>
      <c r="C411" s="40">
        <v>0</v>
      </c>
      <c r="D411" s="40">
        <v>0</v>
      </c>
      <c r="E411" s="40">
        <v>0</v>
      </c>
      <c r="F411" s="40"/>
      <c r="G411" s="40">
        <v>0</v>
      </c>
      <c r="H411" s="40">
        <v>0</v>
      </c>
      <c r="I411" s="40">
        <v>0</v>
      </c>
      <c r="J411" s="67"/>
    </row>
    <row r="412" spans="1:10" x14ac:dyDescent="0.2">
      <c r="A412" s="49"/>
      <c r="B412" s="49" t="s">
        <v>36</v>
      </c>
      <c r="C412" s="40">
        <v>0</v>
      </c>
      <c r="D412" s="40">
        <v>0</v>
      </c>
      <c r="E412" s="40">
        <v>0</v>
      </c>
      <c r="F412" s="40"/>
      <c r="G412" s="40">
        <v>0</v>
      </c>
      <c r="H412" s="40">
        <v>0</v>
      </c>
      <c r="I412" s="40">
        <v>0</v>
      </c>
      <c r="J412" s="67"/>
    </row>
    <row r="413" spans="1:10" x14ac:dyDescent="0.2">
      <c r="A413" s="49"/>
      <c r="B413" s="49" t="s">
        <v>36</v>
      </c>
      <c r="C413" s="40">
        <v>0</v>
      </c>
      <c r="D413" s="40">
        <v>0</v>
      </c>
      <c r="E413" s="40">
        <v>0</v>
      </c>
      <c r="F413" s="40"/>
      <c r="G413" s="40">
        <v>0</v>
      </c>
      <c r="H413" s="40">
        <v>0</v>
      </c>
      <c r="I413" s="40">
        <v>0</v>
      </c>
      <c r="J413" s="67"/>
    </row>
    <row r="414" spans="1:10" x14ac:dyDescent="0.2">
      <c r="A414" s="49"/>
      <c r="B414" s="49" t="s">
        <v>36</v>
      </c>
      <c r="C414" s="40">
        <v>0</v>
      </c>
      <c r="D414" s="40">
        <v>0</v>
      </c>
      <c r="E414" s="40">
        <v>0</v>
      </c>
      <c r="F414" s="40"/>
      <c r="G414" s="40">
        <v>0</v>
      </c>
      <c r="H414" s="40">
        <v>0</v>
      </c>
      <c r="I414" s="40">
        <v>0</v>
      </c>
      <c r="J414" s="67"/>
    </row>
    <row r="415" spans="1:10" x14ac:dyDescent="0.2">
      <c r="A415" s="49"/>
      <c r="B415" s="49" t="s">
        <v>36</v>
      </c>
      <c r="C415" s="40">
        <v>0</v>
      </c>
      <c r="D415" s="40">
        <v>0</v>
      </c>
      <c r="E415" s="40">
        <v>0</v>
      </c>
      <c r="F415" s="40"/>
      <c r="G415" s="40">
        <v>0</v>
      </c>
      <c r="H415" s="40">
        <v>0</v>
      </c>
      <c r="I415" s="40">
        <v>0</v>
      </c>
      <c r="J415" s="67"/>
    </row>
    <row r="416" spans="1:10" x14ac:dyDescent="0.2">
      <c r="A416" s="49"/>
      <c r="B416" s="49" t="s">
        <v>36</v>
      </c>
      <c r="C416" s="40">
        <v>0</v>
      </c>
      <c r="D416" s="40">
        <v>0</v>
      </c>
      <c r="E416" s="40">
        <v>0</v>
      </c>
      <c r="F416" s="40"/>
      <c r="G416" s="40">
        <v>0</v>
      </c>
      <c r="H416" s="40">
        <v>0</v>
      </c>
      <c r="I416" s="40">
        <v>0</v>
      </c>
      <c r="J416" s="67"/>
    </row>
    <row r="417" spans="1:10" x14ac:dyDescent="0.2">
      <c r="A417" s="49"/>
      <c r="B417" s="49" t="s">
        <v>36</v>
      </c>
      <c r="C417" s="40">
        <v>0</v>
      </c>
      <c r="D417" s="40">
        <v>0</v>
      </c>
      <c r="E417" s="40">
        <v>0</v>
      </c>
      <c r="F417" s="40"/>
      <c r="G417" s="40">
        <v>0</v>
      </c>
      <c r="H417" s="40">
        <v>0</v>
      </c>
      <c r="I417" s="40">
        <v>0</v>
      </c>
      <c r="J417" s="67"/>
    </row>
    <row r="418" spans="1:10" x14ac:dyDescent="0.2">
      <c r="A418" s="49"/>
      <c r="B418" s="49" t="s">
        <v>36</v>
      </c>
      <c r="C418" s="40">
        <v>0</v>
      </c>
      <c r="D418" s="40">
        <v>0</v>
      </c>
      <c r="E418" s="40">
        <v>0</v>
      </c>
      <c r="F418" s="40"/>
      <c r="G418" s="40">
        <v>0</v>
      </c>
      <c r="H418" s="40">
        <v>0</v>
      </c>
      <c r="I418" s="40">
        <v>0</v>
      </c>
      <c r="J418" s="68"/>
    </row>
    <row r="419" spans="1:10" x14ac:dyDescent="0.2">
      <c r="A419" s="49"/>
      <c r="B419" s="49" t="s">
        <v>36</v>
      </c>
      <c r="C419" s="40">
        <v>0</v>
      </c>
      <c r="D419" s="40">
        <v>0</v>
      </c>
      <c r="E419" s="40">
        <v>0</v>
      </c>
      <c r="F419" s="40"/>
      <c r="G419" s="40">
        <v>0</v>
      </c>
      <c r="H419" s="40">
        <v>0</v>
      </c>
      <c r="I419" s="40">
        <v>0</v>
      </c>
      <c r="J419" s="68"/>
    </row>
    <row r="420" spans="1:10" x14ac:dyDescent="0.2">
      <c r="A420" s="49"/>
      <c r="B420" s="49" t="s">
        <v>36</v>
      </c>
      <c r="C420" s="40">
        <v>0</v>
      </c>
      <c r="D420" s="40">
        <v>0</v>
      </c>
      <c r="E420" s="40">
        <v>0</v>
      </c>
      <c r="F420" s="40"/>
      <c r="G420" s="40">
        <v>0</v>
      </c>
      <c r="H420" s="40">
        <v>0</v>
      </c>
      <c r="I420" s="40">
        <v>0</v>
      </c>
      <c r="J420" s="68"/>
    </row>
    <row r="421" spans="1:10" x14ac:dyDescent="0.2">
      <c r="A421" s="49"/>
      <c r="B421" s="49" t="s">
        <v>36</v>
      </c>
      <c r="C421" s="40">
        <v>0</v>
      </c>
      <c r="D421" s="40">
        <v>0</v>
      </c>
      <c r="E421" s="40">
        <v>0</v>
      </c>
      <c r="F421" s="40"/>
      <c r="G421" s="40">
        <v>0</v>
      </c>
      <c r="H421" s="40">
        <v>0</v>
      </c>
      <c r="I421" s="40">
        <v>0</v>
      </c>
      <c r="J421" s="68"/>
    </row>
    <row r="422" spans="1:10" x14ac:dyDescent="0.2">
      <c r="A422" s="49"/>
      <c r="B422" s="49" t="s">
        <v>36</v>
      </c>
      <c r="C422" s="40">
        <v>0</v>
      </c>
      <c r="D422" s="40">
        <v>0</v>
      </c>
      <c r="E422" s="40">
        <v>0</v>
      </c>
      <c r="F422" s="40"/>
      <c r="G422" s="40">
        <v>0</v>
      </c>
      <c r="H422" s="40">
        <v>0</v>
      </c>
      <c r="I422" s="40">
        <v>0</v>
      </c>
      <c r="J422" s="68"/>
    </row>
    <row r="423" spans="1:10" x14ac:dyDescent="0.2">
      <c r="A423" s="49"/>
      <c r="B423" s="49" t="s">
        <v>36</v>
      </c>
      <c r="C423" s="40">
        <v>0</v>
      </c>
      <c r="D423" s="40">
        <v>0</v>
      </c>
      <c r="E423" s="40">
        <v>0</v>
      </c>
      <c r="F423" s="40"/>
      <c r="G423" s="40">
        <v>0</v>
      </c>
      <c r="H423" s="40">
        <v>0</v>
      </c>
      <c r="I423" s="40">
        <v>0</v>
      </c>
      <c r="J423" s="68"/>
    </row>
    <row r="424" spans="1:10" x14ac:dyDescent="0.2">
      <c r="A424" s="49"/>
      <c r="B424" s="49" t="s">
        <v>36</v>
      </c>
      <c r="C424" s="40">
        <v>0</v>
      </c>
      <c r="D424" s="40">
        <v>0</v>
      </c>
      <c r="E424" s="40">
        <v>0</v>
      </c>
      <c r="F424" s="40"/>
      <c r="G424" s="40">
        <v>0</v>
      </c>
      <c r="H424" s="40">
        <v>0</v>
      </c>
      <c r="I424" s="40">
        <v>0</v>
      </c>
      <c r="J424" s="68"/>
    </row>
    <row r="425" spans="1:10" x14ac:dyDescent="0.2">
      <c r="A425" s="49"/>
      <c r="B425" s="49" t="s">
        <v>36</v>
      </c>
      <c r="C425" s="40">
        <v>0</v>
      </c>
      <c r="D425" s="40">
        <v>0</v>
      </c>
      <c r="E425" s="40">
        <v>0</v>
      </c>
      <c r="F425" s="40"/>
      <c r="G425" s="40">
        <v>0</v>
      </c>
      <c r="H425" s="40">
        <v>0</v>
      </c>
      <c r="I425" s="40">
        <v>0</v>
      </c>
      <c r="J425" s="68"/>
    </row>
    <row r="426" spans="1:10" x14ac:dyDescent="0.2">
      <c r="A426" s="49"/>
      <c r="B426" s="49" t="s">
        <v>36</v>
      </c>
      <c r="C426" s="40">
        <v>0</v>
      </c>
      <c r="D426" s="40">
        <v>0</v>
      </c>
      <c r="E426" s="40">
        <v>0</v>
      </c>
      <c r="F426" s="40"/>
      <c r="G426" s="40">
        <v>0</v>
      </c>
      <c r="H426" s="40">
        <v>0</v>
      </c>
      <c r="I426" s="40">
        <v>0</v>
      </c>
      <c r="J426" s="68"/>
    </row>
    <row r="427" spans="1:10" x14ac:dyDescent="0.2">
      <c r="A427" s="49"/>
      <c r="B427" s="49" t="s">
        <v>36</v>
      </c>
      <c r="C427" s="40">
        <v>0</v>
      </c>
      <c r="D427" s="40">
        <v>0</v>
      </c>
      <c r="E427" s="40">
        <v>0</v>
      </c>
      <c r="F427" s="40"/>
      <c r="G427" s="40">
        <v>0</v>
      </c>
      <c r="H427" s="40">
        <v>0</v>
      </c>
      <c r="I427" s="40">
        <v>0</v>
      </c>
      <c r="J427" s="68"/>
    </row>
    <row r="428" spans="1:10" x14ac:dyDescent="0.2">
      <c r="A428" s="49"/>
      <c r="B428" s="49" t="s">
        <v>36</v>
      </c>
      <c r="C428" s="40">
        <v>0</v>
      </c>
      <c r="D428" s="40">
        <v>0</v>
      </c>
      <c r="E428" s="40">
        <v>0</v>
      </c>
      <c r="F428" s="40"/>
      <c r="G428" s="40">
        <v>0</v>
      </c>
      <c r="H428" s="40">
        <v>0</v>
      </c>
      <c r="I428" s="40">
        <v>0</v>
      </c>
      <c r="J428" s="68"/>
    </row>
    <row r="429" spans="1:10" x14ac:dyDescent="0.2">
      <c r="A429" s="49"/>
      <c r="B429" s="49" t="s">
        <v>36</v>
      </c>
      <c r="C429" s="40">
        <v>0</v>
      </c>
      <c r="D429" s="40">
        <v>0</v>
      </c>
      <c r="E429" s="40">
        <v>0</v>
      </c>
      <c r="F429" s="40"/>
      <c r="G429" s="40">
        <v>0</v>
      </c>
      <c r="H429" s="40">
        <v>0</v>
      </c>
      <c r="I429" s="40">
        <v>0</v>
      </c>
      <c r="J429" s="68"/>
    </row>
    <row r="430" spans="1:10" x14ac:dyDescent="0.2">
      <c r="A430" s="49"/>
      <c r="B430" s="49" t="s">
        <v>36</v>
      </c>
      <c r="C430" s="40">
        <v>0</v>
      </c>
      <c r="D430" s="40">
        <v>0</v>
      </c>
      <c r="E430" s="40">
        <v>0</v>
      </c>
      <c r="F430" s="40"/>
      <c r="G430" s="40">
        <v>0</v>
      </c>
      <c r="H430" s="40">
        <v>0</v>
      </c>
      <c r="I430" s="40">
        <v>0</v>
      </c>
      <c r="J430" s="68"/>
    </row>
    <row r="431" spans="1:10" x14ac:dyDescent="0.2">
      <c r="A431" s="49"/>
      <c r="B431" s="49" t="s">
        <v>36</v>
      </c>
      <c r="C431" s="40">
        <v>0</v>
      </c>
      <c r="D431" s="40">
        <v>0</v>
      </c>
      <c r="E431" s="40">
        <v>0</v>
      </c>
      <c r="F431" s="40"/>
      <c r="G431" s="40">
        <v>0</v>
      </c>
      <c r="H431" s="40">
        <v>0</v>
      </c>
      <c r="I431" s="40">
        <v>0</v>
      </c>
      <c r="J431" s="68"/>
    </row>
    <row r="432" spans="1:10" x14ac:dyDescent="0.2">
      <c r="A432" s="49"/>
      <c r="B432" s="49" t="s">
        <v>36</v>
      </c>
      <c r="C432" s="40">
        <v>0</v>
      </c>
      <c r="D432" s="40">
        <v>0</v>
      </c>
      <c r="E432" s="40">
        <v>0</v>
      </c>
      <c r="F432" s="40"/>
      <c r="G432" s="40">
        <v>0</v>
      </c>
      <c r="H432" s="40">
        <v>0</v>
      </c>
      <c r="I432" s="40">
        <v>0</v>
      </c>
      <c r="J432" s="68"/>
    </row>
    <row r="433" spans="1:10" x14ac:dyDescent="0.2">
      <c r="A433" s="49"/>
      <c r="B433" s="49" t="s">
        <v>36</v>
      </c>
      <c r="C433" s="40">
        <v>0</v>
      </c>
      <c r="D433" s="40">
        <v>0</v>
      </c>
      <c r="E433" s="40">
        <v>0</v>
      </c>
      <c r="F433" s="40"/>
      <c r="G433" s="40">
        <v>0</v>
      </c>
      <c r="H433" s="40">
        <v>0</v>
      </c>
      <c r="I433" s="40">
        <v>0</v>
      </c>
      <c r="J433" s="68"/>
    </row>
    <row r="434" spans="1:10" x14ac:dyDescent="0.2">
      <c r="A434" s="49"/>
      <c r="B434" s="49" t="s">
        <v>36</v>
      </c>
      <c r="C434" s="40">
        <v>0</v>
      </c>
      <c r="D434" s="40">
        <v>0</v>
      </c>
      <c r="E434" s="40">
        <v>0</v>
      </c>
      <c r="F434" s="40"/>
      <c r="G434" s="40">
        <v>0</v>
      </c>
      <c r="H434" s="40">
        <v>0</v>
      </c>
      <c r="I434" s="40">
        <v>0</v>
      </c>
      <c r="J434" s="68"/>
    </row>
    <row r="435" spans="1:10" x14ac:dyDescent="0.2">
      <c r="A435" s="49"/>
      <c r="B435" s="49" t="s">
        <v>36</v>
      </c>
      <c r="C435" s="40">
        <v>0</v>
      </c>
      <c r="D435" s="40">
        <v>0</v>
      </c>
      <c r="E435" s="40">
        <v>0</v>
      </c>
      <c r="F435" s="40"/>
      <c r="G435" s="40">
        <v>0</v>
      </c>
      <c r="H435" s="40">
        <v>0</v>
      </c>
      <c r="I435" s="40">
        <v>0</v>
      </c>
      <c r="J435" s="68"/>
    </row>
    <row r="436" spans="1:10" x14ac:dyDescent="0.2">
      <c r="A436" s="49"/>
      <c r="B436" s="49" t="s">
        <v>36</v>
      </c>
      <c r="C436" s="40">
        <v>0</v>
      </c>
      <c r="D436" s="40">
        <v>0</v>
      </c>
      <c r="E436" s="40">
        <v>0</v>
      </c>
      <c r="F436" s="40"/>
      <c r="G436" s="40">
        <v>0</v>
      </c>
      <c r="H436" s="40">
        <v>0</v>
      </c>
      <c r="I436" s="40">
        <v>0</v>
      </c>
      <c r="J436" s="68"/>
    </row>
    <row r="437" spans="1:10" x14ac:dyDescent="0.2">
      <c r="A437" s="49"/>
      <c r="B437" s="49" t="s">
        <v>36</v>
      </c>
      <c r="C437" s="40">
        <v>0</v>
      </c>
      <c r="D437" s="40">
        <v>0</v>
      </c>
      <c r="E437" s="40">
        <v>0</v>
      </c>
      <c r="F437" s="40"/>
      <c r="G437" s="40">
        <v>0</v>
      </c>
      <c r="H437" s="40">
        <v>0</v>
      </c>
      <c r="I437" s="40">
        <v>0</v>
      </c>
      <c r="J437" s="68"/>
    </row>
    <row r="438" spans="1:10" x14ac:dyDescent="0.2">
      <c r="A438" s="49"/>
      <c r="B438" s="49" t="s">
        <v>36</v>
      </c>
      <c r="C438" s="40">
        <v>0</v>
      </c>
      <c r="D438" s="40">
        <v>0</v>
      </c>
      <c r="E438" s="40">
        <v>0</v>
      </c>
      <c r="F438" s="40"/>
      <c r="G438" s="40">
        <v>0</v>
      </c>
      <c r="H438" s="40">
        <v>0</v>
      </c>
      <c r="I438" s="40">
        <v>0</v>
      </c>
      <c r="J438" s="68"/>
    </row>
    <row r="439" spans="1:10" x14ac:dyDescent="0.2">
      <c r="A439" s="49"/>
      <c r="B439" s="49" t="s">
        <v>36</v>
      </c>
      <c r="C439" s="40">
        <v>0</v>
      </c>
      <c r="D439" s="40">
        <v>0</v>
      </c>
      <c r="E439" s="40">
        <v>0</v>
      </c>
      <c r="F439" s="40"/>
      <c r="G439" s="40">
        <v>0</v>
      </c>
      <c r="H439" s="40">
        <v>0</v>
      </c>
      <c r="I439" s="40">
        <v>0</v>
      </c>
      <c r="J439" s="68"/>
    </row>
    <row r="440" spans="1:10" x14ac:dyDescent="0.2">
      <c r="A440" s="49"/>
      <c r="B440" s="49" t="s">
        <v>36</v>
      </c>
      <c r="C440" s="40">
        <v>0</v>
      </c>
      <c r="D440" s="40">
        <v>0</v>
      </c>
      <c r="E440" s="40">
        <v>0</v>
      </c>
      <c r="F440" s="40"/>
      <c r="G440" s="40">
        <v>0</v>
      </c>
      <c r="H440" s="40">
        <v>0</v>
      </c>
      <c r="I440" s="40">
        <v>0</v>
      </c>
      <c r="J440" s="68"/>
    </row>
    <row r="441" spans="1:10" x14ac:dyDescent="0.2">
      <c r="A441" s="49"/>
      <c r="B441" s="49" t="s">
        <v>36</v>
      </c>
      <c r="C441" s="40">
        <v>0</v>
      </c>
      <c r="D441" s="40">
        <v>0</v>
      </c>
      <c r="E441" s="40">
        <v>0</v>
      </c>
      <c r="F441" s="40"/>
      <c r="G441" s="40">
        <v>0</v>
      </c>
      <c r="H441" s="40">
        <v>0</v>
      </c>
      <c r="I441" s="40">
        <v>0</v>
      </c>
      <c r="J441" s="68"/>
    </row>
    <row r="442" spans="1:10" x14ac:dyDescent="0.2">
      <c r="A442" s="49"/>
      <c r="B442" s="49" t="s">
        <v>36</v>
      </c>
      <c r="C442" s="40">
        <v>0</v>
      </c>
      <c r="D442" s="40">
        <v>0</v>
      </c>
      <c r="E442" s="40">
        <v>0</v>
      </c>
      <c r="F442" s="40"/>
      <c r="G442" s="40">
        <v>0</v>
      </c>
      <c r="H442" s="40">
        <v>0</v>
      </c>
      <c r="I442" s="40">
        <v>0</v>
      </c>
      <c r="J442" s="68"/>
    </row>
    <row r="443" spans="1:10" x14ac:dyDescent="0.2">
      <c r="A443" s="49"/>
      <c r="B443" s="49" t="s">
        <v>36</v>
      </c>
      <c r="C443" s="40">
        <v>0</v>
      </c>
      <c r="D443" s="40">
        <v>0</v>
      </c>
      <c r="E443" s="40">
        <v>0</v>
      </c>
      <c r="F443" s="40"/>
      <c r="G443" s="40">
        <v>0</v>
      </c>
      <c r="H443" s="40">
        <v>0</v>
      </c>
      <c r="I443" s="40">
        <v>0</v>
      </c>
      <c r="J443" s="68"/>
    </row>
    <row r="444" spans="1:10" x14ac:dyDescent="0.2">
      <c r="A444" s="49"/>
      <c r="B444" s="49" t="s">
        <v>36</v>
      </c>
      <c r="C444" s="40">
        <v>0</v>
      </c>
      <c r="D444" s="40">
        <v>0</v>
      </c>
      <c r="E444" s="40">
        <v>0</v>
      </c>
      <c r="F444" s="40"/>
      <c r="G444" s="40">
        <v>0</v>
      </c>
      <c r="H444" s="40">
        <v>0</v>
      </c>
      <c r="I444" s="40">
        <v>0</v>
      </c>
      <c r="J444" s="68"/>
    </row>
    <row r="445" spans="1:10" x14ac:dyDescent="0.2">
      <c r="A445" s="49"/>
      <c r="B445" s="49" t="s">
        <v>36</v>
      </c>
      <c r="C445" s="40">
        <v>0</v>
      </c>
      <c r="D445" s="40">
        <v>0</v>
      </c>
      <c r="E445" s="40">
        <v>0</v>
      </c>
      <c r="F445" s="40"/>
      <c r="G445" s="40">
        <v>0</v>
      </c>
      <c r="H445" s="40">
        <v>0</v>
      </c>
      <c r="I445" s="40">
        <v>0</v>
      </c>
      <c r="J445" s="68"/>
    </row>
    <row r="446" spans="1:10" x14ac:dyDescent="0.2">
      <c r="A446" s="49"/>
      <c r="B446" s="49" t="s">
        <v>36</v>
      </c>
      <c r="C446" s="40">
        <v>0</v>
      </c>
      <c r="D446" s="40">
        <v>0</v>
      </c>
      <c r="E446" s="40">
        <v>0</v>
      </c>
      <c r="F446" s="40"/>
      <c r="G446" s="40">
        <v>0</v>
      </c>
      <c r="H446" s="40">
        <v>0</v>
      </c>
      <c r="I446" s="40">
        <v>0</v>
      </c>
      <c r="J446" s="68"/>
    </row>
    <row r="447" spans="1:10" x14ac:dyDescent="0.2">
      <c r="A447" s="49"/>
      <c r="B447" s="49" t="s">
        <v>36</v>
      </c>
      <c r="C447" s="40">
        <v>0</v>
      </c>
      <c r="D447" s="40">
        <v>0</v>
      </c>
      <c r="E447" s="40">
        <v>0</v>
      </c>
      <c r="F447" s="40"/>
      <c r="G447" s="40">
        <v>0</v>
      </c>
      <c r="H447" s="40">
        <v>0</v>
      </c>
      <c r="I447" s="40">
        <v>0</v>
      </c>
      <c r="J447" s="68"/>
    </row>
    <row r="448" spans="1:10" x14ac:dyDescent="0.2">
      <c r="A448" s="49"/>
      <c r="B448" s="49" t="s">
        <v>36</v>
      </c>
      <c r="C448" s="40">
        <v>0</v>
      </c>
      <c r="D448" s="40">
        <v>0</v>
      </c>
      <c r="E448" s="40">
        <v>0</v>
      </c>
      <c r="F448" s="40"/>
      <c r="G448" s="40">
        <v>0</v>
      </c>
      <c r="H448" s="40">
        <v>0</v>
      </c>
      <c r="I448" s="40">
        <v>0</v>
      </c>
      <c r="J448" s="68"/>
    </row>
    <row r="449" spans="1:10" x14ac:dyDescent="0.2">
      <c r="A449" s="49"/>
      <c r="B449" s="49" t="s">
        <v>36</v>
      </c>
      <c r="C449" s="40">
        <v>0</v>
      </c>
      <c r="D449" s="40">
        <v>0</v>
      </c>
      <c r="E449" s="40">
        <v>0</v>
      </c>
      <c r="F449" s="40"/>
      <c r="G449" s="40">
        <v>0</v>
      </c>
      <c r="H449" s="40">
        <v>0</v>
      </c>
      <c r="I449" s="40">
        <v>0</v>
      </c>
      <c r="J449" s="68"/>
    </row>
    <row r="450" spans="1:10" x14ac:dyDescent="0.2">
      <c r="A450" s="49"/>
      <c r="B450" s="49" t="s">
        <v>36</v>
      </c>
      <c r="C450" s="40">
        <v>0</v>
      </c>
      <c r="D450" s="40">
        <v>0</v>
      </c>
      <c r="E450" s="40">
        <v>0</v>
      </c>
      <c r="F450" s="40"/>
      <c r="G450" s="40">
        <v>0</v>
      </c>
      <c r="H450" s="40">
        <v>0</v>
      </c>
      <c r="I450" s="40">
        <v>0</v>
      </c>
      <c r="J450" s="68"/>
    </row>
    <row r="451" spans="1:10" x14ac:dyDescent="0.2">
      <c r="A451" s="49"/>
      <c r="B451" s="49" t="s">
        <v>36</v>
      </c>
      <c r="C451" s="40">
        <v>0</v>
      </c>
      <c r="D451" s="40">
        <v>0</v>
      </c>
      <c r="E451" s="40">
        <v>0</v>
      </c>
      <c r="F451" s="40"/>
      <c r="G451" s="40">
        <v>0</v>
      </c>
      <c r="H451" s="40">
        <v>0</v>
      </c>
      <c r="I451" s="40">
        <v>0</v>
      </c>
      <c r="J451" s="68"/>
    </row>
    <row r="452" spans="1:10" x14ac:dyDescent="0.2">
      <c r="A452" s="49"/>
      <c r="B452" s="49" t="s">
        <v>36</v>
      </c>
      <c r="C452" s="40">
        <v>0</v>
      </c>
      <c r="D452" s="40">
        <v>0</v>
      </c>
      <c r="E452" s="40">
        <v>0</v>
      </c>
      <c r="F452" s="40"/>
      <c r="G452" s="40">
        <v>0</v>
      </c>
      <c r="H452" s="40">
        <v>0</v>
      </c>
      <c r="I452" s="40">
        <v>0</v>
      </c>
      <c r="J452" s="68"/>
    </row>
    <row r="453" spans="1:10" x14ac:dyDescent="0.2">
      <c r="A453" s="49"/>
      <c r="B453" s="49" t="s">
        <v>36</v>
      </c>
      <c r="C453" s="40">
        <v>0</v>
      </c>
      <c r="D453" s="40">
        <v>0</v>
      </c>
      <c r="E453" s="40">
        <v>0</v>
      </c>
      <c r="F453" s="40"/>
      <c r="G453" s="40">
        <v>0</v>
      </c>
      <c r="H453" s="40">
        <v>0</v>
      </c>
      <c r="I453" s="40">
        <v>0</v>
      </c>
      <c r="J453" s="68"/>
    </row>
    <row r="454" spans="1:10" x14ac:dyDescent="0.2">
      <c r="A454" s="49"/>
      <c r="B454" s="49" t="s">
        <v>36</v>
      </c>
      <c r="C454" s="40">
        <v>0</v>
      </c>
      <c r="D454" s="40">
        <v>0</v>
      </c>
      <c r="E454" s="40">
        <v>0</v>
      </c>
      <c r="F454" s="40"/>
      <c r="G454" s="40">
        <v>0</v>
      </c>
      <c r="H454" s="40">
        <v>0</v>
      </c>
      <c r="I454" s="40">
        <v>0</v>
      </c>
      <c r="J454" s="68"/>
    </row>
    <row r="455" spans="1:10" x14ac:dyDescent="0.2">
      <c r="A455" s="49"/>
      <c r="B455" s="49" t="s">
        <v>36</v>
      </c>
      <c r="C455" s="40">
        <v>0</v>
      </c>
      <c r="D455" s="40">
        <v>0</v>
      </c>
      <c r="E455" s="40">
        <v>0</v>
      </c>
      <c r="F455" s="40"/>
      <c r="G455" s="40">
        <v>0</v>
      </c>
      <c r="H455" s="40">
        <v>0</v>
      </c>
      <c r="I455" s="40">
        <v>0</v>
      </c>
      <c r="J455" s="68"/>
    </row>
    <row r="456" spans="1:10" x14ac:dyDescent="0.2">
      <c r="A456" s="49"/>
      <c r="B456" s="49" t="s">
        <v>36</v>
      </c>
      <c r="C456" s="40">
        <v>0</v>
      </c>
      <c r="D456" s="40">
        <v>0</v>
      </c>
      <c r="E456" s="40">
        <v>0</v>
      </c>
      <c r="F456" s="40"/>
      <c r="G456" s="40">
        <v>0</v>
      </c>
      <c r="H456" s="40">
        <v>0</v>
      </c>
      <c r="I456" s="40">
        <v>0</v>
      </c>
      <c r="J456" s="68"/>
    </row>
    <row r="457" spans="1:10" x14ac:dyDescent="0.2">
      <c r="A457" s="49"/>
      <c r="B457" s="49" t="s">
        <v>36</v>
      </c>
      <c r="C457" s="40">
        <v>0</v>
      </c>
      <c r="D457" s="40">
        <v>0</v>
      </c>
      <c r="E457" s="40">
        <v>0</v>
      </c>
      <c r="F457" s="40"/>
      <c r="G457" s="40">
        <v>0</v>
      </c>
      <c r="H457" s="40">
        <v>0</v>
      </c>
      <c r="I457" s="40">
        <v>0</v>
      </c>
      <c r="J457" s="68"/>
    </row>
    <row r="458" spans="1:10" x14ac:dyDescent="0.2">
      <c r="A458" s="49"/>
      <c r="B458" s="49" t="s">
        <v>36</v>
      </c>
      <c r="C458" s="40">
        <v>0</v>
      </c>
      <c r="D458" s="40">
        <v>0</v>
      </c>
      <c r="E458" s="40">
        <v>0</v>
      </c>
      <c r="F458" s="40"/>
      <c r="G458" s="40">
        <v>0</v>
      </c>
      <c r="H458" s="40">
        <v>0</v>
      </c>
      <c r="I458" s="40">
        <v>0</v>
      </c>
      <c r="J458" s="68"/>
    </row>
    <row r="459" spans="1:10" x14ac:dyDescent="0.2">
      <c r="A459" s="49"/>
      <c r="B459" s="49" t="s">
        <v>36</v>
      </c>
      <c r="C459" s="40">
        <v>0</v>
      </c>
      <c r="D459" s="40">
        <v>0</v>
      </c>
      <c r="E459" s="40">
        <v>0</v>
      </c>
      <c r="F459" s="40"/>
      <c r="G459" s="40">
        <v>0</v>
      </c>
      <c r="H459" s="40">
        <v>0</v>
      </c>
      <c r="I459" s="40">
        <v>0</v>
      </c>
      <c r="J459" s="68"/>
    </row>
    <row r="460" spans="1:10" x14ac:dyDescent="0.2">
      <c r="A460" s="49"/>
      <c r="B460" s="49" t="s">
        <v>36</v>
      </c>
      <c r="C460" s="40">
        <v>0</v>
      </c>
      <c r="D460" s="40">
        <v>0</v>
      </c>
      <c r="E460" s="40">
        <v>0</v>
      </c>
      <c r="F460" s="40"/>
      <c r="G460" s="40">
        <v>0</v>
      </c>
      <c r="H460" s="40">
        <v>0</v>
      </c>
      <c r="I460" s="40">
        <v>0</v>
      </c>
      <c r="J460" s="68"/>
    </row>
    <row r="461" spans="1:10" x14ac:dyDescent="0.2">
      <c r="A461" s="49"/>
      <c r="B461" s="49" t="s">
        <v>36</v>
      </c>
      <c r="C461" s="40">
        <v>0</v>
      </c>
      <c r="D461" s="40">
        <v>0</v>
      </c>
      <c r="E461" s="40">
        <v>0</v>
      </c>
      <c r="F461" s="40"/>
      <c r="G461" s="40">
        <v>0</v>
      </c>
      <c r="H461" s="40">
        <v>0</v>
      </c>
      <c r="I461" s="40">
        <v>0</v>
      </c>
      <c r="J461" s="68"/>
    </row>
    <row r="462" spans="1:10" x14ac:dyDescent="0.2">
      <c r="A462" s="49"/>
      <c r="B462" s="49" t="s">
        <v>36</v>
      </c>
      <c r="C462" s="40">
        <v>0</v>
      </c>
      <c r="D462" s="40">
        <v>0</v>
      </c>
      <c r="E462" s="40">
        <v>0</v>
      </c>
      <c r="F462" s="40"/>
      <c r="G462" s="40">
        <v>0</v>
      </c>
      <c r="H462" s="40">
        <v>0</v>
      </c>
      <c r="I462" s="40">
        <v>0</v>
      </c>
      <c r="J462" s="68"/>
    </row>
    <row r="463" spans="1:10" x14ac:dyDescent="0.2">
      <c r="A463" s="49"/>
      <c r="B463" s="49" t="s">
        <v>36</v>
      </c>
      <c r="C463" s="40">
        <v>0</v>
      </c>
      <c r="D463" s="40">
        <v>0</v>
      </c>
      <c r="E463" s="40">
        <v>0</v>
      </c>
      <c r="F463" s="40"/>
      <c r="G463" s="40">
        <v>0</v>
      </c>
      <c r="H463" s="40">
        <v>0</v>
      </c>
      <c r="I463" s="40">
        <v>0</v>
      </c>
      <c r="J463" s="68"/>
    </row>
    <row r="464" spans="1:10" x14ac:dyDescent="0.2">
      <c r="A464" s="49"/>
      <c r="B464" s="49" t="s">
        <v>36</v>
      </c>
      <c r="C464" s="40">
        <v>0</v>
      </c>
      <c r="D464" s="40">
        <v>0</v>
      </c>
      <c r="E464" s="40">
        <v>0</v>
      </c>
      <c r="F464" s="40"/>
      <c r="G464" s="40">
        <v>0</v>
      </c>
      <c r="H464" s="40">
        <v>0</v>
      </c>
      <c r="I464" s="40">
        <v>0</v>
      </c>
      <c r="J464" s="68"/>
    </row>
    <row r="465" spans="1:10" x14ac:dyDescent="0.2">
      <c r="A465" s="49"/>
      <c r="B465" s="49" t="s">
        <v>36</v>
      </c>
      <c r="C465" s="40">
        <v>0</v>
      </c>
      <c r="D465" s="40">
        <v>0</v>
      </c>
      <c r="E465" s="40">
        <v>0</v>
      </c>
      <c r="F465" s="40"/>
      <c r="G465" s="40">
        <v>0</v>
      </c>
      <c r="H465" s="40">
        <v>0</v>
      </c>
      <c r="I465" s="40">
        <v>0</v>
      </c>
      <c r="J465" s="68"/>
    </row>
    <row r="466" spans="1:10" x14ac:dyDescent="0.2">
      <c r="A466" s="49"/>
      <c r="B466" s="49" t="s">
        <v>36</v>
      </c>
      <c r="C466" s="40">
        <v>0</v>
      </c>
      <c r="D466" s="40">
        <v>0</v>
      </c>
      <c r="E466" s="40">
        <v>0</v>
      </c>
      <c r="F466" s="40"/>
      <c r="G466" s="40">
        <v>0</v>
      </c>
      <c r="H466" s="40">
        <v>0</v>
      </c>
      <c r="I466" s="40">
        <v>0</v>
      </c>
      <c r="J466" s="68"/>
    </row>
    <row r="467" spans="1:10" x14ac:dyDescent="0.2">
      <c r="A467" s="49"/>
      <c r="B467" s="49" t="s">
        <v>36</v>
      </c>
      <c r="C467" s="40">
        <v>0</v>
      </c>
      <c r="D467" s="40">
        <v>0</v>
      </c>
      <c r="E467" s="40">
        <v>0</v>
      </c>
      <c r="F467" s="40"/>
      <c r="G467" s="40">
        <v>0</v>
      </c>
      <c r="H467" s="40">
        <v>0</v>
      </c>
      <c r="I467" s="40">
        <v>0</v>
      </c>
      <c r="J467" s="68"/>
    </row>
    <row r="468" spans="1:10" x14ac:dyDescent="0.2">
      <c r="A468" s="49"/>
      <c r="B468" s="49" t="s">
        <v>36</v>
      </c>
      <c r="C468" s="40">
        <v>0</v>
      </c>
      <c r="D468" s="40">
        <v>0</v>
      </c>
      <c r="E468" s="40">
        <v>0</v>
      </c>
      <c r="F468" s="40"/>
      <c r="G468" s="40">
        <v>0</v>
      </c>
      <c r="H468" s="40">
        <v>0</v>
      </c>
      <c r="I468" s="40">
        <v>0</v>
      </c>
      <c r="J468" s="68"/>
    </row>
    <row r="469" spans="1:10" x14ac:dyDescent="0.2">
      <c r="A469" s="49"/>
      <c r="B469" s="49" t="s">
        <v>36</v>
      </c>
      <c r="C469" s="40">
        <v>0</v>
      </c>
      <c r="D469" s="40">
        <v>0</v>
      </c>
      <c r="E469" s="40">
        <v>0</v>
      </c>
      <c r="F469" s="40"/>
      <c r="G469" s="40">
        <v>0</v>
      </c>
      <c r="H469" s="40">
        <v>0</v>
      </c>
      <c r="I469" s="40">
        <v>0</v>
      </c>
      <c r="J469" s="68"/>
    </row>
    <row r="470" spans="1:10" x14ac:dyDescent="0.2">
      <c r="A470" s="49"/>
      <c r="B470" s="49" t="s">
        <v>36</v>
      </c>
      <c r="C470" s="40">
        <v>0</v>
      </c>
      <c r="D470" s="40">
        <v>0</v>
      </c>
      <c r="E470" s="40">
        <v>0</v>
      </c>
      <c r="F470" s="40"/>
      <c r="G470" s="40">
        <v>0</v>
      </c>
      <c r="H470" s="40">
        <v>0</v>
      </c>
      <c r="I470" s="40">
        <v>0</v>
      </c>
      <c r="J470" s="68"/>
    </row>
    <row r="471" spans="1:10" x14ac:dyDescent="0.2">
      <c r="A471" s="49"/>
      <c r="B471" s="49" t="s">
        <v>36</v>
      </c>
      <c r="C471" s="40">
        <v>0</v>
      </c>
      <c r="D471" s="40">
        <v>0</v>
      </c>
      <c r="E471" s="40">
        <v>0</v>
      </c>
      <c r="F471" s="40"/>
      <c r="G471" s="40">
        <v>0</v>
      </c>
      <c r="H471" s="40">
        <v>0</v>
      </c>
      <c r="I471" s="40">
        <v>0</v>
      </c>
      <c r="J471" s="68"/>
    </row>
    <row r="472" spans="1:10" x14ac:dyDescent="0.2">
      <c r="A472" s="49"/>
      <c r="B472" s="49" t="s">
        <v>36</v>
      </c>
      <c r="C472" s="40">
        <v>0</v>
      </c>
      <c r="D472" s="40">
        <v>0</v>
      </c>
      <c r="E472" s="40">
        <v>0</v>
      </c>
      <c r="F472" s="40"/>
      <c r="G472" s="40">
        <v>0</v>
      </c>
      <c r="H472" s="40">
        <v>0</v>
      </c>
      <c r="I472" s="40">
        <v>0</v>
      </c>
      <c r="J472" s="68"/>
    </row>
    <row r="473" spans="1:10" x14ac:dyDescent="0.2">
      <c r="A473" s="49"/>
      <c r="B473" s="49" t="s">
        <v>36</v>
      </c>
      <c r="C473" s="40">
        <v>0</v>
      </c>
      <c r="D473" s="40">
        <v>0</v>
      </c>
      <c r="E473" s="40">
        <v>0</v>
      </c>
      <c r="F473" s="40"/>
      <c r="G473" s="40">
        <v>0</v>
      </c>
      <c r="H473" s="40">
        <v>0</v>
      </c>
      <c r="I473" s="40">
        <v>0</v>
      </c>
      <c r="J473" s="68"/>
    </row>
    <row r="474" spans="1:10" x14ac:dyDescent="0.2">
      <c r="A474" s="49"/>
      <c r="B474" s="49" t="s">
        <v>36</v>
      </c>
      <c r="C474" s="40">
        <v>0</v>
      </c>
      <c r="D474" s="40">
        <v>0</v>
      </c>
      <c r="E474" s="40">
        <v>0</v>
      </c>
      <c r="F474" s="40"/>
      <c r="G474" s="40">
        <v>0</v>
      </c>
      <c r="H474" s="40">
        <v>0</v>
      </c>
      <c r="I474" s="40">
        <v>0</v>
      </c>
      <c r="J474" s="68"/>
    </row>
    <row r="475" spans="1:10" x14ac:dyDescent="0.2">
      <c r="A475" s="49"/>
      <c r="B475" s="49" t="s">
        <v>36</v>
      </c>
      <c r="C475" s="40">
        <v>0</v>
      </c>
      <c r="D475" s="40">
        <v>0</v>
      </c>
      <c r="E475" s="40">
        <v>0</v>
      </c>
      <c r="F475" s="40"/>
      <c r="G475" s="40">
        <v>0</v>
      </c>
      <c r="H475" s="40">
        <v>0</v>
      </c>
      <c r="I475" s="40">
        <v>0</v>
      </c>
      <c r="J475" s="68"/>
    </row>
    <row r="476" spans="1:10" x14ac:dyDescent="0.2">
      <c r="A476" s="49"/>
      <c r="B476" s="49" t="s">
        <v>36</v>
      </c>
      <c r="C476" s="40">
        <v>0</v>
      </c>
      <c r="D476" s="40">
        <v>0</v>
      </c>
      <c r="E476" s="40">
        <v>0</v>
      </c>
      <c r="F476" s="40"/>
      <c r="G476" s="40">
        <v>0</v>
      </c>
      <c r="H476" s="40">
        <v>0</v>
      </c>
      <c r="I476" s="40">
        <v>0</v>
      </c>
      <c r="J476" s="68"/>
    </row>
    <row r="477" spans="1:10" x14ac:dyDescent="0.2">
      <c r="A477" s="49"/>
      <c r="B477" s="49" t="s">
        <v>36</v>
      </c>
      <c r="C477" s="40">
        <v>0</v>
      </c>
      <c r="D477" s="40">
        <v>0</v>
      </c>
      <c r="E477" s="40">
        <v>0</v>
      </c>
      <c r="F477" s="40"/>
      <c r="G477" s="40">
        <v>0</v>
      </c>
      <c r="H477" s="40">
        <v>0</v>
      </c>
      <c r="I477" s="40">
        <v>0</v>
      </c>
      <c r="J477" s="68"/>
    </row>
    <row r="478" spans="1:10" x14ac:dyDescent="0.2">
      <c r="A478" s="49"/>
      <c r="B478" s="49" t="s">
        <v>36</v>
      </c>
      <c r="C478" s="40">
        <v>0</v>
      </c>
      <c r="D478" s="40">
        <v>0</v>
      </c>
      <c r="E478" s="40">
        <v>0</v>
      </c>
      <c r="F478" s="40"/>
      <c r="G478" s="40">
        <v>0</v>
      </c>
      <c r="H478" s="40">
        <v>0</v>
      </c>
      <c r="I478" s="40">
        <v>0</v>
      </c>
      <c r="J478" s="68"/>
    </row>
    <row r="479" spans="1:10" x14ac:dyDescent="0.2">
      <c r="A479" s="49"/>
      <c r="B479" s="49" t="s">
        <v>36</v>
      </c>
      <c r="C479" s="40">
        <v>0</v>
      </c>
      <c r="D479" s="40">
        <v>0</v>
      </c>
      <c r="E479" s="40">
        <v>0</v>
      </c>
      <c r="F479" s="40"/>
      <c r="G479" s="40">
        <v>0</v>
      </c>
      <c r="H479" s="40">
        <v>0</v>
      </c>
      <c r="I479" s="40">
        <v>0</v>
      </c>
      <c r="J479" s="68"/>
    </row>
    <row r="480" spans="1:10" x14ac:dyDescent="0.2">
      <c r="A480" s="49"/>
      <c r="B480" s="49" t="s">
        <v>36</v>
      </c>
      <c r="C480" s="40">
        <v>0</v>
      </c>
      <c r="D480" s="40">
        <v>0</v>
      </c>
      <c r="E480" s="40">
        <v>0</v>
      </c>
      <c r="F480" s="40"/>
      <c r="G480" s="40">
        <v>0</v>
      </c>
      <c r="H480" s="40">
        <v>0</v>
      </c>
      <c r="I480" s="40">
        <v>0</v>
      </c>
      <c r="J480" s="68"/>
    </row>
    <row r="481" spans="1:10" x14ac:dyDescent="0.2">
      <c r="A481" s="49"/>
      <c r="B481" s="49" t="s">
        <v>36</v>
      </c>
      <c r="C481" s="40">
        <v>0</v>
      </c>
      <c r="D481" s="40">
        <v>0</v>
      </c>
      <c r="E481" s="40">
        <v>0</v>
      </c>
      <c r="F481" s="40"/>
      <c r="G481" s="40">
        <v>0</v>
      </c>
      <c r="H481" s="40">
        <v>0</v>
      </c>
      <c r="I481" s="40">
        <v>0</v>
      </c>
      <c r="J481" s="68"/>
    </row>
    <row r="482" spans="1:10" x14ac:dyDescent="0.2">
      <c r="A482" s="49"/>
      <c r="B482" s="49" t="s">
        <v>36</v>
      </c>
      <c r="C482" s="40">
        <v>0</v>
      </c>
      <c r="D482" s="40">
        <v>0</v>
      </c>
      <c r="E482" s="40">
        <v>0</v>
      </c>
      <c r="F482" s="40"/>
      <c r="G482" s="40">
        <v>0</v>
      </c>
      <c r="H482" s="40">
        <v>0</v>
      </c>
      <c r="I482" s="40">
        <v>0</v>
      </c>
      <c r="J482" s="68"/>
    </row>
    <row r="483" spans="1:10" x14ac:dyDescent="0.2">
      <c r="A483" s="49"/>
      <c r="B483" s="49" t="s">
        <v>36</v>
      </c>
      <c r="C483" s="40">
        <v>0</v>
      </c>
      <c r="D483" s="40">
        <v>0</v>
      </c>
      <c r="E483" s="40">
        <v>0</v>
      </c>
      <c r="F483" s="40"/>
      <c r="G483" s="40">
        <v>0</v>
      </c>
      <c r="H483" s="40">
        <v>0</v>
      </c>
      <c r="I483" s="40">
        <v>0</v>
      </c>
      <c r="J483" s="68"/>
    </row>
    <row r="484" spans="1:10" x14ac:dyDescent="0.2">
      <c r="A484" s="49"/>
      <c r="B484" s="49" t="s">
        <v>36</v>
      </c>
      <c r="C484" s="40">
        <v>0</v>
      </c>
      <c r="D484" s="40">
        <v>0</v>
      </c>
      <c r="E484" s="40">
        <v>0</v>
      </c>
      <c r="F484" s="40"/>
      <c r="G484" s="40">
        <v>0</v>
      </c>
      <c r="H484" s="40">
        <v>0</v>
      </c>
      <c r="I484" s="40">
        <v>0</v>
      </c>
      <c r="J484" s="68"/>
    </row>
    <row r="485" spans="1:10" x14ac:dyDescent="0.2">
      <c r="A485" s="49"/>
      <c r="B485" s="49" t="s">
        <v>36</v>
      </c>
      <c r="C485" s="40">
        <v>0</v>
      </c>
      <c r="D485" s="40">
        <v>0</v>
      </c>
      <c r="E485" s="40">
        <v>0</v>
      </c>
      <c r="F485" s="40"/>
      <c r="G485" s="40">
        <v>0</v>
      </c>
      <c r="H485" s="40">
        <v>0</v>
      </c>
      <c r="I485" s="40">
        <v>0</v>
      </c>
      <c r="J485" s="68"/>
    </row>
    <row r="486" spans="1:10" x14ac:dyDescent="0.2">
      <c r="A486" s="49"/>
      <c r="B486" s="49" t="s">
        <v>36</v>
      </c>
      <c r="C486" s="40">
        <v>0</v>
      </c>
      <c r="D486" s="40">
        <v>0</v>
      </c>
      <c r="E486" s="40">
        <v>0</v>
      </c>
      <c r="F486" s="40"/>
      <c r="G486" s="40">
        <v>0</v>
      </c>
      <c r="H486" s="40">
        <v>0</v>
      </c>
      <c r="I486" s="40">
        <v>0</v>
      </c>
      <c r="J486" s="68"/>
    </row>
    <row r="487" spans="1:10" x14ac:dyDescent="0.2">
      <c r="A487" s="49"/>
      <c r="B487" s="49" t="s">
        <v>36</v>
      </c>
      <c r="C487" s="40">
        <v>0</v>
      </c>
      <c r="D487" s="40">
        <v>0</v>
      </c>
      <c r="E487" s="40">
        <v>0</v>
      </c>
      <c r="F487" s="40"/>
      <c r="G487" s="40">
        <v>0</v>
      </c>
      <c r="H487" s="40">
        <v>0</v>
      </c>
      <c r="I487" s="40">
        <v>0</v>
      </c>
      <c r="J487" s="68"/>
    </row>
    <row r="488" spans="1:10" x14ac:dyDescent="0.2">
      <c r="A488" s="49"/>
      <c r="B488" s="49" t="s">
        <v>36</v>
      </c>
      <c r="C488" s="40">
        <v>0</v>
      </c>
      <c r="D488" s="40">
        <v>0</v>
      </c>
      <c r="E488" s="40">
        <v>0</v>
      </c>
      <c r="F488" s="40"/>
      <c r="G488" s="40">
        <v>0</v>
      </c>
      <c r="H488" s="40">
        <v>0</v>
      </c>
      <c r="I488" s="40">
        <v>0</v>
      </c>
      <c r="J488" s="68"/>
    </row>
    <row r="489" spans="1:10" x14ac:dyDescent="0.2">
      <c r="A489" s="49"/>
      <c r="B489" s="49" t="s">
        <v>36</v>
      </c>
      <c r="C489" s="40">
        <v>0</v>
      </c>
      <c r="D489" s="40">
        <v>0</v>
      </c>
      <c r="E489" s="40">
        <v>0</v>
      </c>
      <c r="F489" s="40"/>
      <c r="G489" s="40">
        <v>0</v>
      </c>
      <c r="H489" s="40">
        <v>0</v>
      </c>
      <c r="I489" s="40">
        <v>0</v>
      </c>
      <c r="J489" s="68"/>
    </row>
    <row r="490" spans="1:10" x14ac:dyDescent="0.2">
      <c r="A490" s="49"/>
      <c r="B490" s="49" t="s">
        <v>36</v>
      </c>
      <c r="C490" s="40">
        <v>0</v>
      </c>
      <c r="D490" s="40">
        <v>0</v>
      </c>
      <c r="E490" s="40">
        <v>0</v>
      </c>
      <c r="F490" s="40"/>
      <c r="G490" s="40">
        <v>0</v>
      </c>
      <c r="H490" s="40">
        <v>0</v>
      </c>
      <c r="I490" s="40">
        <v>0</v>
      </c>
      <c r="J490" s="68"/>
    </row>
    <row r="491" spans="1:10" x14ac:dyDescent="0.2">
      <c r="A491" s="49"/>
      <c r="B491" s="49" t="s">
        <v>36</v>
      </c>
      <c r="C491" s="40">
        <v>0</v>
      </c>
      <c r="D491" s="40">
        <v>0</v>
      </c>
      <c r="E491" s="40">
        <v>0</v>
      </c>
      <c r="F491" s="40"/>
      <c r="G491" s="40">
        <v>0</v>
      </c>
      <c r="H491" s="40">
        <v>0</v>
      </c>
      <c r="I491" s="40">
        <v>0</v>
      </c>
      <c r="J491" s="68"/>
    </row>
    <row r="492" spans="1:10" x14ac:dyDescent="0.2">
      <c r="A492" s="49"/>
      <c r="B492" s="49" t="s">
        <v>36</v>
      </c>
      <c r="C492" s="40">
        <v>0</v>
      </c>
      <c r="D492" s="40">
        <v>0</v>
      </c>
      <c r="E492" s="40">
        <v>0</v>
      </c>
      <c r="F492" s="40"/>
      <c r="G492" s="40">
        <v>0</v>
      </c>
      <c r="H492" s="40">
        <v>0</v>
      </c>
      <c r="I492" s="40">
        <v>0</v>
      </c>
      <c r="J492" s="68"/>
    </row>
    <row r="493" spans="1:10" x14ac:dyDescent="0.2">
      <c r="A493" s="49"/>
      <c r="B493" s="49" t="s">
        <v>36</v>
      </c>
      <c r="C493" s="40">
        <v>0</v>
      </c>
      <c r="D493" s="40">
        <v>0</v>
      </c>
      <c r="E493" s="40">
        <v>0</v>
      </c>
      <c r="F493" s="40"/>
      <c r="G493" s="40">
        <v>0</v>
      </c>
      <c r="H493" s="40">
        <v>0</v>
      </c>
      <c r="I493" s="40">
        <v>0</v>
      </c>
      <c r="J493" s="68"/>
    </row>
    <row r="494" spans="1:10" x14ac:dyDescent="0.2">
      <c r="A494" s="49"/>
      <c r="B494" s="49" t="s">
        <v>36</v>
      </c>
      <c r="C494" s="40">
        <v>0</v>
      </c>
      <c r="D494" s="40">
        <v>0</v>
      </c>
      <c r="E494" s="40">
        <v>0</v>
      </c>
      <c r="F494" s="40"/>
      <c r="G494" s="40">
        <v>0</v>
      </c>
      <c r="H494" s="40">
        <v>0</v>
      </c>
      <c r="I494" s="40">
        <v>0</v>
      </c>
      <c r="J494" s="68"/>
    </row>
    <row r="495" spans="1:10" x14ac:dyDescent="0.2">
      <c r="A495" s="49"/>
      <c r="B495" s="49" t="s">
        <v>36</v>
      </c>
      <c r="C495" s="40">
        <v>0</v>
      </c>
      <c r="D495" s="40">
        <v>0</v>
      </c>
      <c r="E495" s="40">
        <v>0</v>
      </c>
      <c r="F495" s="40"/>
      <c r="G495" s="40">
        <v>0</v>
      </c>
      <c r="H495" s="40">
        <v>0</v>
      </c>
      <c r="I495" s="40">
        <v>0</v>
      </c>
      <c r="J495" s="68"/>
    </row>
    <row r="496" spans="1:10" x14ac:dyDescent="0.2">
      <c r="A496" s="49"/>
      <c r="B496" s="49" t="s">
        <v>36</v>
      </c>
      <c r="C496" s="40">
        <v>0</v>
      </c>
      <c r="D496" s="40">
        <v>0</v>
      </c>
      <c r="E496" s="40">
        <v>0</v>
      </c>
      <c r="F496" s="40"/>
      <c r="G496" s="40">
        <v>0</v>
      </c>
      <c r="H496" s="40">
        <v>0</v>
      </c>
      <c r="I496" s="40">
        <v>0</v>
      </c>
      <c r="J496" s="68"/>
    </row>
    <row r="497" spans="1:10" x14ac:dyDescent="0.2">
      <c r="A497" s="49"/>
      <c r="B497" s="49" t="s">
        <v>36</v>
      </c>
      <c r="C497" s="40">
        <v>0</v>
      </c>
      <c r="D497" s="40">
        <v>0</v>
      </c>
      <c r="E497" s="40">
        <v>0</v>
      </c>
      <c r="F497" s="40"/>
      <c r="G497" s="40">
        <v>0</v>
      </c>
      <c r="H497" s="40">
        <v>0</v>
      </c>
      <c r="I497" s="40">
        <v>0</v>
      </c>
      <c r="J497" s="68"/>
    </row>
    <row r="498" spans="1:10" x14ac:dyDescent="0.2">
      <c r="A498" s="49"/>
      <c r="B498" s="49" t="s">
        <v>36</v>
      </c>
      <c r="C498" s="40">
        <v>0</v>
      </c>
      <c r="D498" s="40">
        <v>0</v>
      </c>
      <c r="E498" s="40">
        <v>0</v>
      </c>
      <c r="F498" s="40"/>
      <c r="G498" s="40">
        <v>0</v>
      </c>
      <c r="H498" s="40">
        <v>0</v>
      </c>
      <c r="I498" s="40">
        <v>0</v>
      </c>
      <c r="J498" s="68"/>
    </row>
    <row r="499" spans="1:10" x14ac:dyDescent="0.2">
      <c r="A499" s="49"/>
      <c r="B499" s="49" t="s">
        <v>36</v>
      </c>
      <c r="C499" s="40">
        <v>0</v>
      </c>
      <c r="D499" s="40">
        <v>0</v>
      </c>
      <c r="E499" s="40">
        <v>0</v>
      </c>
      <c r="F499" s="40"/>
      <c r="G499" s="40">
        <v>0</v>
      </c>
      <c r="H499" s="40">
        <v>0</v>
      </c>
      <c r="I499" s="40">
        <v>0</v>
      </c>
      <c r="J499" s="68"/>
    </row>
    <row r="500" spans="1:10" x14ac:dyDescent="0.2">
      <c r="A500" s="49"/>
      <c r="B500" s="49" t="s">
        <v>36</v>
      </c>
      <c r="C500" s="40">
        <v>0</v>
      </c>
      <c r="D500" s="40">
        <v>0</v>
      </c>
      <c r="E500" s="40">
        <v>0</v>
      </c>
      <c r="F500" s="40"/>
      <c r="G500" s="40">
        <v>0</v>
      </c>
      <c r="H500" s="40">
        <v>0</v>
      </c>
      <c r="I500" s="40">
        <v>0</v>
      </c>
      <c r="J500" s="68"/>
    </row>
    <row r="501" spans="1:10" x14ac:dyDescent="0.2">
      <c r="A501" s="49"/>
      <c r="B501" s="49" t="s">
        <v>36</v>
      </c>
      <c r="C501" s="40">
        <v>0</v>
      </c>
      <c r="D501" s="40">
        <v>0</v>
      </c>
      <c r="E501" s="40">
        <v>0</v>
      </c>
      <c r="F501" s="40"/>
      <c r="G501" s="40">
        <v>0</v>
      </c>
      <c r="H501" s="40">
        <v>0</v>
      </c>
      <c r="I501" s="40">
        <v>0</v>
      </c>
      <c r="J501" s="68"/>
    </row>
    <row r="502" spans="1:10" x14ac:dyDescent="0.2">
      <c r="A502" s="49"/>
      <c r="B502" s="49" t="s">
        <v>36</v>
      </c>
      <c r="C502" s="40">
        <v>0</v>
      </c>
      <c r="D502" s="40">
        <v>0</v>
      </c>
      <c r="E502" s="40">
        <v>0</v>
      </c>
      <c r="F502" s="40"/>
      <c r="G502" s="40">
        <v>0</v>
      </c>
      <c r="H502" s="40">
        <v>0</v>
      </c>
      <c r="I502" s="40">
        <v>0</v>
      </c>
      <c r="J502" s="68"/>
    </row>
    <row r="503" spans="1:10" x14ac:dyDescent="0.2">
      <c r="A503" s="49"/>
      <c r="B503" s="49" t="s">
        <v>36</v>
      </c>
      <c r="C503" s="40">
        <v>0</v>
      </c>
      <c r="D503" s="40">
        <v>0</v>
      </c>
      <c r="E503" s="40">
        <v>0</v>
      </c>
      <c r="F503" s="40"/>
      <c r="G503" s="40">
        <v>0</v>
      </c>
      <c r="H503" s="40">
        <v>0</v>
      </c>
      <c r="I503" s="40">
        <v>0</v>
      </c>
      <c r="J503" s="68"/>
    </row>
    <row r="504" spans="1:10" x14ac:dyDescent="0.2">
      <c r="A504" s="49"/>
      <c r="B504" s="49" t="s">
        <v>36</v>
      </c>
      <c r="C504" s="40">
        <v>0</v>
      </c>
      <c r="D504" s="40">
        <v>0</v>
      </c>
      <c r="E504" s="40">
        <v>0</v>
      </c>
      <c r="F504" s="40"/>
      <c r="G504" s="40">
        <v>0</v>
      </c>
      <c r="H504" s="40">
        <v>0</v>
      </c>
      <c r="I504" s="40">
        <v>0</v>
      </c>
      <c r="J504" s="68"/>
    </row>
    <row r="505" spans="1:10" x14ac:dyDescent="0.2">
      <c r="A505" s="49"/>
      <c r="B505" s="49" t="s">
        <v>36</v>
      </c>
      <c r="C505" s="40">
        <v>0</v>
      </c>
      <c r="D505" s="40">
        <v>0</v>
      </c>
      <c r="E505" s="40">
        <v>0</v>
      </c>
      <c r="F505" s="40"/>
      <c r="G505" s="40">
        <v>0</v>
      </c>
      <c r="H505" s="40">
        <v>0</v>
      </c>
      <c r="I505" s="40">
        <v>0</v>
      </c>
      <c r="J505" s="68"/>
    </row>
    <row r="506" spans="1:10" x14ac:dyDescent="0.2">
      <c r="A506" s="49"/>
      <c r="B506" s="49" t="s">
        <v>36</v>
      </c>
      <c r="C506" s="40">
        <v>0</v>
      </c>
      <c r="D506" s="40">
        <v>0</v>
      </c>
      <c r="E506" s="40">
        <v>0</v>
      </c>
      <c r="F506" s="40"/>
      <c r="G506" s="40">
        <v>0</v>
      </c>
      <c r="H506" s="40">
        <v>0</v>
      </c>
      <c r="I506" s="40">
        <v>0</v>
      </c>
      <c r="J506" s="68"/>
    </row>
    <row r="507" spans="1:10" x14ac:dyDescent="0.2">
      <c r="A507" s="49"/>
      <c r="B507" s="49" t="s">
        <v>36</v>
      </c>
      <c r="C507" s="40">
        <v>0</v>
      </c>
      <c r="D507" s="40">
        <v>0</v>
      </c>
      <c r="E507" s="40">
        <v>0</v>
      </c>
      <c r="F507" s="40"/>
      <c r="G507" s="40">
        <v>0</v>
      </c>
      <c r="H507" s="40">
        <v>0</v>
      </c>
      <c r="I507" s="40">
        <v>0</v>
      </c>
      <c r="J507" s="68"/>
    </row>
    <row r="508" spans="1:10" x14ac:dyDescent="0.2">
      <c r="A508" s="49"/>
      <c r="B508" s="49" t="s">
        <v>36</v>
      </c>
      <c r="C508" s="40">
        <v>0</v>
      </c>
      <c r="D508" s="40">
        <v>0</v>
      </c>
      <c r="E508" s="40">
        <v>0</v>
      </c>
      <c r="F508" s="40"/>
      <c r="G508" s="40">
        <v>0</v>
      </c>
      <c r="H508" s="40">
        <v>0</v>
      </c>
      <c r="I508" s="40">
        <v>0</v>
      </c>
      <c r="J508" s="68"/>
    </row>
    <row r="509" spans="1:10" x14ac:dyDescent="0.2">
      <c r="A509" s="49"/>
      <c r="B509" s="49" t="s">
        <v>36</v>
      </c>
      <c r="C509" s="40">
        <v>0</v>
      </c>
      <c r="D509" s="40">
        <v>0</v>
      </c>
      <c r="E509" s="40">
        <v>0</v>
      </c>
      <c r="F509" s="40"/>
      <c r="G509" s="40">
        <v>0</v>
      </c>
      <c r="H509" s="40">
        <v>0</v>
      </c>
      <c r="I509" s="40">
        <v>0</v>
      </c>
      <c r="J509" s="68"/>
    </row>
    <row r="510" spans="1:10" x14ac:dyDescent="0.2">
      <c r="A510" s="49"/>
      <c r="B510" s="49" t="s">
        <v>36</v>
      </c>
      <c r="C510" s="40">
        <v>0</v>
      </c>
      <c r="D510" s="40">
        <v>0</v>
      </c>
      <c r="E510" s="40">
        <v>0</v>
      </c>
      <c r="F510" s="40"/>
      <c r="G510" s="40">
        <v>0</v>
      </c>
      <c r="H510" s="40">
        <v>0</v>
      </c>
      <c r="I510" s="40">
        <v>0</v>
      </c>
      <c r="J510" s="68"/>
    </row>
    <row r="511" spans="1:10" x14ac:dyDescent="0.2">
      <c r="A511" s="49"/>
      <c r="B511" s="49" t="s">
        <v>36</v>
      </c>
      <c r="C511" s="40">
        <v>0</v>
      </c>
      <c r="D511" s="40">
        <v>0</v>
      </c>
      <c r="E511" s="40">
        <v>0</v>
      </c>
      <c r="F511" s="40"/>
      <c r="G511" s="40">
        <v>0</v>
      </c>
      <c r="H511" s="40">
        <v>0</v>
      </c>
      <c r="I511" s="40">
        <v>0</v>
      </c>
      <c r="J511" s="68"/>
    </row>
    <row r="512" spans="1:10" x14ac:dyDescent="0.2">
      <c r="A512" s="49"/>
      <c r="B512" s="49" t="s">
        <v>36</v>
      </c>
      <c r="C512" s="40">
        <v>0</v>
      </c>
      <c r="D512" s="40">
        <v>0</v>
      </c>
      <c r="E512" s="40">
        <v>0</v>
      </c>
      <c r="F512" s="40"/>
      <c r="G512" s="40">
        <v>0</v>
      </c>
      <c r="H512" s="40">
        <v>0</v>
      </c>
      <c r="I512" s="40">
        <v>0</v>
      </c>
      <c r="J512" s="68"/>
    </row>
    <row r="513" spans="1:10" x14ac:dyDescent="0.2">
      <c r="A513" s="49"/>
      <c r="B513" s="49" t="s">
        <v>36</v>
      </c>
      <c r="C513" s="40">
        <v>0</v>
      </c>
      <c r="D513" s="40">
        <v>0</v>
      </c>
      <c r="E513" s="40">
        <v>0</v>
      </c>
      <c r="F513" s="40"/>
      <c r="G513" s="40">
        <v>0</v>
      </c>
      <c r="H513" s="40">
        <v>0</v>
      </c>
      <c r="I513" s="40">
        <v>0</v>
      </c>
      <c r="J513" s="68"/>
    </row>
    <row r="514" spans="1:10" x14ac:dyDescent="0.2">
      <c r="A514" s="49"/>
      <c r="B514" s="49" t="s">
        <v>36</v>
      </c>
      <c r="C514" s="40">
        <v>0</v>
      </c>
      <c r="D514" s="40">
        <v>0</v>
      </c>
      <c r="E514" s="40">
        <v>0</v>
      </c>
      <c r="F514" s="40"/>
      <c r="G514" s="40">
        <v>0</v>
      </c>
      <c r="H514" s="40">
        <v>0</v>
      </c>
      <c r="I514" s="40">
        <v>0</v>
      </c>
      <c r="J514" s="68"/>
    </row>
    <row r="515" spans="1:10" x14ac:dyDescent="0.2">
      <c r="A515" s="49"/>
      <c r="B515" s="49" t="s">
        <v>36</v>
      </c>
      <c r="C515" s="40">
        <v>0</v>
      </c>
      <c r="D515" s="40">
        <v>0</v>
      </c>
      <c r="E515" s="40">
        <v>0</v>
      </c>
      <c r="F515" s="40"/>
      <c r="G515" s="40">
        <v>0</v>
      </c>
      <c r="H515" s="40">
        <v>0</v>
      </c>
      <c r="I515" s="40">
        <v>0</v>
      </c>
      <c r="J515" s="68"/>
    </row>
    <row r="516" spans="1:10" x14ac:dyDescent="0.2">
      <c r="A516" s="49"/>
      <c r="B516" s="49" t="s">
        <v>36</v>
      </c>
      <c r="C516" s="40">
        <v>0</v>
      </c>
      <c r="D516" s="40">
        <v>0</v>
      </c>
      <c r="E516" s="40">
        <v>0</v>
      </c>
      <c r="F516" s="40"/>
      <c r="G516" s="40">
        <v>0</v>
      </c>
      <c r="H516" s="40">
        <v>0</v>
      </c>
      <c r="I516" s="40">
        <v>0</v>
      </c>
      <c r="J516" s="68"/>
    </row>
    <row r="517" spans="1:10" x14ac:dyDescent="0.2">
      <c r="A517" s="49"/>
      <c r="B517" s="49" t="s">
        <v>36</v>
      </c>
      <c r="C517" s="40">
        <v>0</v>
      </c>
      <c r="D517" s="40">
        <v>0</v>
      </c>
      <c r="E517" s="40">
        <v>0</v>
      </c>
      <c r="F517" s="40"/>
      <c r="G517" s="40">
        <v>0</v>
      </c>
      <c r="H517" s="40">
        <v>0</v>
      </c>
      <c r="I517" s="40">
        <v>0</v>
      </c>
      <c r="J517" s="68"/>
    </row>
    <row r="518" spans="1:10" x14ac:dyDescent="0.2">
      <c r="A518" s="49"/>
      <c r="B518" s="49" t="s">
        <v>36</v>
      </c>
      <c r="C518" s="40">
        <v>0</v>
      </c>
      <c r="D518" s="40">
        <v>0</v>
      </c>
      <c r="E518" s="40">
        <v>0</v>
      </c>
      <c r="F518" s="40"/>
      <c r="G518" s="40">
        <v>0</v>
      </c>
      <c r="H518" s="40">
        <v>0</v>
      </c>
      <c r="I518" s="40">
        <v>0</v>
      </c>
      <c r="J518" s="68"/>
    </row>
    <row r="519" spans="1:10" x14ac:dyDescent="0.2">
      <c r="A519" s="49"/>
      <c r="B519" s="49" t="s">
        <v>36</v>
      </c>
      <c r="C519" s="40">
        <v>0</v>
      </c>
      <c r="D519" s="40">
        <v>0</v>
      </c>
      <c r="E519" s="40">
        <v>0</v>
      </c>
      <c r="F519" s="40"/>
      <c r="G519" s="40">
        <v>0</v>
      </c>
      <c r="H519" s="40">
        <v>0</v>
      </c>
      <c r="I519" s="40">
        <v>0</v>
      </c>
      <c r="J519" s="68"/>
    </row>
    <row r="520" spans="1:10" x14ac:dyDescent="0.2">
      <c r="A520" s="49"/>
      <c r="B520" s="49" t="s">
        <v>36</v>
      </c>
      <c r="C520" s="40">
        <v>0</v>
      </c>
      <c r="D520" s="40">
        <v>0</v>
      </c>
      <c r="E520" s="40">
        <v>0</v>
      </c>
      <c r="F520" s="40"/>
      <c r="G520" s="40">
        <v>0</v>
      </c>
      <c r="H520" s="40">
        <v>0</v>
      </c>
      <c r="I520" s="40">
        <v>0</v>
      </c>
      <c r="J520" s="68"/>
    </row>
    <row r="521" spans="1:10" x14ac:dyDescent="0.2">
      <c r="A521" s="49"/>
      <c r="B521" s="49" t="s">
        <v>36</v>
      </c>
      <c r="C521" s="40">
        <v>0</v>
      </c>
      <c r="D521" s="40">
        <v>0</v>
      </c>
      <c r="E521" s="40">
        <v>0</v>
      </c>
      <c r="F521" s="40"/>
      <c r="G521" s="40">
        <v>0</v>
      </c>
      <c r="H521" s="40">
        <v>0</v>
      </c>
      <c r="I521" s="40">
        <v>0</v>
      </c>
      <c r="J521" s="68"/>
    </row>
    <row r="522" spans="1:10" x14ac:dyDescent="0.2">
      <c r="A522" s="49"/>
      <c r="B522" s="49" t="s">
        <v>36</v>
      </c>
      <c r="C522" s="40">
        <v>0</v>
      </c>
      <c r="D522" s="40">
        <v>0</v>
      </c>
      <c r="E522" s="40">
        <v>0</v>
      </c>
      <c r="F522" s="40"/>
      <c r="G522" s="40">
        <v>0</v>
      </c>
      <c r="H522" s="40">
        <v>0</v>
      </c>
      <c r="I522" s="40">
        <v>0</v>
      </c>
      <c r="J522" s="68"/>
    </row>
    <row r="523" spans="1:10" x14ac:dyDescent="0.2">
      <c r="A523" s="49"/>
      <c r="B523" s="49" t="s">
        <v>36</v>
      </c>
      <c r="C523" s="40">
        <v>0</v>
      </c>
      <c r="D523" s="40">
        <v>0</v>
      </c>
      <c r="E523" s="40">
        <v>0</v>
      </c>
      <c r="F523" s="40"/>
      <c r="G523" s="40">
        <v>0</v>
      </c>
      <c r="H523" s="40">
        <v>0</v>
      </c>
      <c r="I523" s="40">
        <v>0</v>
      </c>
      <c r="J523" s="68"/>
    </row>
    <row r="524" spans="1:10" x14ac:dyDescent="0.2">
      <c r="A524" s="49"/>
      <c r="B524" s="49" t="s">
        <v>36</v>
      </c>
      <c r="C524" s="40">
        <v>0</v>
      </c>
      <c r="D524" s="40">
        <v>0</v>
      </c>
      <c r="E524" s="40">
        <v>0</v>
      </c>
      <c r="F524" s="40"/>
      <c r="G524" s="40">
        <v>0</v>
      </c>
      <c r="H524" s="40">
        <v>0</v>
      </c>
      <c r="I524" s="40">
        <v>0</v>
      </c>
      <c r="J524" s="68"/>
    </row>
    <row r="525" spans="1:10" x14ac:dyDescent="0.2">
      <c r="A525" s="49"/>
      <c r="B525" s="49" t="s">
        <v>36</v>
      </c>
      <c r="C525" s="40">
        <v>0</v>
      </c>
      <c r="D525" s="40">
        <v>0</v>
      </c>
      <c r="E525" s="40">
        <v>0</v>
      </c>
      <c r="F525" s="40"/>
      <c r="G525" s="40">
        <v>0</v>
      </c>
      <c r="H525" s="40">
        <v>0</v>
      </c>
      <c r="I525" s="40">
        <v>0</v>
      </c>
      <c r="J525" s="68"/>
    </row>
    <row r="526" spans="1:10" x14ac:dyDescent="0.2">
      <c r="A526" s="49"/>
      <c r="B526" s="49" t="s">
        <v>36</v>
      </c>
      <c r="C526" s="40">
        <v>0</v>
      </c>
      <c r="D526" s="40">
        <v>0</v>
      </c>
      <c r="E526" s="40">
        <v>0</v>
      </c>
      <c r="F526" s="40"/>
      <c r="G526" s="40">
        <v>0</v>
      </c>
      <c r="H526" s="40">
        <v>0</v>
      </c>
      <c r="I526" s="40">
        <v>0</v>
      </c>
      <c r="J526" s="68"/>
    </row>
    <row r="527" spans="1:10" x14ac:dyDescent="0.2">
      <c r="A527" s="49"/>
      <c r="B527" s="49" t="s">
        <v>36</v>
      </c>
      <c r="C527" s="40">
        <v>0</v>
      </c>
      <c r="D527" s="40">
        <v>0</v>
      </c>
      <c r="E527" s="40">
        <v>0</v>
      </c>
      <c r="F527" s="40"/>
      <c r="G527" s="40">
        <v>0</v>
      </c>
      <c r="H527" s="40">
        <v>0</v>
      </c>
      <c r="I527" s="40">
        <v>0</v>
      </c>
      <c r="J527" s="68"/>
    </row>
    <row r="528" spans="1:10" x14ac:dyDescent="0.2">
      <c r="A528" s="49"/>
      <c r="B528" s="49" t="s">
        <v>36</v>
      </c>
      <c r="C528" s="40">
        <v>0</v>
      </c>
      <c r="D528" s="40">
        <v>0</v>
      </c>
      <c r="E528" s="40">
        <v>0</v>
      </c>
      <c r="F528" s="40"/>
      <c r="G528" s="40">
        <v>0</v>
      </c>
      <c r="H528" s="40">
        <v>0</v>
      </c>
      <c r="I528" s="40">
        <v>0</v>
      </c>
      <c r="J528" s="68"/>
    </row>
    <row r="529" spans="1:10" x14ac:dyDescent="0.2">
      <c r="A529" s="49"/>
      <c r="B529" s="49" t="s">
        <v>36</v>
      </c>
      <c r="C529" s="40">
        <v>0</v>
      </c>
      <c r="D529" s="40">
        <v>0</v>
      </c>
      <c r="E529" s="40">
        <v>0</v>
      </c>
      <c r="F529" s="40"/>
      <c r="G529" s="40">
        <v>0</v>
      </c>
      <c r="H529" s="40">
        <v>0</v>
      </c>
      <c r="I529" s="40">
        <v>0</v>
      </c>
      <c r="J529" s="68"/>
    </row>
    <row r="530" spans="1:10" x14ac:dyDescent="0.2">
      <c r="A530" s="49"/>
      <c r="B530" s="49" t="s">
        <v>36</v>
      </c>
      <c r="C530" s="40">
        <v>0</v>
      </c>
      <c r="D530" s="40">
        <v>0</v>
      </c>
      <c r="E530" s="40">
        <v>0</v>
      </c>
      <c r="F530" s="40"/>
      <c r="G530" s="40">
        <v>0</v>
      </c>
      <c r="H530" s="40">
        <v>0</v>
      </c>
      <c r="I530" s="40">
        <v>0</v>
      </c>
      <c r="J530" s="68"/>
    </row>
    <row r="531" spans="1:10" x14ac:dyDescent="0.2">
      <c r="A531" s="49"/>
      <c r="B531" s="49" t="s">
        <v>36</v>
      </c>
      <c r="C531" s="40">
        <v>0</v>
      </c>
      <c r="D531" s="40">
        <v>0</v>
      </c>
      <c r="E531" s="40">
        <v>0</v>
      </c>
      <c r="F531" s="40"/>
      <c r="G531" s="40">
        <v>0</v>
      </c>
      <c r="H531" s="40">
        <v>0</v>
      </c>
      <c r="I531" s="40">
        <v>0</v>
      </c>
      <c r="J531" s="68"/>
    </row>
    <row r="532" spans="1:10" x14ac:dyDescent="0.2">
      <c r="A532" s="49"/>
      <c r="B532" s="49" t="s">
        <v>36</v>
      </c>
      <c r="C532" s="40">
        <v>0</v>
      </c>
      <c r="D532" s="40">
        <v>0</v>
      </c>
      <c r="E532" s="40">
        <v>0</v>
      </c>
      <c r="F532" s="40"/>
      <c r="G532" s="40">
        <v>0</v>
      </c>
      <c r="H532" s="40">
        <v>0</v>
      </c>
      <c r="I532" s="40">
        <v>0</v>
      </c>
      <c r="J532" s="68"/>
    </row>
    <row r="533" spans="1:10" x14ac:dyDescent="0.2">
      <c r="A533" s="49"/>
      <c r="B533" s="49" t="s">
        <v>36</v>
      </c>
      <c r="C533" s="40">
        <v>0</v>
      </c>
      <c r="D533" s="40">
        <v>0</v>
      </c>
      <c r="E533" s="40">
        <v>0</v>
      </c>
      <c r="F533" s="40"/>
      <c r="G533" s="40">
        <v>0</v>
      </c>
      <c r="H533" s="40">
        <v>0</v>
      </c>
      <c r="I533" s="40">
        <v>0</v>
      </c>
      <c r="J533" s="68"/>
    </row>
    <row r="534" spans="1:10" x14ac:dyDescent="0.2">
      <c r="A534" s="49"/>
      <c r="B534" s="49" t="s">
        <v>36</v>
      </c>
      <c r="C534" s="40">
        <v>0</v>
      </c>
      <c r="D534" s="40">
        <v>0</v>
      </c>
      <c r="E534" s="40">
        <v>0</v>
      </c>
      <c r="F534" s="40"/>
      <c r="G534" s="40">
        <v>0</v>
      </c>
      <c r="H534" s="40">
        <v>0</v>
      </c>
      <c r="I534" s="40">
        <v>0</v>
      </c>
      <c r="J534" s="68"/>
    </row>
    <row r="535" spans="1:10" x14ac:dyDescent="0.2">
      <c r="A535" s="49"/>
      <c r="B535" s="49" t="s">
        <v>36</v>
      </c>
      <c r="C535" s="40">
        <v>0</v>
      </c>
      <c r="D535" s="40">
        <v>0</v>
      </c>
      <c r="E535" s="40">
        <v>0</v>
      </c>
      <c r="F535" s="40"/>
      <c r="G535" s="40">
        <v>0</v>
      </c>
      <c r="H535" s="40">
        <v>0</v>
      </c>
      <c r="I535" s="40">
        <v>0</v>
      </c>
      <c r="J535" s="68"/>
    </row>
    <row r="536" spans="1:10" x14ac:dyDescent="0.2">
      <c r="A536" s="49"/>
      <c r="B536" s="49" t="s">
        <v>36</v>
      </c>
      <c r="C536" s="40">
        <v>0</v>
      </c>
      <c r="D536" s="40">
        <v>0</v>
      </c>
      <c r="E536" s="40">
        <v>0</v>
      </c>
      <c r="F536" s="40"/>
      <c r="G536" s="40">
        <v>0</v>
      </c>
      <c r="H536" s="40">
        <v>0</v>
      </c>
      <c r="I536" s="40">
        <v>0</v>
      </c>
      <c r="J536" s="68"/>
    </row>
    <row r="537" spans="1:10" x14ac:dyDescent="0.2">
      <c r="A537" s="49"/>
      <c r="B537" s="49" t="s">
        <v>36</v>
      </c>
      <c r="C537" s="40">
        <v>0</v>
      </c>
      <c r="D537" s="40">
        <v>0</v>
      </c>
      <c r="E537" s="40">
        <v>0</v>
      </c>
      <c r="F537" s="40"/>
      <c r="G537" s="40">
        <v>0</v>
      </c>
      <c r="H537" s="40">
        <v>0</v>
      </c>
      <c r="I537" s="40">
        <v>0</v>
      </c>
      <c r="J537" s="68"/>
    </row>
    <row r="538" spans="1:10" x14ac:dyDescent="0.2">
      <c r="A538" s="49"/>
      <c r="B538" s="49" t="s">
        <v>36</v>
      </c>
      <c r="C538" s="40">
        <v>0</v>
      </c>
      <c r="D538" s="40">
        <v>0</v>
      </c>
      <c r="E538" s="40">
        <v>0</v>
      </c>
      <c r="F538" s="40"/>
      <c r="G538" s="40">
        <v>0</v>
      </c>
      <c r="H538" s="40">
        <v>0</v>
      </c>
      <c r="I538" s="40">
        <v>0</v>
      </c>
      <c r="J538" s="68"/>
    </row>
    <row r="539" spans="1:10" x14ac:dyDescent="0.2">
      <c r="A539" s="49"/>
      <c r="B539" s="49" t="s">
        <v>36</v>
      </c>
      <c r="C539" s="40">
        <v>0</v>
      </c>
      <c r="D539" s="40">
        <v>0</v>
      </c>
      <c r="E539" s="40">
        <v>0</v>
      </c>
      <c r="F539" s="40"/>
      <c r="G539" s="40">
        <v>0</v>
      </c>
      <c r="H539" s="40">
        <v>0</v>
      </c>
      <c r="I539" s="40">
        <v>0</v>
      </c>
      <c r="J539" s="68"/>
    </row>
    <row r="540" spans="1:10" x14ac:dyDescent="0.2">
      <c r="A540" s="49"/>
      <c r="B540" s="49" t="s">
        <v>36</v>
      </c>
      <c r="C540" s="40">
        <v>0</v>
      </c>
      <c r="D540" s="40">
        <v>0</v>
      </c>
      <c r="E540" s="40">
        <v>0</v>
      </c>
      <c r="F540" s="40"/>
      <c r="G540" s="40">
        <v>0</v>
      </c>
      <c r="H540" s="40">
        <v>0</v>
      </c>
      <c r="I540" s="40">
        <v>0</v>
      </c>
      <c r="J540" s="68"/>
    </row>
    <row r="541" spans="1:10" x14ac:dyDescent="0.2">
      <c r="A541" s="49"/>
      <c r="B541" s="49" t="s">
        <v>36</v>
      </c>
      <c r="C541" s="40">
        <v>0</v>
      </c>
      <c r="D541" s="40">
        <v>0</v>
      </c>
      <c r="E541" s="40">
        <v>0</v>
      </c>
      <c r="F541" s="40"/>
      <c r="G541" s="40">
        <v>0</v>
      </c>
      <c r="H541" s="40">
        <v>0</v>
      </c>
      <c r="I541" s="40">
        <v>0</v>
      </c>
      <c r="J541" s="68"/>
    </row>
    <row r="542" spans="1:10" x14ac:dyDescent="0.2">
      <c r="A542" s="49"/>
      <c r="B542" s="49" t="s">
        <v>36</v>
      </c>
      <c r="C542" s="40">
        <v>0</v>
      </c>
      <c r="D542" s="40">
        <v>0</v>
      </c>
      <c r="E542" s="40">
        <v>0</v>
      </c>
      <c r="F542" s="40"/>
      <c r="G542" s="40">
        <v>0</v>
      </c>
      <c r="H542" s="40">
        <v>0</v>
      </c>
      <c r="I542" s="40">
        <v>0</v>
      </c>
      <c r="J542" s="68"/>
    </row>
    <row r="543" spans="1:10" x14ac:dyDescent="0.2">
      <c r="A543" s="49"/>
      <c r="B543" s="49" t="s">
        <v>36</v>
      </c>
      <c r="C543" s="40">
        <v>0</v>
      </c>
      <c r="D543" s="40">
        <v>0</v>
      </c>
      <c r="E543" s="40">
        <v>0</v>
      </c>
      <c r="F543" s="40"/>
      <c r="G543" s="40">
        <v>0</v>
      </c>
      <c r="H543" s="40">
        <v>0</v>
      </c>
      <c r="I543" s="40">
        <v>0</v>
      </c>
      <c r="J543" s="68"/>
    </row>
    <row r="544" spans="1:10" x14ac:dyDescent="0.2">
      <c r="A544" s="49"/>
      <c r="B544" s="49" t="s">
        <v>36</v>
      </c>
      <c r="C544" s="40">
        <v>0</v>
      </c>
      <c r="D544" s="40">
        <v>0</v>
      </c>
      <c r="E544" s="40">
        <v>0</v>
      </c>
      <c r="F544" s="40"/>
      <c r="G544" s="40">
        <v>0</v>
      </c>
      <c r="H544" s="40">
        <v>0</v>
      </c>
      <c r="I544" s="40">
        <v>0</v>
      </c>
      <c r="J544" s="68"/>
    </row>
    <row r="545" spans="1:10" x14ac:dyDescent="0.2">
      <c r="A545" s="49"/>
      <c r="B545" s="49" t="s">
        <v>36</v>
      </c>
      <c r="C545" s="40">
        <v>0</v>
      </c>
      <c r="D545" s="40">
        <v>0</v>
      </c>
      <c r="E545" s="40">
        <v>0</v>
      </c>
      <c r="F545" s="40"/>
      <c r="G545" s="40">
        <v>0</v>
      </c>
      <c r="H545" s="40">
        <v>0</v>
      </c>
      <c r="I545" s="40">
        <v>0</v>
      </c>
      <c r="J545" s="68"/>
    </row>
    <row r="546" spans="1:10" x14ac:dyDescent="0.2">
      <c r="A546" s="49"/>
      <c r="B546" s="49" t="s">
        <v>36</v>
      </c>
      <c r="C546" s="40">
        <v>0</v>
      </c>
      <c r="D546" s="40">
        <v>0</v>
      </c>
      <c r="E546" s="40">
        <v>0</v>
      </c>
      <c r="F546" s="40"/>
      <c r="G546" s="40">
        <v>0</v>
      </c>
      <c r="H546" s="40">
        <v>0</v>
      </c>
      <c r="I546" s="40">
        <v>0</v>
      </c>
      <c r="J546" s="68"/>
    </row>
    <row r="547" spans="1:10" x14ac:dyDescent="0.2">
      <c r="A547" s="49"/>
      <c r="B547" s="49" t="s">
        <v>36</v>
      </c>
      <c r="C547" s="40">
        <v>0</v>
      </c>
      <c r="D547" s="40">
        <v>0</v>
      </c>
      <c r="E547" s="40">
        <v>0</v>
      </c>
      <c r="F547" s="40"/>
      <c r="G547" s="40">
        <v>0</v>
      </c>
      <c r="H547" s="40">
        <v>0</v>
      </c>
      <c r="I547" s="40">
        <v>0</v>
      </c>
      <c r="J547" s="68"/>
    </row>
    <row r="548" spans="1:10" x14ac:dyDescent="0.2">
      <c r="A548" s="49"/>
      <c r="B548" s="49" t="s">
        <v>36</v>
      </c>
      <c r="C548" s="40">
        <v>0</v>
      </c>
      <c r="D548" s="40">
        <v>0</v>
      </c>
      <c r="E548" s="40">
        <v>0</v>
      </c>
      <c r="F548" s="40"/>
      <c r="G548" s="40">
        <v>0</v>
      </c>
      <c r="H548" s="40">
        <v>0</v>
      </c>
      <c r="I548" s="40">
        <v>0</v>
      </c>
      <c r="J548" s="68"/>
    </row>
    <row r="549" spans="1:10" x14ac:dyDescent="0.2">
      <c r="A549" s="49"/>
      <c r="B549" s="49" t="s">
        <v>36</v>
      </c>
      <c r="C549" s="40">
        <v>0</v>
      </c>
      <c r="D549" s="40">
        <v>0</v>
      </c>
      <c r="E549" s="40">
        <v>0</v>
      </c>
      <c r="F549" s="40"/>
      <c r="G549" s="40">
        <v>0</v>
      </c>
      <c r="H549" s="40">
        <v>0</v>
      </c>
      <c r="I549" s="40">
        <v>0</v>
      </c>
      <c r="J549" s="68"/>
    </row>
    <row r="550" spans="1:10" x14ac:dyDescent="0.2">
      <c r="A550" s="49"/>
      <c r="B550" s="49" t="s">
        <v>36</v>
      </c>
      <c r="C550" s="40">
        <v>0</v>
      </c>
      <c r="D550" s="40">
        <v>0</v>
      </c>
      <c r="E550" s="40">
        <v>0</v>
      </c>
      <c r="F550" s="40"/>
      <c r="G550" s="40">
        <v>0</v>
      </c>
      <c r="H550" s="40">
        <v>0</v>
      </c>
      <c r="I550" s="40">
        <v>0</v>
      </c>
      <c r="J550" s="68"/>
    </row>
    <row r="551" spans="1:10" x14ac:dyDescent="0.2">
      <c r="A551" s="49"/>
      <c r="B551" s="49" t="s">
        <v>36</v>
      </c>
      <c r="C551" s="40">
        <v>0</v>
      </c>
      <c r="D551" s="40">
        <v>0</v>
      </c>
      <c r="E551" s="40">
        <v>0</v>
      </c>
      <c r="F551" s="40"/>
      <c r="G551" s="40">
        <v>0</v>
      </c>
      <c r="H551" s="40">
        <v>0</v>
      </c>
      <c r="I551" s="40">
        <v>0</v>
      </c>
      <c r="J551" s="68"/>
    </row>
    <row r="552" spans="1:10" x14ac:dyDescent="0.2">
      <c r="A552" s="49"/>
      <c r="B552" s="49" t="s">
        <v>36</v>
      </c>
      <c r="C552" s="40">
        <v>0</v>
      </c>
      <c r="D552" s="40">
        <v>0</v>
      </c>
      <c r="E552" s="40">
        <v>0</v>
      </c>
      <c r="F552" s="40"/>
      <c r="G552" s="40">
        <v>0</v>
      </c>
      <c r="H552" s="40">
        <v>0</v>
      </c>
      <c r="I552" s="40">
        <v>0</v>
      </c>
      <c r="J552" s="68"/>
    </row>
    <row r="553" spans="1:10" x14ac:dyDescent="0.2">
      <c r="A553" s="49"/>
      <c r="B553" s="49" t="s">
        <v>36</v>
      </c>
      <c r="C553" s="40">
        <v>0</v>
      </c>
      <c r="D553" s="40">
        <v>0</v>
      </c>
      <c r="E553" s="40">
        <v>0</v>
      </c>
      <c r="F553" s="40"/>
      <c r="G553" s="40">
        <v>0</v>
      </c>
      <c r="H553" s="40">
        <v>0</v>
      </c>
      <c r="I553" s="40">
        <v>0</v>
      </c>
      <c r="J553" s="68"/>
    </row>
    <row r="554" spans="1:10" x14ac:dyDescent="0.2">
      <c r="A554" s="49"/>
      <c r="B554" s="49" t="s">
        <v>36</v>
      </c>
      <c r="C554" s="40">
        <v>0</v>
      </c>
      <c r="D554" s="40">
        <v>0</v>
      </c>
      <c r="E554" s="40">
        <v>0</v>
      </c>
      <c r="F554" s="40"/>
      <c r="G554" s="40">
        <v>0</v>
      </c>
      <c r="H554" s="40">
        <v>0</v>
      </c>
      <c r="I554" s="40">
        <v>0</v>
      </c>
      <c r="J554" s="68"/>
    </row>
    <row r="555" spans="1:10" x14ac:dyDescent="0.2">
      <c r="A555" s="49"/>
      <c r="B555" s="49" t="s">
        <v>36</v>
      </c>
      <c r="C555" s="40">
        <v>0</v>
      </c>
      <c r="D555" s="40">
        <v>0</v>
      </c>
      <c r="E555" s="40">
        <v>0</v>
      </c>
      <c r="F555" s="40"/>
      <c r="G555" s="40">
        <v>0</v>
      </c>
      <c r="H555" s="40">
        <v>0</v>
      </c>
      <c r="I555" s="40">
        <v>0</v>
      </c>
      <c r="J555" s="68"/>
    </row>
    <row r="556" spans="1:10" x14ac:dyDescent="0.2">
      <c r="A556" s="49"/>
      <c r="B556" s="49" t="s">
        <v>36</v>
      </c>
      <c r="C556" s="40">
        <v>0</v>
      </c>
      <c r="D556" s="40">
        <v>0</v>
      </c>
      <c r="E556" s="40">
        <v>0</v>
      </c>
      <c r="F556" s="40"/>
      <c r="G556" s="40">
        <v>0</v>
      </c>
      <c r="H556" s="40">
        <v>0</v>
      </c>
      <c r="I556" s="40">
        <v>0</v>
      </c>
      <c r="J556" s="68"/>
    </row>
    <row r="557" spans="1:10" x14ac:dyDescent="0.2">
      <c r="A557" s="49"/>
      <c r="B557" s="49" t="s">
        <v>36</v>
      </c>
      <c r="C557" s="40">
        <v>0</v>
      </c>
      <c r="D557" s="40">
        <v>0</v>
      </c>
      <c r="E557" s="40">
        <v>0</v>
      </c>
      <c r="F557" s="40"/>
      <c r="G557" s="40">
        <v>0</v>
      </c>
      <c r="H557" s="40">
        <v>0</v>
      </c>
      <c r="I557" s="40">
        <v>0</v>
      </c>
      <c r="J557" s="68"/>
    </row>
    <row r="558" spans="1:10" x14ac:dyDescent="0.2">
      <c r="A558" s="49"/>
      <c r="B558" s="49" t="s">
        <v>36</v>
      </c>
      <c r="C558" s="40">
        <v>0</v>
      </c>
      <c r="D558" s="40">
        <v>0</v>
      </c>
      <c r="E558" s="40">
        <v>0</v>
      </c>
      <c r="F558" s="40"/>
      <c r="G558" s="40">
        <v>0</v>
      </c>
      <c r="H558" s="40">
        <v>0</v>
      </c>
      <c r="I558" s="40">
        <v>0</v>
      </c>
      <c r="J558" s="68"/>
    </row>
    <row r="559" spans="1:10" x14ac:dyDescent="0.2">
      <c r="A559" s="49"/>
      <c r="B559" s="49" t="s">
        <v>36</v>
      </c>
      <c r="C559" s="40">
        <v>0</v>
      </c>
      <c r="D559" s="40">
        <v>0</v>
      </c>
      <c r="E559" s="40">
        <v>0</v>
      </c>
      <c r="F559" s="40"/>
      <c r="G559" s="40">
        <v>0</v>
      </c>
      <c r="H559" s="40">
        <v>0</v>
      </c>
      <c r="I559" s="40">
        <v>0</v>
      </c>
      <c r="J559" s="68"/>
    </row>
    <row r="560" spans="1:10" x14ac:dyDescent="0.2">
      <c r="A560" s="49"/>
      <c r="B560" s="49" t="s">
        <v>36</v>
      </c>
      <c r="C560" s="40">
        <v>0</v>
      </c>
      <c r="D560" s="40">
        <v>0</v>
      </c>
      <c r="E560" s="40">
        <v>0</v>
      </c>
      <c r="F560" s="40"/>
      <c r="G560" s="40">
        <v>0</v>
      </c>
      <c r="H560" s="40">
        <v>0</v>
      </c>
      <c r="I560" s="40">
        <v>0</v>
      </c>
      <c r="J560" s="68"/>
    </row>
    <row r="561" spans="1:10" x14ac:dyDescent="0.2">
      <c r="A561" s="49"/>
      <c r="B561" s="49" t="s">
        <v>36</v>
      </c>
      <c r="C561" s="40">
        <v>0</v>
      </c>
      <c r="D561" s="40">
        <v>0</v>
      </c>
      <c r="E561" s="40">
        <v>0</v>
      </c>
      <c r="F561" s="40"/>
      <c r="G561" s="40">
        <v>0</v>
      </c>
      <c r="H561" s="40">
        <v>0</v>
      </c>
      <c r="I561" s="40">
        <v>0</v>
      </c>
      <c r="J561" s="68"/>
    </row>
    <row r="562" spans="1:10" x14ac:dyDescent="0.2">
      <c r="A562" s="49"/>
      <c r="B562" s="49" t="s">
        <v>36</v>
      </c>
      <c r="C562" s="40">
        <v>0</v>
      </c>
      <c r="D562" s="40">
        <v>0</v>
      </c>
      <c r="E562" s="40">
        <v>0</v>
      </c>
      <c r="F562" s="40"/>
      <c r="G562" s="40">
        <v>0</v>
      </c>
      <c r="H562" s="40">
        <v>0</v>
      </c>
      <c r="I562" s="40">
        <v>0</v>
      </c>
      <c r="J562" s="68"/>
    </row>
    <row r="563" spans="1:10" x14ac:dyDescent="0.2">
      <c r="A563" s="49"/>
      <c r="B563" s="49" t="s">
        <v>36</v>
      </c>
      <c r="C563" s="40">
        <v>0</v>
      </c>
      <c r="D563" s="40">
        <v>0</v>
      </c>
      <c r="E563" s="40">
        <v>0</v>
      </c>
      <c r="F563" s="40"/>
      <c r="G563" s="40">
        <v>0</v>
      </c>
      <c r="H563" s="40">
        <v>0</v>
      </c>
      <c r="I563" s="40">
        <v>0</v>
      </c>
      <c r="J563" s="68"/>
    </row>
    <row r="564" spans="1:10" x14ac:dyDescent="0.2">
      <c r="A564" s="49"/>
      <c r="B564" s="49" t="s">
        <v>36</v>
      </c>
      <c r="C564" s="40">
        <v>0</v>
      </c>
      <c r="D564" s="40">
        <v>0</v>
      </c>
      <c r="E564" s="40">
        <v>0</v>
      </c>
      <c r="F564" s="40"/>
      <c r="G564" s="40">
        <v>0</v>
      </c>
      <c r="H564" s="40">
        <v>0</v>
      </c>
      <c r="I564" s="40">
        <v>0</v>
      </c>
      <c r="J564" s="68"/>
    </row>
    <row r="565" spans="1:10" x14ac:dyDescent="0.2">
      <c r="A565" s="49"/>
      <c r="B565" s="49" t="s">
        <v>36</v>
      </c>
      <c r="C565" s="40">
        <v>0</v>
      </c>
      <c r="D565" s="40">
        <v>0</v>
      </c>
      <c r="E565" s="40">
        <v>0</v>
      </c>
      <c r="F565" s="40"/>
      <c r="G565" s="40">
        <v>0</v>
      </c>
      <c r="H565" s="40">
        <v>0</v>
      </c>
      <c r="I565" s="40">
        <v>0</v>
      </c>
      <c r="J565" s="68"/>
    </row>
    <row r="566" spans="1:10" x14ac:dyDescent="0.2">
      <c r="A566" s="49"/>
      <c r="B566" s="49" t="s">
        <v>36</v>
      </c>
      <c r="C566" s="40">
        <v>0</v>
      </c>
      <c r="D566" s="40">
        <v>0</v>
      </c>
      <c r="E566" s="40">
        <v>0</v>
      </c>
      <c r="F566" s="40"/>
      <c r="G566" s="40">
        <v>0</v>
      </c>
      <c r="H566" s="40">
        <v>0</v>
      </c>
      <c r="I566" s="40">
        <v>0</v>
      </c>
      <c r="J566" s="68"/>
    </row>
    <row r="567" spans="1:10" x14ac:dyDescent="0.2">
      <c r="A567" s="49"/>
      <c r="B567" s="49" t="s">
        <v>36</v>
      </c>
      <c r="C567" s="40">
        <v>0</v>
      </c>
      <c r="D567" s="40">
        <v>0</v>
      </c>
      <c r="E567" s="40">
        <v>0</v>
      </c>
      <c r="F567" s="40"/>
      <c r="G567" s="40">
        <v>0</v>
      </c>
      <c r="H567" s="40">
        <v>0</v>
      </c>
      <c r="I567" s="40">
        <v>0</v>
      </c>
      <c r="J567" s="68"/>
    </row>
    <row r="568" spans="1:10" x14ac:dyDescent="0.2">
      <c r="A568" s="49"/>
      <c r="B568" s="49" t="s">
        <v>36</v>
      </c>
      <c r="C568" s="40">
        <v>0</v>
      </c>
      <c r="D568" s="40">
        <v>0</v>
      </c>
      <c r="E568" s="40">
        <v>0</v>
      </c>
      <c r="F568" s="40"/>
      <c r="G568" s="40">
        <v>0</v>
      </c>
      <c r="H568" s="40">
        <v>0</v>
      </c>
      <c r="I568" s="40">
        <v>0</v>
      </c>
      <c r="J568" s="68"/>
    </row>
    <row r="569" spans="1:10" x14ac:dyDescent="0.2">
      <c r="A569" s="49"/>
      <c r="B569" s="49" t="s">
        <v>36</v>
      </c>
      <c r="C569" s="40">
        <v>0</v>
      </c>
      <c r="D569" s="40">
        <v>0</v>
      </c>
      <c r="E569" s="40">
        <v>0</v>
      </c>
      <c r="F569" s="40"/>
      <c r="G569" s="40">
        <v>0</v>
      </c>
      <c r="H569" s="40">
        <v>0</v>
      </c>
      <c r="I569" s="40">
        <v>0</v>
      </c>
      <c r="J569" s="68"/>
    </row>
    <row r="570" spans="1:10" x14ac:dyDescent="0.2">
      <c r="A570" s="49"/>
      <c r="B570" s="49" t="s">
        <v>36</v>
      </c>
      <c r="C570" s="40">
        <v>0</v>
      </c>
      <c r="D570" s="40">
        <v>0</v>
      </c>
      <c r="E570" s="40">
        <v>0</v>
      </c>
      <c r="F570" s="40"/>
      <c r="G570" s="40">
        <v>0</v>
      </c>
      <c r="H570" s="40">
        <v>0</v>
      </c>
      <c r="I570" s="40">
        <v>0</v>
      </c>
      <c r="J570" s="68"/>
    </row>
    <row r="571" spans="1:10" x14ac:dyDescent="0.2">
      <c r="A571" s="49"/>
      <c r="B571" s="49" t="s">
        <v>36</v>
      </c>
      <c r="C571" s="40">
        <v>0</v>
      </c>
      <c r="D571" s="40">
        <v>0</v>
      </c>
      <c r="E571" s="40">
        <v>0</v>
      </c>
      <c r="F571" s="40"/>
      <c r="G571" s="40">
        <v>0</v>
      </c>
      <c r="H571" s="40">
        <v>0</v>
      </c>
      <c r="I571" s="40">
        <v>0</v>
      </c>
      <c r="J571" s="68"/>
    </row>
    <row r="572" spans="1:10" x14ac:dyDescent="0.2">
      <c r="A572" s="49"/>
      <c r="B572" s="49" t="s">
        <v>36</v>
      </c>
      <c r="C572" s="40">
        <v>0</v>
      </c>
      <c r="D572" s="40">
        <v>0</v>
      </c>
      <c r="E572" s="40">
        <v>0</v>
      </c>
      <c r="F572" s="40"/>
      <c r="G572" s="40">
        <v>0</v>
      </c>
      <c r="H572" s="40">
        <v>0</v>
      </c>
      <c r="I572" s="40">
        <v>0</v>
      </c>
      <c r="J572" s="68"/>
    </row>
    <row r="573" spans="1:10" x14ac:dyDescent="0.2">
      <c r="A573" s="49"/>
      <c r="B573" s="49" t="s">
        <v>36</v>
      </c>
      <c r="C573" s="40">
        <v>0</v>
      </c>
      <c r="D573" s="40">
        <v>0</v>
      </c>
      <c r="E573" s="40">
        <v>0</v>
      </c>
      <c r="F573" s="40"/>
      <c r="G573" s="40">
        <v>0</v>
      </c>
      <c r="H573" s="40">
        <v>0</v>
      </c>
      <c r="I573" s="40">
        <v>0</v>
      </c>
      <c r="J573" s="68"/>
    </row>
    <row r="574" spans="1:10" x14ac:dyDescent="0.2">
      <c r="A574" s="49"/>
      <c r="B574" s="49" t="s">
        <v>36</v>
      </c>
      <c r="C574" s="40">
        <v>0</v>
      </c>
      <c r="D574" s="40">
        <v>0</v>
      </c>
      <c r="E574" s="40">
        <v>0</v>
      </c>
      <c r="F574" s="40"/>
      <c r="G574" s="40">
        <v>0</v>
      </c>
      <c r="H574" s="40">
        <v>0</v>
      </c>
      <c r="I574" s="40">
        <v>0</v>
      </c>
      <c r="J574" s="68"/>
    </row>
    <row r="575" spans="1:10" x14ac:dyDescent="0.2">
      <c r="A575" s="49"/>
      <c r="B575" s="49" t="s">
        <v>36</v>
      </c>
      <c r="C575" s="40">
        <v>0</v>
      </c>
      <c r="D575" s="40">
        <v>0</v>
      </c>
      <c r="E575" s="40">
        <v>0</v>
      </c>
      <c r="F575" s="40"/>
      <c r="G575" s="40">
        <v>0</v>
      </c>
      <c r="H575" s="40">
        <v>0</v>
      </c>
      <c r="I575" s="40">
        <v>0</v>
      </c>
      <c r="J575" s="68"/>
    </row>
    <row r="576" spans="1:10" x14ac:dyDescent="0.2">
      <c r="A576" s="49"/>
      <c r="B576" s="49" t="s">
        <v>36</v>
      </c>
      <c r="C576" s="40">
        <v>0</v>
      </c>
      <c r="D576" s="40">
        <v>0</v>
      </c>
      <c r="E576" s="40">
        <v>0</v>
      </c>
      <c r="F576" s="40"/>
      <c r="G576" s="40">
        <v>0</v>
      </c>
      <c r="H576" s="40">
        <v>0</v>
      </c>
      <c r="I576" s="40">
        <v>0</v>
      </c>
      <c r="J576" s="68"/>
    </row>
    <row r="577" spans="1:10" x14ac:dyDescent="0.2">
      <c r="A577" s="49"/>
      <c r="B577" s="49" t="s">
        <v>36</v>
      </c>
      <c r="C577" s="40">
        <v>0</v>
      </c>
      <c r="D577" s="40">
        <v>0</v>
      </c>
      <c r="E577" s="40">
        <v>0</v>
      </c>
      <c r="F577" s="40"/>
      <c r="G577" s="40">
        <v>0</v>
      </c>
      <c r="H577" s="40">
        <v>0</v>
      </c>
      <c r="I577" s="40">
        <v>0</v>
      </c>
      <c r="J577" s="68"/>
    </row>
    <row r="578" spans="1:10" x14ac:dyDescent="0.2">
      <c r="A578" s="49"/>
      <c r="B578" s="49" t="s">
        <v>36</v>
      </c>
      <c r="C578" s="40">
        <v>0</v>
      </c>
      <c r="D578" s="40">
        <v>0</v>
      </c>
      <c r="E578" s="40">
        <v>0</v>
      </c>
      <c r="F578" s="40"/>
      <c r="G578" s="40">
        <v>0</v>
      </c>
      <c r="H578" s="40">
        <v>0</v>
      </c>
      <c r="I578" s="40">
        <v>0</v>
      </c>
      <c r="J578" s="68"/>
    </row>
    <row r="579" spans="1:10" x14ac:dyDescent="0.2">
      <c r="A579" s="49"/>
      <c r="B579" s="49" t="s">
        <v>36</v>
      </c>
      <c r="C579" s="40">
        <v>0</v>
      </c>
      <c r="D579" s="40">
        <v>0</v>
      </c>
      <c r="E579" s="40">
        <v>0</v>
      </c>
      <c r="F579" s="40"/>
      <c r="G579" s="40">
        <v>0</v>
      </c>
      <c r="H579" s="40">
        <v>0</v>
      </c>
      <c r="I579" s="40">
        <v>0</v>
      </c>
      <c r="J579" s="68"/>
    </row>
    <row r="580" spans="1:10" x14ac:dyDescent="0.2">
      <c r="A580" s="49"/>
      <c r="B580" s="49" t="s">
        <v>36</v>
      </c>
      <c r="C580" s="40">
        <v>0</v>
      </c>
      <c r="D580" s="40">
        <v>0</v>
      </c>
      <c r="E580" s="40">
        <v>0</v>
      </c>
      <c r="F580" s="40"/>
      <c r="G580" s="40">
        <v>0</v>
      </c>
      <c r="H580" s="40">
        <v>0</v>
      </c>
      <c r="I580" s="40">
        <v>0</v>
      </c>
      <c r="J580" s="68"/>
    </row>
    <row r="581" spans="1:10" x14ac:dyDescent="0.2">
      <c r="A581" s="49"/>
      <c r="B581" s="49" t="s">
        <v>36</v>
      </c>
      <c r="C581" s="40">
        <v>0</v>
      </c>
      <c r="D581" s="40">
        <v>0</v>
      </c>
      <c r="E581" s="40">
        <v>0</v>
      </c>
      <c r="F581" s="40"/>
      <c r="G581" s="40">
        <v>0</v>
      </c>
      <c r="H581" s="40">
        <v>0</v>
      </c>
      <c r="I581" s="40">
        <v>0</v>
      </c>
      <c r="J581" s="68"/>
    </row>
    <row r="582" spans="1:10" x14ac:dyDescent="0.2">
      <c r="A582" s="49"/>
      <c r="B582" s="49" t="s">
        <v>36</v>
      </c>
      <c r="C582" s="40">
        <v>0</v>
      </c>
      <c r="D582" s="40">
        <v>0</v>
      </c>
      <c r="E582" s="40">
        <v>0</v>
      </c>
      <c r="F582" s="40"/>
      <c r="G582" s="40">
        <v>0</v>
      </c>
      <c r="H582" s="40">
        <v>0</v>
      </c>
      <c r="I582" s="40">
        <v>0</v>
      </c>
      <c r="J582" s="68"/>
    </row>
    <row r="583" spans="1:10" x14ac:dyDescent="0.2">
      <c r="A583" s="49"/>
      <c r="B583" s="49" t="s">
        <v>36</v>
      </c>
      <c r="C583" s="40">
        <v>0</v>
      </c>
      <c r="D583" s="40">
        <v>0</v>
      </c>
      <c r="E583" s="40">
        <v>0</v>
      </c>
      <c r="F583" s="40"/>
      <c r="G583" s="40">
        <v>0</v>
      </c>
      <c r="H583" s="40">
        <v>0</v>
      </c>
      <c r="I583" s="40">
        <v>0</v>
      </c>
      <c r="J583" s="68"/>
    </row>
    <row r="584" spans="1:10" x14ac:dyDescent="0.2">
      <c r="A584" s="49"/>
      <c r="B584" s="49" t="s">
        <v>36</v>
      </c>
      <c r="C584" s="40">
        <v>0</v>
      </c>
      <c r="D584" s="40">
        <v>0</v>
      </c>
      <c r="E584" s="40">
        <v>0</v>
      </c>
      <c r="F584" s="40"/>
      <c r="G584" s="40">
        <v>0</v>
      </c>
      <c r="H584" s="40">
        <v>0</v>
      </c>
      <c r="I584" s="40">
        <v>0</v>
      </c>
      <c r="J584" s="68"/>
    </row>
    <row r="585" spans="1:10" x14ac:dyDescent="0.2">
      <c r="A585" s="49"/>
      <c r="B585" s="49" t="s">
        <v>36</v>
      </c>
      <c r="C585" s="40">
        <v>0</v>
      </c>
      <c r="D585" s="40">
        <v>0</v>
      </c>
      <c r="E585" s="40">
        <v>0</v>
      </c>
      <c r="F585" s="40"/>
      <c r="G585" s="40">
        <v>0</v>
      </c>
      <c r="H585" s="40">
        <v>0</v>
      </c>
      <c r="I585" s="40">
        <v>0</v>
      </c>
      <c r="J585" s="68"/>
    </row>
    <row r="586" spans="1:10" x14ac:dyDescent="0.2">
      <c r="A586" s="49"/>
      <c r="B586" s="49" t="s">
        <v>36</v>
      </c>
      <c r="C586" s="40">
        <v>0</v>
      </c>
      <c r="D586" s="40">
        <v>0</v>
      </c>
      <c r="E586" s="40">
        <v>0</v>
      </c>
      <c r="F586" s="40"/>
      <c r="G586" s="40">
        <v>0</v>
      </c>
      <c r="H586" s="40">
        <v>0</v>
      </c>
      <c r="I586" s="40">
        <v>0</v>
      </c>
      <c r="J586" s="68"/>
    </row>
    <row r="587" spans="1:10" x14ac:dyDescent="0.2">
      <c r="A587" s="49"/>
      <c r="B587" s="49" t="s">
        <v>36</v>
      </c>
      <c r="C587" s="40">
        <v>0</v>
      </c>
      <c r="D587" s="40">
        <v>0</v>
      </c>
      <c r="E587" s="40">
        <v>0</v>
      </c>
      <c r="F587" s="40"/>
      <c r="G587" s="40">
        <v>0</v>
      </c>
      <c r="H587" s="40">
        <v>0</v>
      </c>
      <c r="I587" s="40">
        <v>0</v>
      </c>
      <c r="J587" s="68"/>
    </row>
    <row r="588" spans="1:10" x14ac:dyDescent="0.2">
      <c r="A588" s="49"/>
      <c r="B588" s="49" t="s">
        <v>36</v>
      </c>
      <c r="C588" s="40">
        <v>0</v>
      </c>
      <c r="D588" s="40">
        <v>0</v>
      </c>
      <c r="E588" s="40">
        <v>0</v>
      </c>
      <c r="F588" s="40"/>
      <c r="G588" s="40">
        <v>0</v>
      </c>
      <c r="H588" s="40">
        <v>0</v>
      </c>
      <c r="I588" s="40">
        <v>0</v>
      </c>
      <c r="J588" s="68"/>
    </row>
    <row r="589" spans="1:10" x14ac:dyDescent="0.2">
      <c r="A589" s="49"/>
      <c r="B589" s="49" t="s">
        <v>36</v>
      </c>
      <c r="C589" s="40">
        <v>0</v>
      </c>
      <c r="D589" s="40">
        <v>0</v>
      </c>
      <c r="E589" s="40">
        <v>0</v>
      </c>
      <c r="F589" s="40"/>
      <c r="G589" s="40">
        <v>0</v>
      </c>
      <c r="H589" s="40">
        <v>0</v>
      </c>
      <c r="I589" s="40">
        <v>0</v>
      </c>
      <c r="J589" s="68"/>
    </row>
    <row r="590" spans="1:10" x14ac:dyDescent="0.2">
      <c r="A590" s="49"/>
      <c r="B590" s="49" t="s">
        <v>36</v>
      </c>
      <c r="C590" s="40">
        <v>0</v>
      </c>
      <c r="D590" s="40">
        <v>0</v>
      </c>
      <c r="E590" s="40">
        <v>0</v>
      </c>
      <c r="F590" s="40"/>
      <c r="G590" s="40">
        <v>0</v>
      </c>
      <c r="H590" s="40">
        <v>0</v>
      </c>
      <c r="I590" s="40">
        <v>0</v>
      </c>
      <c r="J590" s="68"/>
    </row>
    <row r="591" spans="1:10" x14ac:dyDescent="0.2">
      <c r="A591" s="49"/>
      <c r="B591" s="49" t="s">
        <v>36</v>
      </c>
      <c r="C591" s="40">
        <v>0</v>
      </c>
      <c r="D591" s="40">
        <v>0</v>
      </c>
      <c r="E591" s="40">
        <v>0</v>
      </c>
      <c r="F591" s="40"/>
      <c r="G591" s="40">
        <v>0</v>
      </c>
      <c r="H591" s="40">
        <v>0</v>
      </c>
      <c r="I591" s="40">
        <v>0</v>
      </c>
      <c r="J591" s="68"/>
    </row>
    <row r="592" spans="1:10" x14ac:dyDescent="0.2">
      <c r="A592" s="49"/>
      <c r="B592" s="49" t="s">
        <v>36</v>
      </c>
      <c r="C592" s="40">
        <v>0</v>
      </c>
      <c r="D592" s="40">
        <v>0</v>
      </c>
      <c r="E592" s="40">
        <v>0</v>
      </c>
      <c r="F592" s="40"/>
      <c r="G592" s="40">
        <v>0</v>
      </c>
      <c r="H592" s="40">
        <v>0</v>
      </c>
      <c r="I592" s="40">
        <v>0</v>
      </c>
      <c r="J592" s="68"/>
    </row>
    <row r="593" spans="1:10" x14ac:dyDescent="0.2">
      <c r="A593" s="49"/>
      <c r="B593" s="49" t="s">
        <v>36</v>
      </c>
      <c r="C593" s="40">
        <v>0</v>
      </c>
      <c r="D593" s="40">
        <v>0</v>
      </c>
      <c r="E593" s="40">
        <v>0</v>
      </c>
      <c r="F593" s="40"/>
      <c r="G593" s="40">
        <v>0</v>
      </c>
      <c r="H593" s="40">
        <v>0</v>
      </c>
      <c r="I593" s="40">
        <v>0</v>
      </c>
      <c r="J593" s="68"/>
    </row>
    <row r="594" spans="1:10" x14ac:dyDescent="0.2">
      <c r="A594" s="49"/>
      <c r="B594" s="49" t="s">
        <v>36</v>
      </c>
      <c r="C594" s="40">
        <v>0</v>
      </c>
      <c r="D594" s="40">
        <v>0</v>
      </c>
      <c r="E594" s="40">
        <v>0</v>
      </c>
      <c r="F594" s="40"/>
      <c r="G594" s="40">
        <v>0</v>
      </c>
      <c r="H594" s="40">
        <v>0</v>
      </c>
      <c r="I594" s="40">
        <v>0</v>
      </c>
      <c r="J594" s="68"/>
    </row>
    <row r="595" spans="1:10" x14ac:dyDescent="0.2">
      <c r="A595" s="49"/>
      <c r="B595" s="49" t="s">
        <v>36</v>
      </c>
      <c r="C595" s="40">
        <v>0</v>
      </c>
      <c r="D595" s="40">
        <v>0</v>
      </c>
      <c r="E595" s="40">
        <v>0</v>
      </c>
      <c r="F595" s="40"/>
      <c r="G595" s="40">
        <v>0</v>
      </c>
      <c r="H595" s="40">
        <v>0</v>
      </c>
      <c r="I595" s="40">
        <v>0</v>
      </c>
      <c r="J595" s="68"/>
    </row>
    <row r="596" spans="1:10" x14ac:dyDescent="0.2">
      <c r="A596" s="49"/>
      <c r="B596" s="49" t="s">
        <v>36</v>
      </c>
      <c r="C596" s="40">
        <v>0</v>
      </c>
      <c r="D596" s="40">
        <v>0</v>
      </c>
      <c r="E596" s="40">
        <v>0</v>
      </c>
      <c r="F596" s="40"/>
      <c r="G596" s="40">
        <v>0</v>
      </c>
      <c r="H596" s="40">
        <v>0</v>
      </c>
      <c r="I596" s="40">
        <v>0</v>
      </c>
      <c r="J596" s="68"/>
    </row>
    <row r="597" spans="1:10" x14ac:dyDescent="0.2">
      <c r="A597" s="49"/>
      <c r="B597" s="49" t="s">
        <v>36</v>
      </c>
      <c r="C597" s="40">
        <v>0</v>
      </c>
      <c r="D597" s="40">
        <v>0</v>
      </c>
      <c r="E597" s="40">
        <v>0</v>
      </c>
      <c r="F597" s="40"/>
      <c r="G597" s="40">
        <v>0</v>
      </c>
      <c r="H597" s="40">
        <v>0</v>
      </c>
      <c r="I597" s="40">
        <v>0</v>
      </c>
      <c r="J597" s="68"/>
    </row>
    <row r="598" spans="1:10" x14ac:dyDescent="0.2">
      <c r="A598" s="49"/>
      <c r="B598" s="49" t="s">
        <v>36</v>
      </c>
      <c r="C598" s="40">
        <v>0</v>
      </c>
      <c r="D598" s="40">
        <v>0</v>
      </c>
      <c r="E598" s="40">
        <v>0</v>
      </c>
      <c r="F598" s="40"/>
      <c r="G598" s="40">
        <v>0</v>
      </c>
      <c r="H598" s="40">
        <v>0</v>
      </c>
      <c r="I598" s="40">
        <v>0</v>
      </c>
      <c r="J598" s="68"/>
    </row>
    <row r="599" spans="1:10" x14ac:dyDescent="0.2">
      <c r="A599" s="49"/>
      <c r="B599" s="49" t="s">
        <v>36</v>
      </c>
      <c r="C599" s="40">
        <v>0</v>
      </c>
      <c r="D599" s="40">
        <v>0</v>
      </c>
      <c r="E599" s="40">
        <v>0</v>
      </c>
      <c r="F599" s="40"/>
      <c r="G599" s="40">
        <v>0</v>
      </c>
      <c r="H599" s="40">
        <v>0</v>
      </c>
      <c r="I599" s="40">
        <v>0</v>
      </c>
      <c r="J599" s="68"/>
    </row>
  </sheetData>
  <autoFilter ref="A6:B54" xr:uid="{00000000-0009-0000-0000-000001000000}"/>
  <mergeCells count="1">
    <mergeCell ref="C5:J5"/>
  </mergeCells>
  <conditionalFormatting sqref="A7:B1000">
    <cfRule type="expression" dxfId="71" priority="9">
      <formula>IF($B7="total",TRUE,FALSE)</formula>
    </cfRule>
    <cfRule type="expression" dxfId="70" priority="10">
      <formula>IF(AND($A7&gt;0,ISEVEN($A7)),TRUE,FALSE)</formula>
    </cfRule>
    <cfRule type="expression" dxfId="69" priority="11">
      <formula>IF(AND($A7&gt;0,ISODD($A7)),TRUE,FALSE)</formula>
    </cfRule>
  </conditionalFormatting>
  <conditionalFormatting sqref="A7:C1000">
    <cfRule type="cellIs" dxfId="68" priority="1" operator="equal">
      <formula>0</formula>
    </cfRule>
    <cfRule type="expression" dxfId="67" priority="2">
      <formula>IF($B7="total",TRUE,FALSE)</formula>
    </cfRule>
  </conditionalFormatting>
  <conditionalFormatting sqref="C7:C1000">
    <cfRule type="cellIs" dxfId="66" priority="5" operator="between">
      <formula>0.0000000000001</formula>
      <formula>0.499999999999</formula>
    </cfRule>
    <cfRule type="cellIs" dxfId="65" priority="6" operator="between">
      <formula>-0.0000000000000001</formula>
      <formula>-0.49999999999999</formula>
    </cfRule>
  </conditionalFormatting>
  <conditionalFormatting sqref="C144:I599">
    <cfRule type="cellIs" dxfId="64" priority="66" operator="between">
      <formula>0.00000000000001</formula>
      <formula>0.4999999999999</formula>
    </cfRule>
  </conditionalFormatting>
  <conditionalFormatting sqref="D7:I143">
    <cfRule type="cellIs" dxfId="63" priority="35" operator="equal">
      <formula>0</formula>
    </cfRule>
    <cfRule type="cellIs" dxfId="62" priority="36" operator="between">
      <formula>-0.0000000000000001</formula>
      <formula>-0.49999999999999</formula>
    </cfRule>
    <cfRule type="cellIs" dxfId="61" priority="37" operator="between">
      <formula>0.0000000000001</formula>
      <formula>0.499999999999</formula>
    </cfRule>
    <cfRule type="expression" dxfId="60" priority="38">
      <formula>IF($B7="total",TRUE,FALSE)</formula>
    </cfRule>
  </conditionalFormatting>
  <conditionalFormatting sqref="J7:J1000">
    <cfRule type="cellIs" dxfId="59" priority="16" operator="equal">
      <formula>0</formula>
    </cfRule>
    <cfRule type="expression" dxfId="58" priority="17">
      <formula>IF($B7="total",TRUE,FALSE)</formula>
    </cfRule>
    <cfRule type="expression" dxfId="57" priority="18">
      <formula>IF(AND($A7&gt;0,ISEVEN($A7)),TRUE,FALSE)</formula>
    </cfRule>
    <cfRule type="expression" dxfId="56" priority="19">
      <formula>IF(AND($A7&gt;0,ISODD($A7)),TRUE,FALSE)</formula>
    </cfRule>
    <cfRule type="cellIs" dxfId="55" priority="20" operator="between">
      <formula>0.0000000000001</formula>
      <formula>0.499999999999</formula>
    </cfRule>
    <cfRule type="cellIs" dxfId="54" priority="21" operator="between">
      <formula>-0.0000000000000001</formula>
      <formula>-0.49999999999999</formula>
    </cfRule>
  </conditionalFormatting>
  <conditionalFormatting sqref="K75">
    <cfRule type="cellIs" dxfId="53" priority="142" operator="between">
      <formula>0.00000000000001</formula>
      <formula>0.4999999999999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6"/>
  </sheetPr>
  <dimension ref="A1:Z1000"/>
  <sheetViews>
    <sheetView zoomScaleNormal="100" workbookViewId="0">
      <pane xSplit="2" ySplit="6" topLeftCell="C190" activePane="bottomRight" state="frozen"/>
      <selection activeCell="A150" sqref="A150"/>
      <selection pane="topRight" activeCell="A150" sqref="A150"/>
      <selection pane="bottomLeft" activeCell="A150" sqref="A150"/>
      <selection pane="bottomRight" activeCell="A215" sqref="A215"/>
    </sheetView>
  </sheetViews>
  <sheetFormatPr baseColWidth="10" defaultColWidth="11.42578125" defaultRowHeight="15" x14ac:dyDescent="0.25"/>
  <cols>
    <col min="1" max="2" width="10.7109375" customWidth="1"/>
    <col min="3" max="3" width="9.42578125" customWidth="1"/>
    <col min="4" max="9" width="10.7109375" customWidth="1"/>
    <col min="10" max="10" width="16.42578125" customWidth="1"/>
    <col min="11" max="11" width="9.42578125" customWidth="1"/>
  </cols>
  <sheetData>
    <row r="1" spans="1:12" ht="22.5" customHeight="1" x14ac:dyDescent="0.25"/>
    <row r="2" spans="1:12" ht="22.5" customHeight="1" x14ac:dyDescent="0.25"/>
    <row r="3" spans="1:12" ht="24.6" customHeight="1" x14ac:dyDescent="0.25">
      <c r="B3" s="2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36"/>
      <c r="K3" s="36"/>
    </row>
    <row r="4" spans="1:12" ht="15" customHeight="1" x14ac:dyDescent="0.25">
      <c r="A4" s="20" t="str">
        <f>Inicio!$A$17</f>
        <v>Actualizado el 13-07-2026</v>
      </c>
      <c r="B4" s="4"/>
      <c r="C4" s="4"/>
      <c r="D4" s="4"/>
      <c r="E4" s="4"/>
      <c r="F4" s="4"/>
      <c r="G4" s="4"/>
      <c r="H4" s="4"/>
      <c r="I4" s="4"/>
      <c r="J4" s="12" t="s">
        <v>16</v>
      </c>
      <c r="K4" s="4"/>
    </row>
    <row r="5" spans="1:12" ht="18.75" customHeight="1" thickBot="1" x14ac:dyDescent="0.3">
      <c r="A5" s="17"/>
      <c r="B5" s="16"/>
      <c r="C5" s="106" t="s">
        <v>37</v>
      </c>
      <c r="D5" s="106"/>
      <c r="E5" s="106"/>
      <c r="F5" s="106"/>
      <c r="G5" s="106"/>
      <c r="H5" s="106"/>
      <c r="I5" s="106"/>
      <c r="J5" s="106"/>
      <c r="K5" s="37"/>
    </row>
    <row r="6" spans="1:12" ht="44.25" customHeight="1" thickTop="1" x14ac:dyDescent="0.25">
      <c r="A6" s="62" t="s">
        <v>1</v>
      </c>
      <c r="B6" s="69" t="s">
        <v>2</v>
      </c>
      <c r="C6" s="70" t="s">
        <v>25</v>
      </c>
      <c r="D6" s="71" t="s">
        <v>26</v>
      </c>
      <c r="E6" s="71" t="s">
        <v>27</v>
      </c>
      <c r="F6" s="71" t="s">
        <v>28</v>
      </c>
      <c r="G6" s="71" t="s">
        <v>29</v>
      </c>
      <c r="H6" s="71" t="s">
        <v>49</v>
      </c>
      <c r="I6" s="71" t="s">
        <v>30</v>
      </c>
      <c r="J6" s="72" t="s">
        <v>38</v>
      </c>
      <c r="K6" s="38"/>
    </row>
    <row r="7" spans="1:12" s="28" customFormat="1" ht="12" customHeight="1" x14ac:dyDescent="0.2">
      <c r="A7" s="49">
        <v>2010</v>
      </c>
      <c r="B7" s="49" t="s">
        <v>3</v>
      </c>
      <c r="C7" s="65"/>
      <c r="D7" s="60"/>
      <c r="E7" s="60"/>
      <c r="F7" s="60"/>
      <c r="G7" s="60"/>
      <c r="H7" s="60"/>
      <c r="I7" s="60"/>
      <c r="J7" s="65">
        <f t="shared" ref="J7:J38" si="0">SUM(C7:I7)</f>
        <v>0</v>
      </c>
      <c r="K7" s="73"/>
      <c r="L7" s="73"/>
    </row>
    <row r="8" spans="1:12" s="28" customFormat="1" ht="12" customHeight="1" x14ac:dyDescent="0.2">
      <c r="A8" s="49">
        <v>2010</v>
      </c>
      <c r="B8" s="49" t="s">
        <v>4</v>
      </c>
      <c r="C8" s="60"/>
      <c r="D8" s="60"/>
      <c r="E8" s="60"/>
      <c r="F8" s="60"/>
      <c r="G8" s="60"/>
      <c r="H8" s="60"/>
      <c r="I8" s="60"/>
      <c r="J8" s="65">
        <f t="shared" si="0"/>
        <v>0</v>
      </c>
      <c r="K8" s="73"/>
      <c r="L8" s="73"/>
    </row>
    <row r="9" spans="1:12" s="28" customFormat="1" ht="12" customHeight="1" x14ac:dyDescent="0.2">
      <c r="A9" s="49">
        <v>2010</v>
      </c>
      <c r="B9" s="49" t="s">
        <v>5</v>
      </c>
      <c r="C9" s="60"/>
      <c r="D9" s="60"/>
      <c r="E9" s="60"/>
      <c r="F9" s="60"/>
      <c r="G9" s="60"/>
      <c r="H9" s="60"/>
      <c r="I9" s="60"/>
      <c r="J9" s="65">
        <f t="shared" si="0"/>
        <v>0</v>
      </c>
      <c r="K9" s="73"/>
      <c r="L9" s="73"/>
    </row>
    <row r="10" spans="1:12" s="28" customFormat="1" ht="12" customHeight="1" x14ac:dyDescent="0.2">
      <c r="A10" s="49">
        <v>2010</v>
      </c>
      <c r="B10" s="49" t="s">
        <v>6</v>
      </c>
      <c r="C10" s="60"/>
      <c r="D10" s="60"/>
      <c r="E10" s="60"/>
      <c r="F10" s="60"/>
      <c r="G10" s="60"/>
      <c r="H10" s="60"/>
      <c r="I10" s="60"/>
      <c r="J10" s="65">
        <f t="shared" si="0"/>
        <v>0</v>
      </c>
      <c r="K10" s="73"/>
      <c r="L10" s="73"/>
    </row>
    <row r="11" spans="1:12" s="28" customFormat="1" ht="12" customHeight="1" x14ac:dyDescent="0.2">
      <c r="A11" s="49">
        <v>2010</v>
      </c>
      <c r="B11" s="49" t="s">
        <v>7</v>
      </c>
      <c r="C11" s="60"/>
      <c r="D11" s="60"/>
      <c r="E11" s="60"/>
      <c r="F11" s="60"/>
      <c r="G11" s="60"/>
      <c r="H11" s="60"/>
      <c r="I11" s="60"/>
      <c r="J11" s="65">
        <f t="shared" si="0"/>
        <v>0</v>
      </c>
      <c r="K11" s="73"/>
      <c r="L11" s="73"/>
    </row>
    <row r="12" spans="1:12" s="28" customFormat="1" ht="12" customHeight="1" x14ac:dyDescent="0.2">
      <c r="A12" s="49">
        <v>2010</v>
      </c>
      <c r="B12" s="49" t="s">
        <v>8</v>
      </c>
      <c r="C12" s="60">
        <v>0.215</v>
      </c>
      <c r="D12" s="60"/>
      <c r="E12" s="60">
        <v>0</v>
      </c>
      <c r="F12" s="60">
        <v>0</v>
      </c>
      <c r="G12" s="60">
        <v>0</v>
      </c>
      <c r="H12" s="60"/>
      <c r="I12" s="60">
        <v>0</v>
      </c>
      <c r="J12" s="65">
        <f t="shared" si="0"/>
        <v>0.215</v>
      </c>
      <c r="K12" s="73"/>
      <c r="L12" s="74"/>
    </row>
    <row r="13" spans="1:12" s="28" customFormat="1" ht="12" customHeight="1" x14ac:dyDescent="0.2">
      <c r="A13" s="49">
        <v>2010</v>
      </c>
      <c r="B13" s="49" t="s">
        <v>9</v>
      </c>
      <c r="C13" s="60">
        <v>0.60939999999999994</v>
      </c>
      <c r="D13" s="60"/>
      <c r="E13" s="60">
        <v>0</v>
      </c>
      <c r="F13" s="60">
        <v>0</v>
      </c>
      <c r="G13" s="60">
        <v>0</v>
      </c>
      <c r="H13" s="60"/>
      <c r="I13" s="60">
        <v>0</v>
      </c>
      <c r="J13" s="65">
        <f t="shared" si="0"/>
        <v>0.60939999999999994</v>
      </c>
      <c r="K13" s="73"/>
      <c r="L13" s="74"/>
    </row>
    <row r="14" spans="1:12" s="28" customFormat="1" ht="12" customHeight="1" x14ac:dyDescent="0.2">
      <c r="A14" s="49">
        <v>2010</v>
      </c>
      <c r="B14" s="49" t="s">
        <v>10</v>
      </c>
      <c r="C14" s="60">
        <v>0.51200000000000001</v>
      </c>
      <c r="D14" s="60"/>
      <c r="E14" s="60">
        <v>0</v>
      </c>
      <c r="F14" s="60">
        <v>49.29551</v>
      </c>
      <c r="G14" s="60">
        <v>0</v>
      </c>
      <c r="H14" s="60"/>
      <c r="I14" s="60">
        <v>0</v>
      </c>
      <c r="J14" s="65">
        <f t="shared" si="0"/>
        <v>49.807510000000001</v>
      </c>
      <c r="K14" s="73"/>
      <c r="L14" s="74"/>
    </row>
    <row r="15" spans="1:12" s="28" customFormat="1" ht="12" customHeight="1" x14ac:dyDescent="0.2">
      <c r="A15" s="49">
        <v>2010</v>
      </c>
      <c r="B15" s="49" t="s">
        <v>11</v>
      </c>
      <c r="C15" s="60">
        <v>0.42199999999999999</v>
      </c>
      <c r="D15" s="60"/>
      <c r="E15" s="60">
        <v>0</v>
      </c>
      <c r="F15" s="60">
        <v>0</v>
      </c>
      <c r="G15" s="60">
        <v>0</v>
      </c>
      <c r="H15" s="60"/>
      <c r="I15" s="60">
        <v>0</v>
      </c>
      <c r="J15" s="65">
        <f t="shared" si="0"/>
        <v>0.42199999999999999</v>
      </c>
      <c r="K15" s="73"/>
      <c r="L15" s="74"/>
    </row>
    <row r="16" spans="1:12" s="28" customFormat="1" ht="12" customHeight="1" x14ac:dyDescent="0.2">
      <c r="A16" s="49">
        <v>2010</v>
      </c>
      <c r="B16" s="49" t="s">
        <v>12</v>
      </c>
      <c r="C16" s="60">
        <v>0.21199999999999999</v>
      </c>
      <c r="D16" s="60"/>
      <c r="E16" s="60">
        <v>0</v>
      </c>
      <c r="F16" s="60">
        <v>0</v>
      </c>
      <c r="G16" s="60">
        <v>0</v>
      </c>
      <c r="H16" s="60"/>
      <c r="I16" s="60">
        <v>0</v>
      </c>
      <c r="J16" s="65">
        <f t="shared" si="0"/>
        <v>0.21199999999999999</v>
      </c>
      <c r="K16" s="73"/>
      <c r="L16" s="74"/>
    </row>
    <row r="17" spans="1:12" s="28" customFormat="1" ht="12" customHeight="1" x14ac:dyDescent="0.2">
      <c r="A17" s="49">
        <v>2010</v>
      </c>
      <c r="B17" s="49" t="s">
        <v>13</v>
      </c>
      <c r="C17" s="60">
        <v>0.41499999999999998</v>
      </c>
      <c r="D17" s="60"/>
      <c r="E17" s="60">
        <v>0</v>
      </c>
      <c r="F17" s="60">
        <v>0</v>
      </c>
      <c r="G17" s="60">
        <v>0</v>
      </c>
      <c r="H17" s="60"/>
      <c r="I17" s="60">
        <v>0</v>
      </c>
      <c r="J17" s="65">
        <f t="shared" si="0"/>
        <v>0.41499999999999998</v>
      </c>
      <c r="K17" s="73"/>
      <c r="L17" s="74"/>
    </row>
    <row r="18" spans="1:12" s="28" customFormat="1" ht="12" customHeight="1" x14ac:dyDescent="0.2">
      <c r="A18" s="49">
        <v>2010</v>
      </c>
      <c r="B18" s="49" t="s">
        <v>14</v>
      </c>
      <c r="C18" s="60">
        <v>0.41899999999999998</v>
      </c>
      <c r="D18" s="60"/>
      <c r="E18" s="60">
        <v>0</v>
      </c>
      <c r="F18" s="60">
        <v>0</v>
      </c>
      <c r="G18" s="60">
        <v>0</v>
      </c>
      <c r="H18" s="60"/>
      <c r="I18" s="60">
        <v>0</v>
      </c>
      <c r="J18" s="65">
        <f t="shared" si="0"/>
        <v>0.41899999999999998</v>
      </c>
      <c r="K18" s="73"/>
      <c r="L18" s="74"/>
    </row>
    <row r="19" spans="1:12" s="28" customFormat="1" ht="12" customHeight="1" x14ac:dyDescent="0.2">
      <c r="A19" s="49">
        <v>2010</v>
      </c>
      <c r="B19" s="49" t="s">
        <v>15</v>
      </c>
      <c r="C19" s="60">
        <f>SUM(C7:C18)</f>
        <v>2.8043999999999998</v>
      </c>
      <c r="D19" s="60">
        <f t="shared" ref="D19" si="1">SUM(D7:D18)</f>
        <v>0</v>
      </c>
      <c r="E19" s="60">
        <f t="shared" ref="E19" si="2">SUM(E7:E18)</f>
        <v>0</v>
      </c>
      <c r="F19" s="60">
        <f t="shared" ref="F19" si="3">SUM(F7:F18)</f>
        <v>49.29551</v>
      </c>
      <c r="G19" s="60">
        <f t="shared" ref="G19" si="4">SUM(G7:G18)</f>
        <v>0</v>
      </c>
      <c r="H19" s="60"/>
      <c r="I19" s="60">
        <f t="shared" ref="I19" si="5">SUM(I7:I18)</f>
        <v>0</v>
      </c>
      <c r="J19" s="65">
        <f t="shared" si="0"/>
        <v>52.099910000000001</v>
      </c>
      <c r="K19" s="73"/>
      <c r="L19" s="73"/>
    </row>
    <row r="20" spans="1:12" s="28" customFormat="1" ht="12" customHeight="1" x14ac:dyDescent="0.2">
      <c r="A20" s="49">
        <v>2011</v>
      </c>
      <c r="B20" s="49" t="s">
        <v>3</v>
      </c>
      <c r="C20" s="60">
        <v>0.42399999999999999</v>
      </c>
      <c r="D20" s="60"/>
      <c r="E20" s="60">
        <v>0</v>
      </c>
      <c r="F20" s="60">
        <v>0</v>
      </c>
      <c r="G20" s="60">
        <v>0</v>
      </c>
      <c r="H20" s="60"/>
      <c r="I20" s="60"/>
      <c r="J20" s="65">
        <f t="shared" si="0"/>
        <v>0.42399999999999999</v>
      </c>
      <c r="K20" s="73"/>
      <c r="L20" s="74"/>
    </row>
    <row r="21" spans="1:12" s="28" customFormat="1" ht="12" customHeight="1" x14ac:dyDescent="0.2">
      <c r="A21" s="49">
        <v>2011</v>
      </c>
      <c r="B21" s="49" t="s">
        <v>4</v>
      </c>
      <c r="C21" s="60">
        <v>0.41199999999999998</v>
      </c>
      <c r="D21" s="60"/>
      <c r="E21" s="60">
        <v>0</v>
      </c>
      <c r="F21" s="60">
        <v>459.89139</v>
      </c>
      <c r="G21" s="60">
        <v>0</v>
      </c>
      <c r="H21" s="60"/>
      <c r="I21" s="60"/>
      <c r="J21" s="65">
        <f t="shared" si="0"/>
        <v>460.30338999999998</v>
      </c>
      <c r="K21" s="73"/>
      <c r="L21" s="74"/>
    </row>
    <row r="22" spans="1:12" s="28" customFormat="1" ht="12" customHeight="1" x14ac:dyDescent="0.2">
      <c r="A22" s="49">
        <v>2011</v>
      </c>
      <c r="B22" s="49" t="s">
        <v>5</v>
      </c>
      <c r="C22" s="60">
        <v>0.33400000000000002</v>
      </c>
      <c r="D22" s="60"/>
      <c r="E22" s="60">
        <v>0</v>
      </c>
      <c r="F22" s="60">
        <v>469.37486999999999</v>
      </c>
      <c r="G22" s="60">
        <v>0</v>
      </c>
      <c r="H22" s="60"/>
      <c r="I22" s="60"/>
      <c r="J22" s="65">
        <f t="shared" si="0"/>
        <v>469.70886999999999</v>
      </c>
      <c r="K22" s="73"/>
      <c r="L22" s="74"/>
    </row>
    <row r="23" spans="1:12" s="28" customFormat="1" ht="12" customHeight="1" x14ac:dyDescent="0.2">
      <c r="A23" s="49">
        <v>2011</v>
      </c>
      <c r="B23" s="49" t="s">
        <v>6</v>
      </c>
      <c r="C23" s="60">
        <v>0.34300000000000003</v>
      </c>
      <c r="D23" s="60"/>
      <c r="E23" s="60">
        <v>0</v>
      </c>
      <c r="F23" s="60">
        <v>0</v>
      </c>
      <c r="G23" s="60">
        <v>5.19808</v>
      </c>
      <c r="H23" s="60"/>
      <c r="I23" s="60"/>
      <c r="J23" s="65">
        <f t="shared" si="0"/>
        <v>5.54108</v>
      </c>
      <c r="K23" s="73"/>
      <c r="L23" s="74"/>
    </row>
    <row r="24" spans="1:12" s="28" customFormat="1" ht="12" customHeight="1" x14ac:dyDescent="0.2">
      <c r="A24" s="49">
        <v>2011</v>
      </c>
      <c r="B24" s="49" t="s">
        <v>7</v>
      </c>
      <c r="C24" s="60">
        <v>0.35099999999999998</v>
      </c>
      <c r="D24" s="60"/>
      <c r="E24" s="60">
        <v>0</v>
      </c>
      <c r="F24" s="60">
        <v>25.80237</v>
      </c>
      <c r="G24" s="60">
        <v>1007.4413899999998</v>
      </c>
      <c r="H24" s="60"/>
      <c r="I24" s="60"/>
      <c r="J24" s="65">
        <f t="shared" si="0"/>
        <v>1033.59476</v>
      </c>
      <c r="K24" s="73"/>
      <c r="L24" s="74"/>
    </row>
    <row r="25" spans="1:12" s="28" customFormat="1" ht="12" customHeight="1" x14ac:dyDescent="0.2">
      <c r="A25" s="49">
        <v>2011</v>
      </c>
      <c r="B25" s="49" t="s">
        <v>8</v>
      </c>
      <c r="C25" s="60">
        <v>0.35499999999999998</v>
      </c>
      <c r="D25" s="60"/>
      <c r="E25" s="60">
        <v>166.45517999999998</v>
      </c>
      <c r="F25" s="60">
        <v>0</v>
      </c>
      <c r="G25" s="60">
        <v>0</v>
      </c>
      <c r="H25" s="60"/>
      <c r="I25" s="60"/>
      <c r="J25" s="65">
        <f t="shared" si="0"/>
        <v>166.81017999999997</v>
      </c>
      <c r="K25" s="73"/>
      <c r="L25" s="74"/>
    </row>
    <row r="26" spans="1:12" s="28" customFormat="1" ht="12" customHeight="1" x14ac:dyDescent="0.2">
      <c r="A26" s="49">
        <v>2011</v>
      </c>
      <c r="B26" s="49" t="s">
        <v>9</v>
      </c>
      <c r="C26" s="60">
        <v>0.36299999999999999</v>
      </c>
      <c r="D26" s="60"/>
      <c r="E26" s="60">
        <v>787.56272999999999</v>
      </c>
      <c r="F26" s="60">
        <v>0</v>
      </c>
      <c r="G26" s="60">
        <v>0</v>
      </c>
      <c r="H26" s="60"/>
      <c r="I26" s="60"/>
      <c r="J26" s="65">
        <f t="shared" si="0"/>
        <v>787.92573000000004</v>
      </c>
      <c r="K26" s="73"/>
      <c r="L26" s="74"/>
    </row>
    <row r="27" spans="1:12" s="28" customFormat="1" ht="12" customHeight="1" x14ac:dyDescent="0.2">
      <c r="A27" s="49">
        <v>2011</v>
      </c>
      <c r="B27" s="49" t="s">
        <v>10</v>
      </c>
      <c r="C27" s="60">
        <v>0.49374000000000001</v>
      </c>
      <c r="D27" s="60"/>
      <c r="E27" s="60">
        <v>0</v>
      </c>
      <c r="F27" s="60">
        <v>0</v>
      </c>
      <c r="G27" s="60">
        <v>0</v>
      </c>
      <c r="H27" s="60"/>
      <c r="I27" s="60"/>
      <c r="J27" s="65">
        <f t="shared" si="0"/>
        <v>0.49374000000000001</v>
      </c>
      <c r="K27" s="73"/>
      <c r="L27" s="74"/>
    </row>
    <row r="28" spans="1:12" s="28" customFormat="1" ht="12" customHeight="1" x14ac:dyDescent="0.2">
      <c r="A28" s="49">
        <v>2011</v>
      </c>
      <c r="B28" s="49" t="s">
        <v>11</v>
      </c>
      <c r="C28" s="60">
        <v>0.29514999999999997</v>
      </c>
      <c r="D28" s="60"/>
      <c r="E28" s="60">
        <v>0</v>
      </c>
      <c r="F28" s="60">
        <v>473.93746000000004</v>
      </c>
      <c r="G28" s="60">
        <v>959.72182999999995</v>
      </c>
      <c r="H28" s="60"/>
      <c r="I28" s="60"/>
      <c r="J28" s="65">
        <f t="shared" si="0"/>
        <v>1433.95444</v>
      </c>
      <c r="K28" s="73"/>
      <c r="L28" s="74"/>
    </row>
    <row r="29" spans="1:12" s="28" customFormat="1" ht="12" customHeight="1" x14ac:dyDescent="0.2">
      <c r="A29" s="49">
        <v>2011</v>
      </c>
      <c r="B29" s="49" t="s">
        <v>12</v>
      </c>
      <c r="C29" s="60">
        <v>0.154</v>
      </c>
      <c r="D29" s="60"/>
      <c r="E29" s="60">
        <v>255.10652999999999</v>
      </c>
      <c r="F29" s="60">
        <v>1123.38229</v>
      </c>
      <c r="G29" s="60">
        <v>468.88216999999997</v>
      </c>
      <c r="H29" s="60"/>
      <c r="I29" s="60"/>
      <c r="J29" s="65">
        <f t="shared" si="0"/>
        <v>1847.5249899999999</v>
      </c>
      <c r="K29" s="73"/>
      <c r="L29" s="74"/>
    </row>
    <row r="30" spans="1:12" s="28" customFormat="1" ht="12" customHeight="1" x14ac:dyDescent="0.2">
      <c r="A30" s="49">
        <v>2011</v>
      </c>
      <c r="B30" s="49" t="s">
        <v>13</v>
      </c>
      <c r="C30" s="60">
        <v>0.35422000000000003</v>
      </c>
      <c r="D30" s="60"/>
      <c r="E30" s="60">
        <v>463.04682000000003</v>
      </c>
      <c r="F30" s="60">
        <v>0</v>
      </c>
      <c r="G30" s="60">
        <v>924.74900000000002</v>
      </c>
      <c r="H30" s="60"/>
      <c r="I30" s="60"/>
      <c r="J30" s="65">
        <f t="shared" si="0"/>
        <v>1388.15004</v>
      </c>
      <c r="K30" s="73"/>
      <c r="L30" s="74"/>
    </row>
    <row r="31" spans="1:12" s="28" customFormat="1" ht="12" customHeight="1" x14ac:dyDescent="0.2">
      <c r="A31" s="49">
        <v>2011</v>
      </c>
      <c r="B31" s="49" t="s">
        <v>14</v>
      </c>
      <c r="C31" s="60">
        <v>0.157</v>
      </c>
      <c r="D31" s="60"/>
      <c r="E31" s="60">
        <v>464.97311999999999</v>
      </c>
      <c r="F31" s="60">
        <v>0</v>
      </c>
      <c r="G31" s="60">
        <v>0</v>
      </c>
      <c r="H31" s="60"/>
      <c r="I31" s="60"/>
      <c r="J31" s="65">
        <f t="shared" si="0"/>
        <v>465.13011999999998</v>
      </c>
      <c r="K31" s="73"/>
      <c r="L31" s="74"/>
    </row>
    <row r="32" spans="1:12" s="28" customFormat="1" ht="12" customHeight="1" x14ac:dyDescent="0.2">
      <c r="A32" s="49">
        <v>2011</v>
      </c>
      <c r="B32" s="49" t="s">
        <v>15</v>
      </c>
      <c r="C32" s="60">
        <f>SUM(C20:C31)</f>
        <v>4.0361099999999999</v>
      </c>
      <c r="D32" s="60">
        <f t="shared" ref="D32" si="6">SUM(D20:D31)</f>
        <v>0</v>
      </c>
      <c r="E32" s="60">
        <f t="shared" ref="E32" si="7">SUM(E20:E31)</f>
        <v>2137.1443800000002</v>
      </c>
      <c r="F32" s="60">
        <f t="shared" ref="F32" si="8">SUM(F20:F31)</f>
        <v>2552.3883800000003</v>
      </c>
      <c r="G32" s="60">
        <f t="shared" ref="G32" si="9">SUM(G20:G31)</f>
        <v>3365.9924700000001</v>
      </c>
      <c r="H32" s="60"/>
      <c r="I32" s="60">
        <f t="shared" ref="I32" si="10">SUM(I20:I31)</f>
        <v>0</v>
      </c>
      <c r="J32" s="65">
        <f t="shared" si="0"/>
        <v>8059.5613400000011</v>
      </c>
      <c r="K32" s="73"/>
      <c r="L32" s="73"/>
    </row>
    <row r="33" spans="1:23" s="28" customFormat="1" ht="12" customHeight="1" x14ac:dyDescent="0.2">
      <c r="A33" s="49">
        <v>2012</v>
      </c>
      <c r="B33" s="49" t="s">
        <v>3</v>
      </c>
      <c r="C33" s="60">
        <v>0.52346999999999999</v>
      </c>
      <c r="D33" s="60"/>
      <c r="E33" s="60">
        <v>227.82550000000001</v>
      </c>
      <c r="F33" s="60">
        <v>777.15290000000005</v>
      </c>
      <c r="G33" s="60">
        <v>36.23733</v>
      </c>
      <c r="H33" s="60"/>
      <c r="I33" s="60">
        <v>0</v>
      </c>
      <c r="J33" s="65">
        <f t="shared" si="0"/>
        <v>1041.7392</v>
      </c>
      <c r="K33" s="73"/>
    </row>
    <row r="34" spans="1:23" s="28" customFormat="1" ht="12" customHeight="1" x14ac:dyDescent="0.2">
      <c r="A34" s="49">
        <v>2012</v>
      </c>
      <c r="B34" s="49" t="s">
        <v>4</v>
      </c>
      <c r="C34" s="60">
        <v>0.29347000000000001</v>
      </c>
      <c r="D34" s="60"/>
      <c r="E34" s="60">
        <v>225.78379000000001</v>
      </c>
      <c r="F34" s="60">
        <v>1079.68433</v>
      </c>
      <c r="G34" s="60">
        <v>0</v>
      </c>
      <c r="H34" s="60"/>
      <c r="I34" s="60">
        <v>0</v>
      </c>
      <c r="J34" s="65">
        <f t="shared" si="0"/>
        <v>1305.7615900000001</v>
      </c>
      <c r="K34" s="73"/>
    </row>
    <row r="35" spans="1:23" s="28" customFormat="1" ht="12" customHeight="1" x14ac:dyDescent="0.2">
      <c r="A35" s="49">
        <v>2012</v>
      </c>
      <c r="B35" s="49" t="s">
        <v>5</v>
      </c>
      <c r="C35" s="60">
        <v>0.88943000000000005</v>
      </c>
      <c r="D35" s="60"/>
      <c r="E35" s="60">
        <v>913.13747999999998</v>
      </c>
      <c r="F35" s="60">
        <v>1118.1563699999999</v>
      </c>
      <c r="G35" s="60">
        <v>0</v>
      </c>
      <c r="H35" s="60"/>
      <c r="I35" s="60">
        <v>0</v>
      </c>
      <c r="J35" s="65">
        <f t="shared" si="0"/>
        <v>2032.1832799999997</v>
      </c>
      <c r="K35" s="73"/>
    </row>
    <row r="36" spans="1:23" s="28" customFormat="1" ht="12" customHeight="1" x14ac:dyDescent="0.2">
      <c r="A36" s="49">
        <v>2012</v>
      </c>
      <c r="B36" s="49" t="s">
        <v>6</v>
      </c>
      <c r="C36" s="60">
        <v>0.85207999999999995</v>
      </c>
      <c r="D36" s="60"/>
      <c r="E36" s="60">
        <v>1691.5741499999999</v>
      </c>
      <c r="F36" s="60">
        <v>0</v>
      </c>
      <c r="G36" s="60">
        <v>1324.6152500000001</v>
      </c>
      <c r="H36" s="60"/>
      <c r="I36" s="60">
        <v>0</v>
      </c>
      <c r="J36" s="65">
        <f t="shared" si="0"/>
        <v>3017.0414799999999</v>
      </c>
      <c r="K36" s="73"/>
    </row>
    <row r="37" spans="1:23" s="28" customFormat="1" ht="12" customHeight="1" x14ac:dyDescent="0.2">
      <c r="A37" s="49">
        <v>2012</v>
      </c>
      <c r="B37" s="49" t="s">
        <v>7</v>
      </c>
      <c r="C37" s="60">
        <v>1.11531</v>
      </c>
      <c r="D37" s="60"/>
      <c r="E37" s="60">
        <v>815.13475000000005</v>
      </c>
      <c r="F37" s="60">
        <v>2407.00279</v>
      </c>
      <c r="G37" s="60">
        <v>84.779989999999984</v>
      </c>
      <c r="H37" s="60"/>
      <c r="I37" s="60">
        <v>0</v>
      </c>
      <c r="J37" s="65">
        <f t="shared" si="0"/>
        <v>3308.0328399999999</v>
      </c>
      <c r="K37" s="73"/>
    </row>
    <row r="38" spans="1:23" s="28" customFormat="1" ht="12" customHeight="1" x14ac:dyDescent="0.2">
      <c r="A38" s="49">
        <v>2012</v>
      </c>
      <c r="B38" s="49" t="s">
        <v>8</v>
      </c>
      <c r="C38" s="60">
        <v>1.173</v>
      </c>
      <c r="D38" s="60"/>
      <c r="E38" s="60">
        <v>990.60974999999996</v>
      </c>
      <c r="F38" s="60">
        <v>1685.8825699999998</v>
      </c>
      <c r="G38" s="60">
        <v>70.574239999999989</v>
      </c>
      <c r="H38" s="60"/>
      <c r="I38" s="60">
        <v>0</v>
      </c>
      <c r="J38" s="65">
        <f t="shared" si="0"/>
        <v>2748.2395599999995</v>
      </c>
      <c r="K38" s="73"/>
    </row>
    <row r="39" spans="1:23" s="28" customFormat="1" ht="12" customHeight="1" x14ac:dyDescent="0.2">
      <c r="A39" s="49">
        <v>2012</v>
      </c>
      <c r="B39" s="49" t="s">
        <v>9</v>
      </c>
      <c r="C39" s="60">
        <v>1.1985599999999998</v>
      </c>
      <c r="D39" s="60"/>
      <c r="E39" s="60">
        <v>796.96443999999997</v>
      </c>
      <c r="F39" s="60">
        <v>895.005</v>
      </c>
      <c r="G39" s="60">
        <v>2.6446399999999999</v>
      </c>
      <c r="H39" s="60"/>
      <c r="I39" s="60">
        <v>0</v>
      </c>
      <c r="J39" s="65">
        <f t="shared" ref="J39:J58" si="11">SUM(C39:I39)</f>
        <v>1695.8126400000001</v>
      </c>
      <c r="K39" s="73"/>
    </row>
    <row r="40" spans="1:23" s="28" customFormat="1" ht="12" customHeight="1" x14ac:dyDescent="0.2">
      <c r="A40" s="49">
        <v>2012</v>
      </c>
      <c r="B40" s="49" t="s">
        <v>10</v>
      </c>
      <c r="C40" s="60">
        <v>0.24781999999999998</v>
      </c>
      <c r="D40" s="60"/>
      <c r="E40" s="60">
        <v>604.51107999999999</v>
      </c>
      <c r="F40" s="60">
        <v>0</v>
      </c>
      <c r="G40" s="60">
        <v>971.29181999999992</v>
      </c>
      <c r="H40" s="60"/>
      <c r="I40" s="60">
        <v>0</v>
      </c>
      <c r="J40" s="65">
        <f t="shared" si="11"/>
        <v>1576.05072</v>
      </c>
      <c r="K40" s="73"/>
    </row>
    <row r="41" spans="1:23" s="28" customFormat="1" ht="12" customHeight="1" x14ac:dyDescent="0.2">
      <c r="A41" s="49">
        <v>2012</v>
      </c>
      <c r="B41" s="49" t="s">
        <v>11</v>
      </c>
      <c r="C41" s="60">
        <v>0.86626999999999998</v>
      </c>
      <c r="D41" s="60"/>
      <c r="E41" s="60">
        <v>0</v>
      </c>
      <c r="F41" s="60">
        <v>941.42101000000002</v>
      </c>
      <c r="G41" s="60">
        <v>2.3527499999999999</v>
      </c>
      <c r="H41" s="60"/>
      <c r="I41" s="60">
        <v>0</v>
      </c>
      <c r="J41" s="65">
        <f t="shared" si="11"/>
        <v>944.64003000000002</v>
      </c>
      <c r="K41" s="73"/>
    </row>
    <row r="42" spans="1:23" s="28" customFormat="1" ht="12" customHeight="1" x14ac:dyDescent="0.2">
      <c r="A42" s="49">
        <v>2012</v>
      </c>
      <c r="B42" s="49" t="s">
        <v>12</v>
      </c>
      <c r="C42" s="60">
        <v>1.87436</v>
      </c>
      <c r="D42" s="60"/>
      <c r="E42" s="60">
        <v>2408.0159299999996</v>
      </c>
      <c r="F42" s="60">
        <v>0</v>
      </c>
      <c r="G42" s="60">
        <v>937.6152699999999</v>
      </c>
      <c r="H42" s="60"/>
      <c r="I42" s="60">
        <v>0</v>
      </c>
      <c r="J42" s="65">
        <f t="shared" si="11"/>
        <v>3347.5055599999992</v>
      </c>
      <c r="K42" s="73"/>
    </row>
    <row r="43" spans="1:23" s="28" customFormat="1" ht="12" customHeight="1" x14ac:dyDescent="0.2">
      <c r="A43" s="49">
        <v>2012</v>
      </c>
      <c r="B43" s="49" t="s">
        <v>13</v>
      </c>
      <c r="C43" s="60">
        <v>2.1910500000000002</v>
      </c>
      <c r="D43" s="60"/>
      <c r="E43" s="60">
        <v>0</v>
      </c>
      <c r="F43" s="60">
        <v>24.954009999999997</v>
      </c>
      <c r="G43" s="60">
        <v>2.9418500000000001</v>
      </c>
      <c r="H43" s="60"/>
      <c r="I43" s="60">
        <v>0</v>
      </c>
      <c r="J43" s="65">
        <f t="shared" si="11"/>
        <v>30.086909999999996</v>
      </c>
      <c r="K43" s="73"/>
    </row>
    <row r="44" spans="1:23" s="28" customFormat="1" ht="12" customHeight="1" x14ac:dyDescent="0.2">
      <c r="A44" s="49">
        <v>2012</v>
      </c>
      <c r="B44" s="49" t="s">
        <v>14</v>
      </c>
      <c r="C44" s="60">
        <v>3.75345</v>
      </c>
      <c r="D44" s="60"/>
      <c r="E44" s="60">
        <v>1860.4315200000001</v>
      </c>
      <c r="F44" s="60">
        <v>0</v>
      </c>
      <c r="G44" s="60">
        <v>27.570670000000003</v>
      </c>
      <c r="H44" s="60"/>
      <c r="I44" s="60">
        <v>0</v>
      </c>
      <c r="J44" s="65">
        <f t="shared" si="11"/>
        <v>1891.7556400000001</v>
      </c>
      <c r="K44" s="73"/>
    </row>
    <row r="45" spans="1:23" s="28" customFormat="1" ht="12" customHeight="1" x14ac:dyDescent="0.2">
      <c r="A45" s="49">
        <v>2012</v>
      </c>
      <c r="B45" s="49" t="s">
        <v>15</v>
      </c>
      <c r="C45" s="60">
        <f>SUM(C33:C44)</f>
        <v>14.978269999999998</v>
      </c>
      <c r="D45" s="60">
        <f t="shared" ref="D45" si="12">SUM(D33:D44)</f>
        <v>0</v>
      </c>
      <c r="E45" s="60">
        <f t="shared" ref="E45" si="13">SUM(E33:E44)</f>
        <v>10533.98839</v>
      </c>
      <c r="F45" s="60">
        <f t="shared" ref="F45" si="14">SUM(F33:F44)</f>
        <v>8929.2589800000005</v>
      </c>
      <c r="G45" s="60">
        <f t="shared" ref="G45" si="15">SUM(G33:G44)</f>
        <v>3460.6238099999996</v>
      </c>
      <c r="H45" s="60"/>
      <c r="I45" s="60">
        <f t="shared" ref="I45" si="16">SUM(I33:I44)</f>
        <v>0</v>
      </c>
      <c r="J45" s="65">
        <f t="shared" si="11"/>
        <v>22938.849450000002</v>
      </c>
      <c r="K45" s="73"/>
    </row>
    <row r="46" spans="1:23" s="28" customFormat="1" ht="12" customHeight="1" x14ac:dyDescent="0.2">
      <c r="A46" s="49">
        <v>2013</v>
      </c>
      <c r="B46" s="49" t="s">
        <v>3</v>
      </c>
      <c r="C46" s="60">
        <v>6.1284600000000005</v>
      </c>
      <c r="D46" s="60"/>
      <c r="E46" s="60">
        <v>0</v>
      </c>
      <c r="F46" s="60">
        <v>309.48322999999999</v>
      </c>
      <c r="G46" s="60">
        <v>3.04867</v>
      </c>
      <c r="H46" s="60"/>
      <c r="I46" s="60">
        <v>0</v>
      </c>
      <c r="J46" s="65">
        <f t="shared" si="11"/>
        <v>318.66036000000003</v>
      </c>
      <c r="K46" s="73"/>
      <c r="L46" s="74"/>
    </row>
    <row r="47" spans="1:23" s="28" customFormat="1" ht="12" customHeight="1" x14ac:dyDescent="0.2">
      <c r="A47" s="49">
        <v>2013</v>
      </c>
      <c r="B47" s="49" t="s">
        <v>4</v>
      </c>
      <c r="C47" s="60">
        <v>6.0522000000000009</v>
      </c>
      <c r="D47" s="60"/>
      <c r="E47" s="60">
        <v>0</v>
      </c>
      <c r="F47" s="60">
        <v>649.48850000000004</v>
      </c>
      <c r="G47" s="60">
        <v>3.0422799999999999</v>
      </c>
      <c r="H47" s="60"/>
      <c r="I47" s="60">
        <v>0</v>
      </c>
      <c r="J47" s="65">
        <f t="shared" si="11"/>
        <v>658.58298000000002</v>
      </c>
      <c r="K47" s="73"/>
      <c r="L47" s="74"/>
    </row>
    <row r="48" spans="1:23" s="28" customFormat="1" ht="12" customHeight="1" x14ac:dyDescent="0.2">
      <c r="A48" s="49">
        <v>2013</v>
      </c>
      <c r="B48" s="49" t="s">
        <v>5</v>
      </c>
      <c r="C48" s="60">
        <v>4.2395300000000002</v>
      </c>
      <c r="D48" s="60"/>
      <c r="E48" s="60">
        <v>0</v>
      </c>
      <c r="F48" s="60">
        <v>932.43318999999997</v>
      </c>
      <c r="G48" s="60">
        <v>879.13880000000006</v>
      </c>
      <c r="H48" s="60"/>
      <c r="I48" s="60">
        <v>827.68955000000005</v>
      </c>
      <c r="J48" s="65">
        <f t="shared" si="11"/>
        <v>2643.5010700000003</v>
      </c>
      <c r="K48" s="73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</row>
    <row r="49" spans="1:23" s="28" customFormat="1" ht="12" customHeight="1" x14ac:dyDescent="0.2">
      <c r="A49" s="49">
        <v>2013</v>
      </c>
      <c r="B49" s="49" t="s">
        <v>6</v>
      </c>
      <c r="C49" s="60">
        <v>3.5711200000000001</v>
      </c>
      <c r="D49" s="60"/>
      <c r="E49" s="60">
        <v>816.28081000000009</v>
      </c>
      <c r="F49" s="60">
        <v>857.47580000000005</v>
      </c>
      <c r="G49" s="60">
        <v>2.8836999999999997</v>
      </c>
      <c r="H49" s="60"/>
      <c r="I49" s="60">
        <v>516.07217000000003</v>
      </c>
      <c r="J49" s="65">
        <f t="shared" si="11"/>
        <v>2196.2836000000002</v>
      </c>
      <c r="K49" s="73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</row>
    <row r="50" spans="1:23" s="28" customFormat="1" ht="12" customHeight="1" x14ac:dyDescent="0.2">
      <c r="A50" s="49">
        <v>2013</v>
      </c>
      <c r="B50" s="49" t="s">
        <v>7</v>
      </c>
      <c r="C50" s="60">
        <v>6.4194700000000013</v>
      </c>
      <c r="D50" s="60"/>
      <c r="E50" s="60">
        <v>0</v>
      </c>
      <c r="F50" s="60">
        <v>925.99851999999998</v>
      </c>
      <c r="G50" s="60">
        <v>26.447029999999998</v>
      </c>
      <c r="H50" s="60"/>
      <c r="I50" s="60">
        <v>2031.6852000000001</v>
      </c>
      <c r="J50" s="65">
        <f t="shared" si="11"/>
        <v>2990.5502200000001</v>
      </c>
      <c r="K50" s="73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</row>
    <row r="51" spans="1:23" s="28" customFormat="1" ht="12" customHeight="1" x14ac:dyDescent="0.2">
      <c r="A51" s="49">
        <v>2013</v>
      </c>
      <c r="B51" s="49" t="s">
        <v>8</v>
      </c>
      <c r="C51" s="60">
        <v>5.5363600000000002</v>
      </c>
      <c r="D51" s="60"/>
      <c r="E51" s="60">
        <v>0</v>
      </c>
      <c r="F51" s="60">
        <v>1012.6021</v>
      </c>
      <c r="G51" s="60">
        <v>25.036339999999999</v>
      </c>
      <c r="H51" s="60"/>
      <c r="I51" s="60">
        <v>835.76373000000001</v>
      </c>
      <c r="J51" s="65">
        <f t="shared" si="11"/>
        <v>1878.9385299999999</v>
      </c>
      <c r="K51" s="73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</row>
    <row r="52" spans="1:23" s="28" customFormat="1" ht="12" customHeight="1" x14ac:dyDescent="0.2">
      <c r="A52" s="49">
        <v>2013</v>
      </c>
      <c r="B52" s="49" t="s">
        <v>9</v>
      </c>
      <c r="C52" s="60">
        <v>2.9296800000000003</v>
      </c>
      <c r="D52" s="60"/>
      <c r="E52" s="60">
        <v>0</v>
      </c>
      <c r="F52" s="60">
        <v>1403.9762499999999</v>
      </c>
      <c r="G52" s="60">
        <v>2.9366099999999999</v>
      </c>
      <c r="H52" s="60"/>
      <c r="I52" s="60">
        <v>1827.57476</v>
      </c>
      <c r="J52" s="65">
        <f t="shared" si="11"/>
        <v>3237.4173000000001</v>
      </c>
      <c r="K52" s="73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</row>
    <row r="53" spans="1:23" s="28" customFormat="1" ht="12" customHeight="1" x14ac:dyDescent="0.2">
      <c r="A53" s="49">
        <v>2013</v>
      </c>
      <c r="B53" s="49" t="s">
        <v>10</v>
      </c>
      <c r="C53" s="60">
        <v>3.2324399999999995</v>
      </c>
      <c r="D53" s="60"/>
      <c r="E53" s="60">
        <v>1286.4961799999999</v>
      </c>
      <c r="F53" s="60">
        <v>1095.10349</v>
      </c>
      <c r="G53" s="60">
        <v>931.66016000000002</v>
      </c>
      <c r="H53" s="60"/>
      <c r="I53" s="60">
        <v>1663.4149399999999</v>
      </c>
      <c r="J53" s="65">
        <f t="shared" si="11"/>
        <v>4979.9072099999994</v>
      </c>
      <c r="K53" s="73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</row>
    <row r="54" spans="1:23" s="28" customFormat="1" ht="12" customHeight="1" x14ac:dyDescent="0.2">
      <c r="A54" s="49">
        <v>2013</v>
      </c>
      <c r="B54" s="49" t="s">
        <v>11</v>
      </c>
      <c r="C54" s="60">
        <v>4.509030000000001</v>
      </c>
      <c r="D54" s="60"/>
      <c r="E54" s="60">
        <v>838.226</v>
      </c>
      <c r="F54" s="60">
        <v>1008.7684</v>
      </c>
      <c r="G54" s="60">
        <v>907.08789999999999</v>
      </c>
      <c r="H54" s="60"/>
      <c r="I54" s="60">
        <v>1314.22567</v>
      </c>
      <c r="J54" s="65">
        <f t="shared" si="11"/>
        <v>4072.817</v>
      </c>
      <c r="K54" s="73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</row>
    <row r="55" spans="1:23" s="28" customFormat="1" ht="12" customHeight="1" x14ac:dyDescent="0.2">
      <c r="A55" s="49">
        <v>2013</v>
      </c>
      <c r="B55" s="49" t="s">
        <v>12</v>
      </c>
      <c r="C55" s="60">
        <v>5.3650199999999995</v>
      </c>
      <c r="D55" s="60"/>
      <c r="E55" s="60">
        <v>842.79</v>
      </c>
      <c r="F55" s="60">
        <v>1000.79178</v>
      </c>
      <c r="G55" s="60">
        <v>352.43878000000001</v>
      </c>
      <c r="H55" s="60"/>
      <c r="I55" s="60">
        <v>1740.5577200000002</v>
      </c>
      <c r="J55" s="65">
        <f t="shared" si="11"/>
        <v>3941.9433000000004</v>
      </c>
      <c r="K55" s="73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</row>
    <row r="56" spans="1:23" s="28" customFormat="1" ht="12" customHeight="1" x14ac:dyDescent="0.2">
      <c r="A56" s="49">
        <v>2013</v>
      </c>
      <c r="B56" s="49" t="s">
        <v>13</v>
      </c>
      <c r="C56" s="60">
        <v>7.0203299999999995</v>
      </c>
      <c r="D56" s="60"/>
      <c r="E56" s="60">
        <v>0</v>
      </c>
      <c r="F56" s="60">
        <v>1045.26827</v>
      </c>
      <c r="G56" s="60">
        <v>155.56931</v>
      </c>
      <c r="H56" s="60"/>
      <c r="I56" s="60">
        <v>0</v>
      </c>
      <c r="J56" s="65">
        <f t="shared" si="11"/>
        <v>1207.8579100000002</v>
      </c>
      <c r="K56" s="73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</row>
    <row r="57" spans="1:23" s="28" customFormat="1" ht="12" customHeight="1" x14ac:dyDescent="0.2">
      <c r="A57" s="49">
        <v>2013</v>
      </c>
      <c r="B57" s="49" t="s">
        <v>14</v>
      </c>
      <c r="C57" s="60">
        <v>11.10371</v>
      </c>
      <c r="D57" s="60"/>
      <c r="E57" s="60">
        <v>927.58100000000002</v>
      </c>
      <c r="F57" s="60">
        <v>1157.04674</v>
      </c>
      <c r="G57" s="60">
        <v>2.7429899999999998</v>
      </c>
      <c r="H57" s="60"/>
      <c r="I57" s="60">
        <v>1555.0275899999999</v>
      </c>
      <c r="J57" s="65">
        <f t="shared" si="11"/>
        <v>3653.5020300000006</v>
      </c>
      <c r="K57" s="73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</row>
    <row r="58" spans="1:23" s="28" customFormat="1" ht="12" customHeight="1" x14ac:dyDescent="0.2">
      <c r="A58" s="49">
        <v>2013</v>
      </c>
      <c r="B58" s="49" t="s">
        <v>15</v>
      </c>
      <c r="C58" s="60">
        <f>SUM(C46:C57)</f>
        <v>66.107349999999997</v>
      </c>
      <c r="D58" s="60">
        <f t="shared" ref="D58" si="17">SUM(D46:D57)</f>
        <v>0</v>
      </c>
      <c r="E58" s="60">
        <f t="shared" ref="E58" si="18">SUM(E46:E57)</f>
        <v>4711.37399</v>
      </c>
      <c r="F58" s="60">
        <f t="shared" ref="F58" si="19">SUM(F46:F57)</f>
        <v>11398.43627</v>
      </c>
      <c r="G58" s="60">
        <f t="shared" ref="G58" si="20">SUM(G46:G57)</f>
        <v>3292.0325700000003</v>
      </c>
      <c r="H58" s="60"/>
      <c r="I58" s="60">
        <f t="shared" ref="I58" si="21">SUM(I46:I57)</f>
        <v>12312.011330000001</v>
      </c>
      <c r="J58" s="65">
        <f t="shared" si="11"/>
        <v>31779.961510000001</v>
      </c>
      <c r="K58" s="73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</row>
    <row r="59" spans="1:23" s="28" customFormat="1" ht="12" customHeight="1" x14ac:dyDescent="0.2">
      <c r="A59" s="49">
        <v>2014</v>
      </c>
      <c r="B59" s="49" t="s">
        <v>3</v>
      </c>
      <c r="C59" s="60">
        <v>11.174530000000003</v>
      </c>
      <c r="D59" s="60">
        <v>0</v>
      </c>
      <c r="E59" s="60">
        <v>0</v>
      </c>
      <c r="F59" s="60">
        <v>0</v>
      </c>
      <c r="G59" s="60">
        <v>2.71008</v>
      </c>
      <c r="H59" s="60"/>
      <c r="I59" s="60">
        <v>965.9678100000001</v>
      </c>
      <c r="J59" s="65">
        <v>979.85242000000005</v>
      </c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</row>
    <row r="60" spans="1:23" s="28" customFormat="1" ht="12" customHeight="1" x14ac:dyDescent="0.2">
      <c r="A60" s="49">
        <v>2014</v>
      </c>
      <c r="B60" s="49" t="s">
        <v>4</v>
      </c>
      <c r="C60" s="60">
        <v>13.362580000000001</v>
      </c>
      <c r="D60" s="60">
        <v>0</v>
      </c>
      <c r="E60" s="60">
        <v>969.34901000000002</v>
      </c>
      <c r="F60" s="60">
        <v>0</v>
      </c>
      <c r="G60" s="60">
        <v>84.114379999999997</v>
      </c>
      <c r="H60" s="60"/>
      <c r="I60" s="60">
        <v>1908.4150500000001</v>
      </c>
      <c r="J60" s="65">
        <v>2975.2410200000004</v>
      </c>
      <c r="K60" s="73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</row>
    <row r="61" spans="1:23" s="28" customFormat="1" ht="12" customHeight="1" x14ac:dyDescent="0.2">
      <c r="A61" s="49">
        <v>2014</v>
      </c>
      <c r="B61" s="49" t="s">
        <v>5</v>
      </c>
      <c r="C61" s="60">
        <v>13.637889999999999</v>
      </c>
      <c r="D61" s="60">
        <v>0</v>
      </c>
      <c r="E61" s="60">
        <v>1398.2414199999998</v>
      </c>
      <c r="F61" s="60">
        <v>986.10780999999997</v>
      </c>
      <c r="G61" s="60">
        <v>2653.0717599999998</v>
      </c>
      <c r="H61" s="60"/>
      <c r="I61" s="60">
        <v>1330.4476200000001</v>
      </c>
      <c r="J61" s="65">
        <v>6381.5064999999995</v>
      </c>
      <c r="K61" s="73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</row>
    <row r="62" spans="1:23" s="28" customFormat="1" ht="12" customHeight="1" x14ac:dyDescent="0.2">
      <c r="A62" s="49">
        <v>2014</v>
      </c>
      <c r="B62" s="49" t="s">
        <v>6</v>
      </c>
      <c r="C62" s="60">
        <v>13.656900000000002</v>
      </c>
      <c r="D62" s="60">
        <v>0</v>
      </c>
      <c r="E62" s="60">
        <v>3242.4238500000001</v>
      </c>
      <c r="F62" s="60">
        <v>3077.1869700000002</v>
      </c>
      <c r="G62" s="60">
        <v>1271.0148200000001</v>
      </c>
      <c r="H62" s="60"/>
      <c r="I62" s="60">
        <v>851.26081999999997</v>
      </c>
      <c r="J62" s="65">
        <v>8455.5433599999997</v>
      </c>
      <c r="K62" s="73"/>
    </row>
    <row r="63" spans="1:23" s="28" customFormat="1" ht="12" customHeight="1" x14ac:dyDescent="0.2">
      <c r="A63" s="49">
        <v>2014</v>
      </c>
      <c r="B63" s="49" t="s">
        <v>7</v>
      </c>
      <c r="C63" s="60">
        <v>12.948889999999999</v>
      </c>
      <c r="D63" s="60">
        <v>0</v>
      </c>
      <c r="E63" s="60">
        <v>2063.8511200000003</v>
      </c>
      <c r="F63" s="60">
        <v>2860.8598299999999</v>
      </c>
      <c r="G63" s="60">
        <v>3.3944800000000002</v>
      </c>
      <c r="H63" s="60"/>
      <c r="I63" s="60">
        <v>3004.7348700000002</v>
      </c>
      <c r="J63" s="65">
        <v>7945.7891900000004</v>
      </c>
    </row>
    <row r="64" spans="1:23" s="28" customFormat="1" ht="12" customHeight="1" x14ac:dyDescent="0.2">
      <c r="A64" s="49">
        <v>2014</v>
      </c>
      <c r="B64" s="49" t="s">
        <v>8</v>
      </c>
      <c r="C64" s="60">
        <v>12.11876</v>
      </c>
      <c r="D64" s="60">
        <v>0</v>
      </c>
      <c r="E64" s="60">
        <v>17.686439999999997</v>
      </c>
      <c r="F64" s="60">
        <v>1866.80573</v>
      </c>
      <c r="G64" s="60">
        <v>941.25345000000004</v>
      </c>
      <c r="H64" s="60"/>
      <c r="I64" s="60">
        <v>2009.3285900000001</v>
      </c>
      <c r="J64" s="65">
        <v>4847.1929700000001</v>
      </c>
    </row>
    <row r="65" spans="1:12" s="28" customFormat="1" ht="12" customHeight="1" x14ac:dyDescent="0.2">
      <c r="A65" s="49">
        <v>2014</v>
      </c>
      <c r="B65" s="49" t="s">
        <v>9</v>
      </c>
      <c r="C65" s="60">
        <v>12.98165</v>
      </c>
      <c r="D65" s="60">
        <v>0</v>
      </c>
      <c r="E65" s="60">
        <v>1908.2175899999997</v>
      </c>
      <c r="F65" s="60">
        <v>63.308669999999999</v>
      </c>
      <c r="G65" s="60">
        <v>3.0861399999999999</v>
      </c>
      <c r="H65" s="60"/>
      <c r="I65" s="60">
        <v>853.00579000000005</v>
      </c>
      <c r="J65" s="65">
        <v>2840.5998399999994</v>
      </c>
    </row>
    <row r="66" spans="1:12" s="28" customFormat="1" ht="12" customHeight="1" x14ac:dyDescent="0.2">
      <c r="A66" s="49">
        <v>2014</v>
      </c>
      <c r="B66" s="49" t="s">
        <v>10</v>
      </c>
      <c r="C66" s="60">
        <v>11.04</v>
      </c>
      <c r="D66" s="60">
        <v>0</v>
      </c>
      <c r="E66" s="60">
        <v>1069.3006</v>
      </c>
      <c r="F66" s="60">
        <v>906.72640999999987</v>
      </c>
      <c r="G66" s="60">
        <v>892.29724999999996</v>
      </c>
      <c r="H66" s="60"/>
      <c r="I66" s="60">
        <v>1203.9177999999999</v>
      </c>
      <c r="J66" s="65">
        <v>4083.2820599999995</v>
      </c>
    </row>
    <row r="67" spans="1:12" s="28" customFormat="1" ht="12" customHeight="1" x14ac:dyDescent="0.2">
      <c r="A67" s="49">
        <v>2014</v>
      </c>
      <c r="B67" s="49" t="s">
        <v>11</v>
      </c>
      <c r="C67" s="60">
        <v>1258.0402900000001</v>
      </c>
      <c r="D67" s="60">
        <v>0</v>
      </c>
      <c r="E67" s="60">
        <v>1050.5651699999999</v>
      </c>
      <c r="F67" s="60">
        <v>1940.09122</v>
      </c>
      <c r="G67" s="60">
        <v>1031.31899</v>
      </c>
      <c r="H67" s="60"/>
      <c r="I67" s="60">
        <v>1141.5678400000002</v>
      </c>
      <c r="J67" s="65">
        <v>6421.5835100000004</v>
      </c>
    </row>
    <row r="68" spans="1:12" s="28" customFormat="1" ht="12" customHeight="1" x14ac:dyDescent="0.2">
      <c r="A68" s="49">
        <v>2014</v>
      </c>
      <c r="B68" s="49" t="s">
        <v>12</v>
      </c>
      <c r="C68" s="60">
        <v>1089.82332</v>
      </c>
      <c r="D68" s="60">
        <v>0</v>
      </c>
      <c r="E68" s="60">
        <v>1629.0713900000001</v>
      </c>
      <c r="F68" s="60">
        <v>2175.9488700000002</v>
      </c>
      <c r="G68" s="60">
        <v>3.1444999999999999</v>
      </c>
      <c r="H68" s="60"/>
      <c r="I68" s="60">
        <v>3160.9120400000002</v>
      </c>
      <c r="J68" s="65">
        <v>8058.9001200000012</v>
      </c>
    </row>
    <row r="69" spans="1:12" s="28" customFormat="1" ht="12" customHeight="1" x14ac:dyDescent="0.2">
      <c r="A69" s="49">
        <v>2014</v>
      </c>
      <c r="B69" s="49" t="s">
        <v>13</v>
      </c>
      <c r="C69" s="60">
        <v>16.181000000000004</v>
      </c>
      <c r="D69" s="60">
        <v>0</v>
      </c>
      <c r="E69" s="60">
        <v>1166.52586</v>
      </c>
      <c r="F69" s="60">
        <v>1089.0075400000001</v>
      </c>
      <c r="G69" s="60">
        <v>61.778210000000001</v>
      </c>
      <c r="H69" s="60"/>
      <c r="I69" s="60">
        <v>1958.5495900000001</v>
      </c>
      <c r="J69" s="65">
        <v>4292.0421999999999</v>
      </c>
    </row>
    <row r="70" spans="1:12" s="28" customFormat="1" ht="12" customHeight="1" x14ac:dyDescent="0.2">
      <c r="A70" s="49">
        <v>2014</v>
      </c>
      <c r="B70" s="49" t="s">
        <v>14</v>
      </c>
      <c r="C70" s="60">
        <v>20.808159999999997</v>
      </c>
      <c r="D70" s="60">
        <v>0</v>
      </c>
      <c r="E70" s="60">
        <v>1504.32917</v>
      </c>
      <c r="F70" s="60">
        <v>960.89065000000005</v>
      </c>
      <c r="G70" s="60">
        <v>37.108339999999998</v>
      </c>
      <c r="H70" s="60"/>
      <c r="I70" s="60">
        <v>875.97880000000009</v>
      </c>
      <c r="J70" s="65">
        <v>3399.1151199999995</v>
      </c>
      <c r="K70" s="73"/>
      <c r="L70" s="74"/>
    </row>
    <row r="71" spans="1:12" s="28" customFormat="1" ht="12" customHeight="1" x14ac:dyDescent="0.2">
      <c r="A71" s="49">
        <v>2014</v>
      </c>
      <c r="B71" s="49" t="s">
        <v>15</v>
      </c>
      <c r="C71" s="60">
        <v>2485.7739700000002</v>
      </c>
      <c r="D71" s="60">
        <v>0</v>
      </c>
      <c r="E71" s="60">
        <v>16019.56162</v>
      </c>
      <c r="F71" s="60">
        <v>15926.9337</v>
      </c>
      <c r="G71" s="60">
        <v>6984.2924000000003</v>
      </c>
      <c r="H71" s="60"/>
      <c r="I71" s="60">
        <v>19264.086619999998</v>
      </c>
      <c r="J71" s="65">
        <v>60680.648310000004</v>
      </c>
      <c r="K71" s="73"/>
      <c r="L71" s="73"/>
    </row>
    <row r="72" spans="1:12" s="28" customFormat="1" ht="12" customHeight="1" x14ac:dyDescent="0.2">
      <c r="A72" s="49">
        <v>2015</v>
      </c>
      <c r="B72" s="49" t="s">
        <v>3</v>
      </c>
      <c r="C72" s="60">
        <v>1100.5259699999999</v>
      </c>
      <c r="D72" s="60">
        <v>0</v>
      </c>
      <c r="E72" s="60">
        <v>485.78696000000002</v>
      </c>
      <c r="F72" s="60">
        <v>0.62946999999999997</v>
      </c>
      <c r="G72" s="60">
        <v>27.669150000000002</v>
      </c>
      <c r="H72" s="60"/>
      <c r="I72" s="60">
        <v>0.62687000000000004</v>
      </c>
      <c r="J72" s="65">
        <v>1615.2384200000001</v>
      </c>
      <c r="K72" s="73"/>
      <c r="L72" s="74"/>
    </row>
    <row r="73" spans="1:12" s="28" customFormat="1" ht="12" customHeight="1" x14ac:dyDescent="0.2">
      <c r="A73" s="49">
        <v>2015</v>
      </c>
      <c r="B73" s="49" t="s">
        <v>4</v>
      </c>
      <c r="C73" s="60">
        <v>35.506999999999998</v>
      </c>
      <c r="D73" s="60">
        <v>2.0840199999999998</v>
      </c>
      <c r="E73" s="60">
        <v>0</v>
      </c>
      <c r="F73" s="60">
        <v>1.4485999999999999</v>
      </c>
      <c r="G73" s="60">
        <v>2.9944499999999996</v>
      </c>
      <c r="H73" s="60"/>
      <c r="I73" s="60">
        <v>0</v>
      </c>
      <c r="J73" s="65">
        <v>42.03407</v>
      </c>
      <c r="K73" s="73"/>
      <c r="L73" s="74"/>
    </row>
    <row r="74" spans="1:12" s="28" customFormat="1" ht="12" customHeight="1" x14ac:dyDescent="0.2">
      <c r="A74" s="49">
        <v>2015</v>
      </c>
      <c r="B74" s="49" t="s">
        <v>5</v>
      </c>
      <c r="C74" s="60">
        <v>38.186720000000001</v>
      </c>
      <c r="D74" s="60">
        <v>0</v>
      </c>
      <c r="E74" s="60">
        <v>1.7831600000000001</v>
      </c>
      <c r="F74" s="60">
        <v>83.32119999999999</v>
      </c>
      <c r="G74" s="60">
        <v>15.33981</v>
      </c>
      <c r="H74" s="60"/>
      <c r="I74" s="60">
        <v>20.211929999999999</v>
      </c>
      <c r="J74" s="65">
        <v>158.84281999999999</v>
      </c>
      <c r="K74" s="73"/>
      <c r="L74" s="74"/>
    </row>
    <row r="75" spans="1:12" s="28" customFormat="1" ht="12" customHeight="1" x14ac:dyDescent="0.2">
      <c r="A75" s="49">
        <v>2015</v>
      </c>
      <c r="B75" s="49" t="s">
        <v>6</v>
      </c>
      <c r="C75" s="60">
        <v>24.864979999999999</v>
      </c>
      <c r="D75" s="60">
        <v>0</v>
      </c>
      <c r="E75" s="60">
        <v>0</v>
      </c>
      <c r="F75" s="60">
        <v>0</v>
      </c>
      <c r="G75" s="60">
        <v>2.7404499999999996</v>
      </c>
      <c r="H75" s="60"/>
      <c r="I75" s="60">
        <v>1077.33267</v>
      </c>
      <c r="J75" s="65">
        <v>1104.9381000000001</v>
      </c>
      <c r="K75" s="73"/>
    </row>
    <row r="76" spans="1:12" s="28" customFormat="1" ht="12" customHeight="1" x14ac:dyDescent="0.2">
      <c r="A76" s="49">
        <v>2015</v>
      </c>
      <c r="B76" s="49" t="s">
        <v>7</v>
      </c>
      <c r="C76" s="60">
        <v>973.94731999999999</v>
      </c>
      <c r="D76" s="60">
        <v>1203.59915</v>
      </c>
      <c r="E76" s="60">
        <v>0</v>
      </c>
      <c r="F76" s="60">
        <v>0</v>
      </c>
      <c r="G76" s="60">
        <v>19.17343</v>
      </c>
      <c r="H76" s="60"/>
      <c r="I76" s="60">
        <v>1746.6105700000001</v>
      </c>
      <c r="J76" s="65">
        <v>3943.3304699999999</v>
      </c>
      <c r="K76" s="73"/>
    </row>
    <row r="77" spans="1:12" s="28" customFormat="1" ht="12" customHeight="1" x14ac:dyDescent="0.2">
      <c r="A77" s="49">
        <v>2015</v>
      </c>
      <c r="B77" s="49" t="s">
        <v>8</v>
      </c>
      <c r="C77" s="60">
        <v>26.657939999999996</v>
      </c>
      <c r="D77" s="60">
        <v>0</v>
      </c>
      <c r="E77" s="60">
        <v>0</v>
      </c>
      <c r="F77" s="60">
        <v>1037.6206099999999</v>
      </c>
      <c r="G77" s="60">
        <v>2.9996900000000002</v>
      </c>
      <c r="H77" s="60"/>
      <c r="I77" s="60">
        <v>250.50045000000003</v>
      </c>
      <c r="J77" s="65">
        <v>1317.7786900000001</v>
      </c>
      <c r="K77" s="73"/>
    </row>
    <row r="78" spans="1:12" s="28" customFormat="1" ht="12" customHeight="1" x14ac:dyDescent="0.2">
      <c r="A78" s="49">
        <v>2015</v>
      </c>
      <c r="B78" s="49" t="s">
        <v>9</v>
      </c>
      <c r="C78" s="60">
        <v>21.896769999999997</v>
      </c>
      <c r="D78" s="60">
        <v>932.96761000000015</v>
      </c>
      <c r="E78" s="60">
        <v>0</v>
      </c>
      <c r="F78" s="60">
        <v>7.66913</v>
      </c>
      <c r="G78" s="60">
        <v>2.4778699999999998</v>
      </c>
      <c r="H78" s="60"/>
      <c r="I78" s="60">
        <v>782.54684000000009</v>
      </c>
      <c r="J78" s="65">
        <v>1747.5582200000003</v>
      </c>
      <c r="K78" s="73"/>
    </row>
    <row r="79" spans="1:12" s="28" customFormat="1" ht="12" customHeight="1" x14ac:dyDescent="0.2">
      <c r="A79" s="49">
        <v>2015</v>
      </c>
      <c r="B79" s="49" t="s">
        <v>10</v>
      </c>
      <c r="C79" s="60">
        <v>17.16628</v>
      </c>
      <c r="D79" s="60">
        <v>907.85503000000006</v>
      </c>
      <c r="E79" s="60">
        <v>608.25701000000004</v>
      </c>
      <c r="F79" s="60">
        <v>36.140720000000002</v>
      </c>
      <c r="G79" s="60">
        <v>3.0921799999999999</v>
      </c>
      <c r="H79" s="60"/>
      <c r="I79" s="60">
        <v>1283.45189</v>
      </c>
      <c r="J79" s="65">
        <v>2855.9631100000006</v>
      </c>
      <c r="K79" s="73"/>
    </row>
    <row r="80" spans="1:12" s="28" customFormat="1" ht="12" customHeight="1" x14ac:dyDescent="0.2">
      <c r="A80" s="49">
        <v>2015</v>
      </c>
      <c r="B80" s="49" t="s">
        <v>11</v>
      </c>
      <c r="C80" s="60">
        <v>403.35684999999995</v>
      </c>
      <c r="D80" s="60">
        <v>3.5870900000000003</v>
      </c>
      <c r="E80" s="60">
        <v>0</v>
      </c>
      <c r="F80" s="60">
        <v>33.731629999999996</v>
      </c>
      <c r="G80" s="60">
        <v>7.1235900000000001</v>
      </c>
      <c r="H80" s="60"/>
      <c r="I80" s="60">
        <v>2.1665799999999997</v>
      </c>
      <c r="J80" s="65">
        <v>449.96573999999993</v>
      </c>
    </row>
    <row r="81" spans="1:12" s="28" customFormat="1" ht="12" customHeight="1" x14ac:dyDescent="0.2">
      <c r="A81" s="49">
        <v>2015</v>
      </c>
      <c r="B81" s="49" t="s">
        <v>12</v>
      </c>
      <c r="C81" s="60">
        <v>26.531010000000009</v>
      </c>
      <c r="D81" s="60">
        <v>4.4212900000000008</v>
      </c>
      <c r="E81" s="60">
        <v>0</v>
      </c>
      <c r="F81" s="60">
        <v>3.2808800000000002</v>
      </c>
      <c r="G81" s="60">
        <v>24.598890000000001</v>
      </c>
      <c r="H81" s="60"/>
      <c r="I81" s="60">
        <v>1.8744599999999998</v>
      </c>
      <c r="J81" s="65">
        <v>60.706530000000015</v>
      </c>
    </row>
    <row r="82" spans="1:12" s="28" customFormat="1" ht="12" customHeight="1" x14ac:dyDescent="0.2">
      <c r="A82" s="49">
        <v>2015</v>
      </c>
      <c r="B82" s="49" t="s">
        <v>13</v>
      </c>
      <c r="C82" s="60">
        <v>24.344459999999998</v>
      </c>
      <c r="D82" s="60">
        <v>1.7471099999999999</v>
      </c>
      <c r="E82" s="60">
        <v>0</v>
      </c>
      <c r="F82" s="60">
        <v>963.64976000000001</v>
      </c>
      <c r="G82" s="60">
        <v>2.39832</v>
      </c>
      <c r="H82" s="60"/>
      <c r="I82" s="60">
        <v>690.19719999999995</v>
      </c>
      <c r="J82" s="65">
        <v>1682.3368500000001</v>
      </c>
      <c r="K82" s="73"/>
    </row>
    <row r="83" spans="1:12" s="28" customFormat="1" ht="12" customHeight="1" x14ac:dyDescent="0.2">
      <c r="A83" s="49">
        <v>2015</v>
      </c>
      <c r="B83" s="49" t="s">
        <v>14</v>
      </c>
      <c r="C83" s="60">
        <v>26.596790000000009</v>
      </c>
      <c r="D83" s="60">
        <v>4.8544499999999999</v>
      </c>
      <c r="E83" s="60">
        <v>0</v>
      </c>
      <c r="F83" s="60">
        <v>662.99761000000012</v>
      </c>
      <c r="G83" s="60">
        <v>3.65212</v>
      </c>
      <c r="H83" s="60"/>
      <c r="I83" s="60">
        <v>386.13258000000002</v>
      </c>
      <c r="J83" s="65">
        <v>1084.2335500000002</v>
      </c>
      <c r="K83" s="73"/>
    </row>
    <row r="84" spans="1:12" s="28" customFormat="1" ht="12" customHeight="1" x14ac:dyDescent="0.2">
      <c r="A84" s="49">
        <v>2015</v>
      </c>
      <c r="B84" s="49" t="s">
        <v>15</v>
      </c>
      <c r="C84" s="60">
        <v>2719.5820899999999</v>
      </c>
      <c r="D84" s="60">
        <v>3061.1157499999999</v>
      </c>
      <c r="E84" s="60">
        <v>1095.8271300000001</v>
      </c>
      <c r="F84" s="60">
        <v>2830.4896100000005</v>
      </c>
      <c r="G84" s="60">
        <v>114.25995</v>
      </c>
      <c r="H84" s="60"/>
      <c r="I84" s="60">
        <v>6241.6520399999999</v>
      </c>
      <c r="J84" s="65">
        <v>16062.926570000001</v>
      </c>
      <c r="K84" s="73"/>
      <c r="L84" s="73"/>
    </row>
    <row r="85" spans="1:12" s="28" customFormat="1" ht="12" customHeight="1" x14ac:dyDescent="0.2">
      <c r="A85" s="49">
        <v>2016</v>
      </c>
      <c r="B85" s="49" t="s">
        <v>3</v>
      </c>
      <c r="C85" s="60">
        <v>1015.9342100000001</v>
      </c>
      <c r="D85" s="60">
        <v>12.533760000000001</v>
      </c>
      <c r="E85" s="60">
        <v>0</v>
      </c>
      <c r="F85" s="60">
        <v>2.9125399999999999</v>
      </c>
      <c r="G85" s="60">
        <v>3.01322</v>
      </c>
      <c r="H85" s="60"/>
      <c r="I85" s="60">
        <v>2.1667400000000003</v>
      </c>
      <c r="J85" s="65">
        <v>1036.5604700000001</v>
      </c>
      <c r="K85" s="73"/>
    </row>
    <row r="86" spans="1:12" s="28" customFormat="1" ht="12" customHeight="1" x14ac:dyDescent="0.2">
      <c r="A86" s="49">
        <v>2016</v>
      </c>
      <c r="B86" s="49" t="s">
        <v>4</v>
      </c>
      <c r="C86" s="60">
        <v>27.76297000000001</v>
      </c>
      <c r="D86" s="60">
        <v>12.81156</v>
      </c>
      <c r="E86" s="60">
        <v>0</v>
      </c>
      <c r="F86" s="60">
        <v>4.1045100000000003</v>
      </c>
      <c r="G86" s="60">
        <v>22.31643</v>
      </c>
      <c r="H86" s="60"/>
      <c r="I86" s="60">
        <v>1.8327200000000001</v>
      </c>
      <c r="J86" s="65">
        <v>68.828190000000006</v>
      </c>
    </row>
    <row r="87" spans="1:12" s="28" customFormat="1" ht="12" customHeight="1" x14ac:dyDescent="0.2">
      <c r="A87" s="49">
        <v>2016</v>
      </c>
      <c r="B87" s="49" t="s">
        <v>5</v>
      </c>
      <c r="C87" s="60">
        <v>31.123460000000001</v>
      </c>
      <c r="D87" s="60">
        <v>10.71271</v>
      </c>
      <c r="E87" s="60">
        <v>0</v>
      </c>
      <c r="F87" s="60">
        <v>4.1981700000000002</v>
      </c>
      <c r="G87" s="60">
        <v>3.0020700000000002</v>
      </c>
      <c r="H87" s="60"/>
      <c r="I87" s="60">
        <v>1.8643599999999998</v>
      </c>
      <c r="J87" s="65">
        <v>50.900770000000001</v>
      </c>
      <c r="K87" s="73"/>
    </row>
    <row r="88" spans="1:12" s="28" customFormat="1" ht="12" customHeight="1" x14ac:dyDescent="0.2">
      <c r="A88" s="49">
        <v>2016</v>
      </c>
      <c r="B88" s="49" t="s">
        <v>6</v>
      </c>
      <c r="C88" s="60">
        <v>28.419499999999999</v>
      </c>
      <c r="D88" s="60">
        <v>1.7582</v>
      </c>
      <c r="E88" s="60">
        <v>0</v>
      </c>
      <c r="F88" s="60">
        <v>4.4615100000000005</v>
      </c>
      <c r="G88" s="60">
        <v>3.0070999999999999</v>
      </c>
      <c r="H88" s="60"/>
      <c r="I88" s="60">
        <v>1.8600500000000002</v>
      </c>
      <c r="J88" s="65">
        <v>39.506360000000001</v>
      </c>
    </row>
    <row r="89" spans="1:12" s="28" customFormat="1" ht="12" customHeight="1" x14ac:dyDescent="0.2">
      <c r="A89" s="49">
        <v>2016</v>
      </c>
      <c r="B89" s="49" t="s">
        <v>7</v>
      </c>
      <c r="C89" s="60">
        <v>33.330430000000007</v>
      </c>
      <c r="D89" s="60">
        <v>3.8541099999999999</v>
      </c>
      <c r="E89" s="60">
        <v>0</v>
      </c>
      <c r="F89" s="60">
        <v>4.4356299999999997</v>
      </c>
      <c r="G89" s="60">
        <v>3.3313099999999998</v>
      </c>
      <c r="H89" s="60"/>
      <c r="I89" s="60">
        <v>2.17014</v>
      </c>
      <c r="J89" s="65">
        <v>47.121620000000007</v>
      </c>
    </row>
    <row r="90" spans="1:12" s="28" customFormat="1" ht="12" customHeight="1" x14ac:dyDescent="0.2">
      <c r="A90" s="49">
        <v>2016</v>
      </c>
      <c r="B90" s="49" t="s">
        <v>8</v>
      </c>
      <c r="C90" s="60">
        <v>29.240680000000005</v>
      </c>
      <c r="D90" s="60">
        <v>3.5797099999999999</v>
      </c>
      <c r="E90" s="60">
        <v>0</v>
      </c>
      <c r="F90" s="60">
        <v>5.6120000000000001</v>
      </c>
      <c r="G90" s="60">
        <v>2.48414</v>
      </c>
      <c r="H90" s="60"/>
      <c r="I90" s="60">
        <v>2.1676299999999999</v>
      </c>
      <c r="J90" s="65">
        <v>43.084160000000011</v>
      </c>
    </row>
    <row r="91" spans="1:12" s="28" customFormat="1" ht="12" customHeight="1" x14ac:dyDescent="0.2">
      <c r="A91" s="49">
        <v>2016</v>
      </c>
      <c r="B91" s="49" t="s">
        <v>9</v>
      </c>
      <c r="C91" s="60">
        <v>370.20470000000023</v>
      </c>
      <c r="D91" s="60">
        <v>2.2203900000000001</v>
      </c>
      <c r="E91" s="60">
        <v>0</v>
      </c>
      <c r="F91" s="60">
        <v>6.0426000000000002</v>
      </c>
      <c r="G91" s="60">
        <v>3.1163499999999997</v>
      </c>
      <c r="H91" s="60"/>
      <c r="I91" s="60">
        <v>1.8480999999999999</v>
      </c>
      <c r="J91" s="65">
        <v>383.43214000000023</v>
      </c>
    </row>
    <row r="92" spans="1:12" s="28" customFormat="1" ht="12" customHeight="1" x14ac:dyDescent="0.2">
      <c r="A92" s="49">
        <v>2016</v>
      </c>
      <c r="B92" s="49" t="s">
        <v>10</v>
      </c>
      <c r="C92" s="60">
        <v>18.726059999999997</v>
      </c>
      <c r="D92" s="60">
        <v>1.43004</v>
      </c>
      <c r="E92" s="60">
        <v>0</v>
      </c>
      <c r="F92" s="60">
        <v>47.843150000000001</v>
      </c>
      <c r="G92" s="60">
        <v>3.0533299999999999</v>
      </c>
      <c r="H92" s="60"/>
      <c r="I92" s="60">
        <v>1.5249299999999999</v>
      </c>
      <c r="J92" s="65">
        <v>72.57750999999999</v>
      </c>
    </row>
    <row r="93" spans="1:12" s="28" customFormat="1" ht="12" customHeight="1" x14ac:dyDescent="0.2">
      <c r="A93" s="49">
        <v>2016</v>
      </c>
      <c r="B93" s="49" t="s">
        <v>11</v>
      </c>
      <c r="C93" s="60">
        <v>22.006719999999998</v>
      </c>
      <c r="D93" s="60">
        <v>3.51871</v>
      </c>
      <c r="E93" s="60">
        <v>0</v>
      </c>
      <c r="F93" s="60">
        <v>38.823529999999998</v>
      </c>
      <c r="G93" s="60">
        <v>0</v>
      </c>
      <c r="H93" s="60"/>
      <c r="I93" s="60">
        <v>2.16323</v>
      </c>
      <c r="J93" s="65">
        <v>66.51218999999999</v>
      </c>
      <c r="K93" s="73"/>
    </row>
    <row r="94" spans="1:12" s="28" customFormat="1" ht="12" customHeight="1" x14ac:dyDescent="0.2">
      <c r="A94" s="49">
        <v>2016</v>
      </c>
      <c r="B94" s="49" t="s">
        <v>12</v>
      </c>
      <c r="C94" s="60">
        <v>20.912110000000006</v>
      </c>
      <c r="D94" s="60">
        <v>3.5382500000000001</v>
      </c>
      <c r="E94" s="60">
        <v>0</v>
      </c>
      <c r="F94" s="60">
        <v>5.5755499999999998</v>
      </c>
      <c r="G94" s="60">
        <v>0</v>
      </c>
      <c r="H94" s="60"/>
      <c r="I94" s="60">
        <v>2.12765</v>
      </c>
      <c r="J94" s="65">
        <v>32.153560000000006</v>
      </c>
    </row>
    <row r="95" spans="1:12" s="28" customFormat="1" ht="12" customHeight="1" x14ac:dyDescent="0.2">
      <c r="A95" s="49">
        <v>2016</v>
      </c>
      <c r="B95" s="49" t="s">
        <v>13</v>
      </c>
      <c r="C95" s="60">
        <v>22.345699999999997</v>
      </c>
      <c r="D95" s="60">
        <v>7.24322</v>
      </c>
      <c r="E95" s="60">
        <v>0</v>
      </c>
      <c r="F95" s="60">
        <v>4.6771799999999999</v>
      </c>
      <c r="G95" s="60">
        <v>35.795310000000001</v>
      </c>
      <c r="H95" s="60"/>
      <c r="I95" s="60">
        <v>2.1318999999999999</v>
      </c>
      <c r="J95" s="65">
        <v>72.193309999999997</v>
      </c>
    </row>
    <row r="96" spans="1:12" s="28" customFormat="1" ht="12" customHeight="1" x14ac:dyDescent="0.2">
      <c r="A96" s="49">
        <v>2016</v>
      </c>
      <c r="B96" s="49" t="s">
        <v>14</v>
      </c>
      <c r="C96" s="60">
        <v>22.123639999999998</v>
      </c>
      <c r="D96" s="60">
        <v>8.9546700000000001</v>
      </c>
      <c r="E96" s="60">
        <v>0</v>
      </c>
      <c r="F96" s="60">
        <v>2.83663</v>
      </c>
      <c r="G96" s="60">
        <v>0</v>
      </c>
      <c r="H96" s="60"/>
      <c r="I96" s="60">
        <v>1.8453899999999999</v>
      </c>
      <c r="J96" s="65">
        <v>35.760330000000003</v>
      </c>
    </row>
    <row r="97" spans="1:12" s="28" customFormat="1" ht="12" customHeight="1" x14ac:dyDescent="0.2">
      <c r="A97" s="49">
        <v>2016</v>
      </c>
      <c r="B97" s="49" t="s">
        <v>15</v>
      </c>
      <c r="C97" s="60">
        <v>1642.1301800000006</v>
      </c>
      <c r="D97" s="60">
        <v>72.155329999999992</v>
      </c>
      <c r="E97" s="60">
        <v>0</v>
      </c>
      <c r="F97" s="60">
        <v>131.523</v>
      </c>
      <c r="G97" s="60">
        <v>79.119259999999997</v>
      </c>
      <c r="H97" s="60"/>
      <c r="I97" s="60">
        <v>23.702839999999998</v>
      </c>
      <c r="J97" s="65">
        <v>1948.6306100000002</v>
      </c>
    </row>
    <row r="98" spans="1:12" s="28" customFormat="1" ht="12" customHeight="1" x14ac:dyDescent="0.2">
      <c r="A98" s="49">
        <v>2017</v>
      </c>
      <c r="B98" s="49" t="s">
        <v>3</v>
      </c>
      <c r="C98" s="60">
        <v>31.03782</v>
      </c>
      <c r="D98" s="60">
        <v>13.515739999999999</v>
      </c>
      <c r="E98" s="60">
        <v>0</v>
      </c>
      <c r="F98" s="60">
        <v>0.89054999999999995</v>
      </c>
      <c r="G98" s="60">
        <v>0</v>
      </c>
      <c r="H98" s="60"/>
      <c r="I98" s="60">
        <v>1.5190999999999999</v>
      </c>
      <c r="J98" s="65">
        <v>46.963209999999997</v>
      </c>
      <c r="K98" s="73"/>
    </row>
    <row r="99" spans="1:12" s="28" customFormat="1" ht="12" customHeight="1" x14ac:dyDescent="0.2">
      <c r="A99" s="49">
        <v>2017</v>
      </c>
      <c r="B99" s="49" t="s">
        <v>4</v>
      </c>
      <c r="C99" s="60">
        <v>29.475519999999999</v>
      </c>
      <c r="D99" s="60">
        <v>18.696870000000001</v>
      </c>
      <c r="E99" s="60">
        <v>0</v>
      </c>
      <c r="F99" s="60">
        <v>2.0540700000000003</v>
      </c>
      <c r="G99" s="60">
        <v>0</v>
      </c>
      <c r="H99" s="60"/>
      <c r="I99" s="60">
        <v>1.8165100000000001</v>
      </c>
      <c r="J99" s="65">
        <v>52.042970000000004</v>
      </c>
      <c r="K99" s="73"/>
    </row>
    <row r="100" spans="1:12" s="28" customFormat="1" ht="12" customHeight="1" x14ac:dyDescent="0.2">
      <c r="A100" s="49">
        <v>2017</v>
      </c>
      <c r="B100" s="49" t="s">
        <v>5</v>
      </c>
      <c r="C100" s="60">
        <v>36.174080000000004</v>
      </c>
      <c r="D100" s="60">
        <v>21.671150000000001</v>
      </c>
      <c r="E100" s="60">
        <v>0</v>
      </c>
      <c r="F100" s="60">
        <v>4.6540699999999999</v>
      </c>
      <c r="G100" s="60">
        <v>0</v>
      </c>
      <c r="H100" s="60"/>
      <c r="I100" s="60">
        <v>2.1263700000000005</v>
      </c>
      <c r="J100" s="65">
        <v>64.62567</v>
      </c>
      <c r="K100" s="73"/>
    </row>
    <row r="101" spans="1:12" s="28" customFormat="1" ht="12" customHeight="1" x14ac:dyDescent="0.2">
      <c r="A101" s="49">
        <v>2017</v>
      </c>
      <c r="B101" s="49" t="s">
        <v>6</v>
      </c>
      <c r="C101" s="60">
        <v>23.849400000000003</v>
      </c>
      <c r="D101" s="60">
        <v>7.7986300000000011</v>
      </c>
      <c r="E101" s="60">
        <v>2.50142</v>
      </c>
      <c r="F101" s="60">
        <v>5.3103999999999996</v>
      </c>
      <c r="G101" s="60">
        <v>0</v>
      </c>
      <c r="H101" s="60"/>
      <c r="I101" s="60">
        <v>1.5088199999999998</v>
      </c>
      <c r="J101" s="65">
        <v>40.96867000000001</v>
      </c>
      <c r="K101" s="73"/>
    </row>
    <row r="102" spans="1:12" s="28" customFormat="1" ht="12" customHeight="1" x14ac:dyDescent="0.2">
      <c r="A102" s="49">
        <v>2017</v>
      </c>
      <c r="B102" s="49" t="s">
        <v>7</v>
      </c>
      <c r="C102" s="60">
        <v>24.650879999999997</v>
      </c>
      <c r="D102" s="60">
        <v>8.8895099999999996</v>
      </c>
      <c r="E102" s="60">
        <v>0</v>
      </c>
      <c r="F102" s="60">
        <v>4.7049799999999999</v>
      </c>
      <c r="G102" s="60">
        <v>0</v>
      </c>
      <c r="H102" s="60"/>
      <c r="I102" s="60">
        <v>2.3266299999999998</v>
      </c>
      <c r="J102" s="65">
        <v>40.571999999999996</v>
      </c>
      <c r="K102" s="73"/>
    </row>
    <row r="103" spans="1:12" s="28" customFormat="1" ht="12" customHeight="1" x14ac:dyDescent="0.2">
      <c r="A103" s="49">
        <v>2017</v>
      </c>
      <c r="B103" s="49" t="s">
        <v>8</v>
      </c>
      <c r="C103" s="60">
        <v>20.449920000000002</v>
      </c>
      <c r="D103" s="60">
        <v>7.0259900000000002</v>
      </c>
      <c r="E103" s="60">
        <v>0</v>
      </c>
      <c r="F103" s="60">
        <v>3.2416700000000001</v>
      </c>
      <c r="G103" s="60">
        <v>0</v>
      </c>
      <c r="H103" s="60"/>
      <c r="I103" s="60">
        <v>2.0581199999999997</v>
      </c>
      <c r="J103" s="65">
        <v>32.775700000000001</v>
      </c>
      <c r="K103" s="73"/>
    </row>
    <row r="104" spans="1:12" s="28" customFormat="1" ht="12" customHeight="1" x14ac:dyDescent="0.2">
      <c r="A104" s="49">
        <v>2017</v>
      </c>
      <c r="B104" s="49" t="s">
        <v>9</v>
      </c>
      <c r="C104" s="60">
        <v>17.740919999999999</v>
      </c>
      <c r="D104" s="60">
        <v>7.4127399999999994</v>
      </c>
      <c r="E104" s="60">
        <v>0</v>
      </c>
      <c r="F104" s="60">
        <v>8.2079599999999999</v>
      </c>
      <c r="G104" s="60">
        <v>0</v>
      </c>
      <c r="H104" s="60"/>
      <c r="I104" s="60">
        <v>2.0246400000000002</v>
      </c>
      <c r="J104" s="65">
        <v>35.38626</v>
      </c>
      <c r="K104" s="73"/>
    </row>
    <row r="105" spans="1:12" s="77" customFormat="1" ht="12" customHeight="1" x14ac:dyDescent="0.2">
      <c r="A105" s="49">
        <v>2017</v>
      </c>
      <c r="B105" s="49" t="s">
        <v>10</v>
      </c>
      <c r="C105" s="60">
        <v>18.704739999999997</v>
      </c>
      <c r="D105" s="60">
        <v>4.7676000000000007</v>
      </c>
      <c r="E105" s="60">
        <v>0</v>
      </c>
      <c r="F105" s="60">
        <v>47.13261</v>
      </c>
      <c r="G105" s="60">
        <v>0</v>
      </c>
      <c r="H105" s="60"/>
      <c r="I105" s="60">
        <v>2.0030799999999997</v>
      </c>
      <c r="J105" s="65">
        <v>72.608029999999999</v>
      </c>
      <c r="K105" s="76"/>
    </row>
    <row r="106" spans="1:12" s="77" customFormat="1" ht="12" customHeight="1" x14ac:dyDescent="0.2">
      <c r="A106" s="49">
        <v>2017</v>
      </c>
      <c r="B106" s="49" t="s">
        <v>11</v>
      </c>
      <c r="C106" s="60">
        <v>32.416730000000001</v>
      </c>
      <c r="D106" s="60">
        <v>8.0971900000000012</v>
      </c>
      <c r="E106" s="60">
        <v>0</v>
      </c>
      <c r="F106" s="60">
        <v>22.325479999999999</v>
      </c>
      <c r="G106" s="60">
        <v>0</v>
      </c>
      <c r="H106" s="60"/>
      <c r="I106" s="60">
        <v>2.0936500000000002</v>
      </c>
      <c r="J106" s="65">
        <v>64.933049999999994</v>
      </c>
      <c r="K106" s="76"/>
    </row>
    <row r="107" spans="1:12" s="77" customFormat="1" ht="12" customHeight="1" x14ac:dyDescent="0.2">
      <c r="A107" s="49">
        <v>2017</v>
      </c>
      <c r="B107" s="49" t="s">
        <v>12</v>
      </c>
      <c r="C107" s="60">
        <v>25.82949</v>
      </c>
      <c r="D107" s="60">
        <v>8.2601899999999979</v>
      </c>
      <c r="E107" s="60">
        <v>987.96080000000006</v>
      </c>
      <c r="F107" s="60">
        <v>0.59936</v>
      </c>
      <c r="G107" s="60">
        <v>28.261110000000002</v>
      </c>
      <c r="H107" s="60"/>
      <c r="I107" s="60">
        <v>2.0614799999999995</v>
      </c>
      <c r="J107" s="65">
        <v>1052.9724300000003</v>
      </c>
      <c r="K107" s="76"/>
    </row>
    <row r="108" spans="1:12" s="77" customFormat="1" ht="12" customHeight="1" x14ac:dyDescent="0.2">
      <c r="A108" s="49">
        <v>2017</v>
      </c>
      <c r="B108" s="49" t="s">
        <v>13</v>
      </c>
      <c r="C108" s="60">
        <v>26.292020000000001</v>
      </c>
      <c r="D108" s="60">
        <v>24.035430000000002</v>
      </c>
      <c r="E108" s="60">
        <v>0</v>
      </c>
      <c r="F108" s="60">
        <v>0.28849999999999998</v>
      </c>
      <c r="G108" s="60">
        <v>29.279709999999998</v>
      </c>
      <c r="H108" s="60"/>
      <c r="I108" s="60">
        <v>2.0979399999999999</v>
      </c>
      <c r="J108" s="65">
        <v>81.993599999999986</v>
      </c>
      <c r="K108" s="76"/>
    </row>
    <row r="109" spans="1:12" s="28" customFormat="1" ht="12" customHeight="1" x14ac:dyDescent="0.2">
      <c r="A109" s="49">
        <v>2017</v>
      </c>
      <c r="B109" s="49" t="s">
        <v>14</v>
      </c>
      <c r="C109" s="60">
        <v>23.394209999999998</v>
      </c>
      <c r="D109" s="60">
        <v>25.58286</v>
      </c>
      <c r="E109" s="60">
        <v>0</v>
      </c>
      <c r="F109" s="60">
        <v>0.59151999999999993</v>
      </c>
      <c r="G109" s="60">
        <v>21.129770000000001</v>
      </c>
      <c r="H109" s="60"/>
      <c r="I109" s="60">
        <v>1.5122800000000001</v>
      </c>
      <c r="J109" s="65">
        <v>72.210640000000012</v>
      </c>
    </row>
    <row r="110" spans="1:12" s="28" customFormat="1" ht="12" customHeight="1" x14ac:dyDescent="0.2">
      <c r="A110" s="49">
        <v>2017</v>
      </c>
      <c r="B110" s="49" t="s">
        <v>15</v>
      </c>
      <c r="C110" s="60">
        <v>310.01572999999996</v>
      </c>
      <c r="D110" s="60">
        <v>155.75390000000002</v>
      </c>
      <c r="E110" s="60">
        <v>990.46222000000012</v>
      </c>
      <c r="F110" s="60">
        <v>100.00117</v>
      </c>
      <c r="G110" s="60">
        <v>78.670590000000004</v>
      </c>
      <c r="H110" s="60"/>
      <c r="I110" s="60">
        <v>23.148620000000001</v>
      </c>
      <c r="J110" s="65">
        <v>1658.0522300000002</v>
      </c>
      <c r="K110" s="73"/>
      <c r="L110" s="73"/>
    </row>
    <row r="111" spans="1:12" s="28" customFormat="1" ht="12" customHeight="1" x14ac:dyDescent="0.2">
      <c r="A111" s="49">
        <v>2018</v>
      </c>
      <c r="B111" s="49" t="s">
        <v>3</v>
      </c>
      <c r="C111" s="60">
        <v>1105.3377700000001</v>
      </c>
      <c r="D111" s="60">
        <v>34.493400000000008</v>
      </c>
      <c r="E111" s="60">
        <v>0</v>
      </c>
      <c r="F111" s="60">
        <v>1.18214</v>
      </c>
      <c r="G111" s="60">
        <v>0</v>
      </c>
      <c r="H111" s="60"/>
      <c r="I111" s="60">
        <v>2.0486300000000002</v>
      </c>
      <c r="J111" s="65">
        <v>1143.06194</v>
      </c>
    </row>
    <row r="112" spans="1:12" s="28" customFormat="1" ht="12" customHeight="1" x14ac:dyDescent="0.2">
      <c r="A112" s="49">
        <v>2018</v>
      </c>
      <c r="B112" s="49" t="s">
        <v>4</v>
      </c>
      <c r="C112" s="60">
        <v>29.866799999999998</v>
      </c>
      <c r="D112" s="60">
        <v>32.150320000000001</v>
      </c>
      <c r="E112" s="60">
        <v>0</v>
      </c>
      <c r="F112" s="60">
        <v>1077.8794700000001</v>
      </c>
      <c r="G112" s="60">
        <v>21.421240000000001</v>
      </c>
      <c r="H112" s="60"/>
      <c r="I112" s="60">
        <v>1.7562699999999998</v>
      </c>
      <c r="J112" s="65">
        <v>1163.0741</v>
      </c>
    </row>
    <row r="113" spans="1:11" s="28" customFormat="1" ht="12" customHeight="1" x14ac:dyDescent="0.2">
      <c r="A113" s="49">
        <v>2018</v>
      </c>
      <c r="B113" s="49" t="s">
        <v>5</v>
      </c>
      <c r="C113" s="60">
        <v>36.096110000000003</v>
      </c>
      <c r="D113" s="60">
        <v>34.96032000000001</v>
      </c>
      <c r="E113" s="60">
        <v>2.93316</v>
      </c>
      <c r="F113" s="60">
        <v>0.59355999999999998</v>
      </c>
      <c r="G113" s="60">
        <v>0</v>
      </c>
      <c r="H113" s="60"/>
      <c r="I113" s="60">
        <v>2.0476299999999998</v>
      </c>
      <c r="J113" s="65">
        <v>76.630780000000001</v>
      </c>
      <c r="K113" s="73"/>
    </row>
    <row r="114" spans="1:11" s="28" customFormat="1" ht="12" customHeight="1" x14ac:dyDescent="0.2">
      <c r="A114" s="49">
        <v>2018</v>
      </c>
      <c r="B114" s="49" t="s">
        <v>6</v>
      </c>
      <c r="C114" s="60">
        <v>41.047820000000002</v>
      </c>
      <c r="D114" s="60">
        <v>7.3718899999999996</v>
      </c>
      <c r="E114" s="60">
        <v>0</v>
      </c>
      <c r="F114" s="60">
        <v>0.87404999999999999</v>
      </c>
      <c r="G114" s="60">
        <v>0</v>
      </c>
      <c r="H114" s="60"/>
      <c r="I114" s="60">
        <v>2.05335</v>
      </c>
      <c r="J114" s="65">
        <v>51.347110000000001</v>
      </c>
    </row>
    <row r="115" spans="1:11" s="28" customFormat="1" ht="12" customHeight="1" x14ac:dyDescent="0.2">
      <c r="A115" s="49">
        <v>2018</v>
      </c>
      <c r="B115" s="49" t="s">
        <v>7</v>
      </c>
      <c r="C115" s="60">
        <v>25.593139999999998</v>
      </c>
      <c r="D115" s="60">
        <v>5.6432700000000002</v>
      </c>
      <c r="E115" s="60">
        <v>0</v>
      </c>
      <c r="F115" s="60">
        <v>3.51</v>
      </c>
      <c r="G115" s="60">
        <v>27.749659999999999</v>
      </c>
      <c r="H115" s="60"/>
      <c r="I115" s="60">
        <v>1.7927200000000001</v>
      </c>
      <c r="J115" s="65">
        <v>64.288789999999992</v>
      </c>
    </row>
    <row r="116" spans="1:11" s="28" customFormat="1" ht="12" customHeight="1" x14ac:dyDescent="0.2">
      <c r="A116" s="49">
        <v>2018</v>
      </c>
      <c r="B116" s="49" t="s">
        <v>8</v>
      </c>
      <c r="C116" s="60">
        <v>26.431449999999998</v>
      </c>
      <c r="D116" s="60">
        <v>6.9322600000000003</v>
      </c>
      <c r="E116" s="60">
        <v>0</v>
      </c>
      <c r="F116" s="60">
        <v>0.57807000000000008</v>
      </c>
      <c r="G116" s="60">
        <v>0</v>
      </c>
      <c r="H116" s="60"/>
      <c r="I116" s="60">
        <v>2.3903599999999998</v>
      </c>
      <c r="J116" s="65">
        <v>36.332139999999995</v>
      </c>
    </row>
    <row r="117" spans="1:11" s="28" customFormat="1" ht="12" customHeight="1" x14ac:dyDescent="0.2">
      <c r="A117" s="49">
        <v>2018</v>
      </c>
      <c r="B117" s="49" t="s">
        <v>9</v>
      </c>
      <c r="C117" s="60">
        <v>2129.0492899999999</v>
      </c>
      <c r="D117" s="60">
        <v>655.36355000000003</v>
      </c>
      <c r="E117" s="60">
        <v>0</v>
      </c>
      <c r="F117" s="60">
        <v>0.28626000000000001</v>
      </c>
      <c r="G117" s="60">
        <v>0</v>
      </c>
      <c r="H117" s="60"/>
      <c r="I117" s="60">
        <v>0.61130999999999991</v>
      </c>
      <c r="J117" s="65">
        <v>2785.3104099999996</v>
      </c>
    </row>
    <row r="118" spans="1:11" s="28" customFormat="1" ht="12" customHeight="1" x14ac:dyDescent="0.2">
      <c r="A118" s="49">
        <v>2018</v>
      </c>
      <c r="B118" s="49" t="s">
        <v>10</v>
      </c>
      <c r="C118" s="60">
        <v>16.22645</v>
      </c>
      <c r="D118" s="60">
        <v>3.7114499999999997</v>
      </c>
      <c r="E118" s="60">
        <v>0</v>
      </c>
      <c r="F118" s="60">
        <v>0.86917999999999995</v>
      </c>
      <c r="G118" s="60">
        <v>0</v>
      </c>
      <c r="H118" s="60"/>
      <c r="I118" s="60">
        <v>0.8573599999999999</v>
      </c>
      <c r="J118" s="65">
        <v>21.664439999999999</v>
      </c>
    </row>
    <row r="119" spans="1:11" s="28" customFormat="1" ht="12" customHeight="1" x14ac:dyDescent="0.2">
      <c r="A119" s="49">
        <v>2018</v>
      </c>
      <c r="B119" s="49" t="s">
        <v>11</v>
      </c>
      <c r="C119" s="60">
        <v>22.775580000000001</v>
      </c>
      <c r="D119" s="60">
        <v>5.4299900000000001</v>
      </c>
      <c r="E119" s="60">
        <v>0</v>
      </c>
      <c r="F119" s="60">
        <v>0.58475999999999995</v>
      </c>
      <c r="G119" s="60">
        <v>0</v>
      </c>
      <c r="H119" s="60"/>
      <c r="I119" s="60">
        <v>0.87276999999999993</v>
      </c>
      <c r="J119" s="65">
        <v>29.6631</v>
      </c>
    </row>
    <row r="120" spans="1:11" s="28" customFormat="1" ht="12" customHeight="1" x14ac:dyDescent="0.2">
      <c r="A120" s="49">
        <v>2018</v>
      </c>
      <c r="B120" s="49" t="s">
        <v>12</v>
      </c>
      <c r="C120" s="60">
        <v>26.82441</v>
      </c>
      <c r="D120" s="60">
        <v>8.4182099999999984</v>
      </c>
      <c r="E120" s="60">
        <v>0</v>
      </c>
      <c r="F120" s="60">
        <v>0</v>
      </c>
      <c r="G120" s="60">
        <v>0</v>
      </c>
      <c r="H120" s="60"/>
      <c r="I120" s="60">
        <v>1.77156</v>
      </c>
      <c r="J120" s="65">
        <v>37.014180000000003</v>
      </c>
    </row>
    <row r="121" spans="1:11" s="28" customFormat="1" ht="12" customHeight="1" x14ac:dyDescent="0.2">
      <c r="A121" s="49">
        <v>2018</v>
      </c>
      <c r="B121" s="49" t="s">
        <v>13</v>
      </c>
      <c r="C121" s="60">
        <v>28.39171</v>
      </c>
      <c r="D121" s="60">
        <v>13.36421</v>
      </c>
      <c r="E121" s="60">
        <v>0.85842999999999992</v>
      </c>
      <c r="F121" s="60">
        <v>0.28673999999999999</v>
      </c>
      <c r="G121" s="60">
        <v>6.4453999999999994</v>
      </c>
      <c r="H121" s="60"/>
      <c r="I121" s="60">
        <v>0</v>
      </c>
      <c r="J121" s="65">
        <v>49.346490000000003</v>
      </c>
    </row>
    <row r="122" spans="1:11" s="28" customFormat="1" ht="11.25" customHeight="1" x14ac:dyDescent="0.2">
      <c r="A122" s="49">
        <v>2018</v>
      </c>
      <c r="B122" s="49" t="s">
        <v>14</v>
      </c>
      <c r="C122" s="60">
        <v>25.135080000000002</v>
      </c>
      <c r="D122" s="60">
        <v>16.638360000000002</v>
      </c>
      <c r="E122" s="60">
        <v>2.1263200000000002</v>
      </c>
      <c r="F122" s="60">
        <v>0</v>
      </c>
      <c r="G122" s="60">
        <v>11.59998</v>
      </c>
      <c r="H122" s="60"/>
      <c r="I122" s="60">
        <v>0</v>
      </c>
      <c r="J122" s="65">
        <v>55.49974000000001</v>
      </c>
    </row>
    <row r="123" spans="1:11" s="28" customFormat="1" ht="12" customHeight="1" x14ac:dyDescent="0.2">
      <c r="A123" s="49">
        <v>2018</v>
      </c>
      <c r="B123" s="49" t="s">
        <v>15</v>
      </c>
      <c r="C123" s="60">
        <v>3512.7756100000001</v>
      </c>
      <c r="D123" s="60">
        <v>824.47723000000008</v>
      </c>
      <c r="E123" s="60">
        <v>5.91791</v>
      </c>
      <c r="F123" s="60">
        <v>1086.6442299999999</v>
      </c>
      <c r="G123" s="60">
        <v>67.216279999999998</v>
      </c>
      <c r="H123" s="60"/>
      <c r="I123" s="60">
        <v>16.201959999999996</v>
      </c>
      <c r="J123" s="65">
        <v>5513.2332200000001</v>
      </c>
    </row>
    <row r="124" spans="1:11" s="28" customFormat="1" ht="12" customHeight="1" x14ac:dyDescent="0.2">
      <c r="A124" s="49">
        <v>2019</v>
      </c>
      <c r="B124" s="49" t="s">
        <v>3</v>
      </c>
      <c r="C124" s="60">
        <v>29.244599999999998</v>
      </c>
      <c r="D124" s="60">
        <v>23.53829</v>
      </c>
      <c r="E124" s="60">
        <v>0</v>
      </c>
      <c r="F124" s="60">
        <v>0</v>
      </c>
      <c r="G124" s="60">
        <v>0</v>
      </c>
      <c r="H124" s="60"/>
      <c r="I124" s="60">
        <v>0</v>
      </c>
      <c r="J124" s="65">
        <v>52.782889999999995</v>
      </c>
    </row>
    <row r="125" spans="1:11" s="28" customFormat="1" ht="12" customHeight="1" x14ac:dyDescent="0.2">
      <c r="A125" s="49">
        <v>2019</v>
      </c>
      <c r="B125" s="49" t="s">
        <v>4</v>
      </c>
      <c r="C125" s="60">
        <v>41.809830000000005</v>
      </c>
      <c r="D125" s="60">
        <v>22.606180000000002</v>
      </c>
      <c r="E125" s="60">
        <v>0</v>
      </c>
      <c r="F125" s="60">
        <v>0</v>
      </c>
      <c r="G125" s="60">
        <v>0</v>
      </c>
      <c r="H125" s="60"/>
      <c r="I125" s="60">
        <v>0</v>
      </c>
      <c r="J125" s="65">
        <v>64.41601</v>
      </c>
    </row>
    <row r="126" spans="1:11" s="28" customFormat="1" ht="12" customHeight="1" x14ac:dyDescent="0.2">
      <c r="A126" s="49">
        <v>2019</v>
      </c>
      <c r="B126" s="49" t="s">
        <v>5</v>
      </c>
      <c r="C126" s="60">
        <v>32.650690000000004</v>
      </c>
      <c r="D126" s="60">
        <v>21.570940000000004</v>
      </c>
      <c r="E126" s="60">
        <v>0</v>
      </c>
      <c r="F126" s="60">
        <v>19.314</v>
      </c>
      <c r="G126" s="60">
        <v>0</v>
      </c>
      <c r="H126" s="60"/>
      <c r="I126" s="60">
        <v>0</v>
      </c>
      <c r="J126" s="65">
        <v>73.535629999999998</v>
      </c>
    </row>
    <row r="127" spans="1:11" s="28" customFormat="1" ht="12" customHeight="1" x14ac:dyDescent="0.2">
      <c r="A127" s="49">
        <v>2019</v>
      </c>
      <c r="B127" s="49" t="s">
        <v>6</v>
      </c>
      <c r="C127" s="60">
        <v>22.0182</v>
      </c>
      <c r="D127" s="60">
        <v>11.447790000000001</v>
      </c>
      <c r="E127" s="60">
        <v>0</v>
      </c>
      <c r="F127" s="60">
        <v>80.791600000000003</v>
      </c>
      <c r="G127" s="60">
        <v>0</v>
      </c>
      <c r="H127" s="60"/>
      <c r="I127" s="60">
        <v>0</v>
      </c>
      <c r="J127" s="65">
        <v>114.25759000000001</v>
      </c>
    </row>
    <row r="128" spans="1:11" s="28" customFormat="1" ht="12" customHeight="1" x14ac:dyDescent="0.2">
      <c r="A128" s="49">
        <v>2019</v>
      </c>
      <c r="B128" s="49" t="s">
        <v>7</v>
      </c>
      <c r="C128" s="60">
        <v>45.568449999999999</v>
      </c>
      <c r="D128" s="60">
        <v>10.357010000000001</v>
      </c>
      <c r="E128" s="60">
        <v>2.3953699999999998</v>
      </c>
      <c r="F128" s="60">
        <v>4.1047399999999996</v>
      </c>
      <c r="G128" s="60">
        <v>3.8826399999999999</v>
      </c>
      <c r="H128" s="60"/>
      <c r="I128" s="60">
        <v>0</v>
      </c>
      <c r="J128" s="65">
        <v>66.308210000000003</v>
      </c>
    </row>
    <row r="129" spans="1:26" s="28" customFormat="1" ht="12" customHeight="1" x14ac:dyDescent="0.2">
      <c r="A129" s="49">
        <v>2019</v>
      </c>
      <c r="B129" s="49" t="s">
        <v>8</v>
      </c>
      <c r="C129" s="60">
        <v>49.47316</v>
      </c>
      <c r="D129" s="60">
        <v>9.7558199999999999</v>
      </c>
      <c r="E129" s="60">
        <v>2.6573899999999999</v>
      </c>
      <c r="F129" s="60">
        <v>5.8976999999999995</v>
      </c>
      <c r="G129" s="60">
        <v>29.287459999999999</v>
      </c>
      <c r="H129" s="60"/>
      <c r="I129" s="60">
        <v>0</v>
      </c>
      <c r="J129" s="65">
        <v>97.071529999999996</v>
      </c>
    </row>
    <row r="130" spans="1:26" s="28" customFormat="1" ht="12" customHeight="1" x14ac:dyDescent="0.2">
      <c r="A130" s="49">
        <v>2019</v>
      </c>
      <c r="B130" s="49" t="s">
        <v>9</v>
      </c>
      <c r="C130" s="60">
        <v>13.985100000000001</v>
      </c>
      <c r="D130" s="60">
        <v>9.2226899999999983</v>
      </c>
      <c r="E130" s="60">
        <v>0</v>
      </c>
      <c r="F130" s="60">
        <v>0</v>
      </c>
      <c r="G130" s="60">
        <v>0</v>
      </c>
      <c r="H130" s="60"/>
      <c r="I130" s="60">
        <v>0</v>
      </c>
      <c r="J130" s="65">
        <v>23.207789999999999</v>
      </c>
    </row>
    <row r="131" spans="1:26" s="28" customFormat="1" ht="12" customHeight="1" x14ac:dyDescent="0.2">
      <c r="A131" s="49">
        <v>2019</v>
      </c>
      <c r="B131" s="49" t="s">
        <v>10</v>
      </c>
      <c r="C131" s="60">
        <v>9.1231799999999996</v>
      </c>
      <c r="D131" s="60">
        <v>7.8721200000000007</v>
      </c>
      <c r="E131" s="60">
        <v>0</v>
      </c>
      <c r="F131" s="60">
        <v>47.768519999999995</v>
      </c>
      <c r="G131" s="60">
        <v>0</v>
      </c>
      <c r="H131" s="60"/>
      <c r="I131" s="60">
        <v>0</v>
      </c>
      <c r="J131" s="65">
        <v>64.763819999999996</v>
      </c>
    </row>
    <row r="132" spans="1:26" s="28" customFormat="1" ht="12" customHeight="1" x14ac:dyDescent="0.2">
      <c r="A132" s="49">
        <v>2019</v>
      </c>
      <c r="B132" s="49" t="s">
        <v>11</v>
      </c>
      <c r="C132" s="60">
        <v>63.550179999999997</v>
      </c>
      <c r="D132" s="60">
        <v>28.87687</v>
      </c>
      <c r="E132" s="60">
        <v>0</v>
      </c>
      <c r="F132" s="60">
        <v>1.44706</v>
      </c>
      <c r="G132" s="60">
        <v>0</v>
      </c>
      <c r="H132" s="60"/>
      <c r="I132" s="60">
        <v>0</v>
      </c>
      <c r="J132" s="65">
        <v>93.874109999999988</v>
      </c>
    </row>
    <row r="133" spans="1:26" s="28" customFormat="1" ht="12" customHeight="1" x14ac:dyDescent="0.2">
      <c r="A133" s="49">
        <v>2019</v>
      </c>
      <c r="B133" s="49" t="s">
        <v>12</v>
      </c>
      <c r="C133" s="60">
        <v>61.917809999999996</v>
      </c>
      <c r="D133" s="60">
        <v>15.101969999999998</v>
      </c>
      <c r="E133" s="60">
        <v>0</v>
      </c>
      <c r="F133" s="60">
        <v>46.074709999999996</v>
      </c>
      <c r="G133" s="60">
        <v>0</v>
      </c>
      <c r="H133" s="60"/>
      <c r="I133" s="60">
        <v>0</v>
      </c>
      <c r="J133" s="65">
        <v>123.09448999999999</v>
      </c>
    </row>
    <row r="134" spans="1:26" s="28" customFormat="1" ht="12" customHeight="1" x14ac:dyDescent="0.2">
      <c r="A134" s="49">
        <v>2019</v>
      </c>
      <c r="B134" s="49" t="s">
        <v>13</v>
      </c>
      <c r="C134" s="60">
        <v>19.014919999999996</v>
      </c>
      <c r="D134" s="60">
        <v>18.01052</v>
      </c>
      <c r="E134" s="60">
        <v>0</v>
      </c>
      <c r="F134" s="60">
        <v>0</v>
      </c>
      <c r="G134" s="60">
        <v>22.046580000000002</v>
      </c>
      <c r="H134" s="60"/>
      <c r="I134" s="60">
        <v>0</v>
      </c>
      <c r="J134" s="65">
        <v>59.072019999999995</v>
      </c>
    </row>
    <row r="135" spans="1:26" s="28" customFormat="1" ht="12" customHeight="1" x14ac:dyDescent="0.2">
      <c r="A135" s="49">
        <v>2019</v>
      </c>
      <c r="B135" s="49" t="s">
        <v>14</v>
      </c>
      <c r="C135" s="60">
        <v>72.593360000000018</v>
      </c>
      <c r="D135" s="60">
        <v>28.496990000000004</v>
      </c>
      <c r="E135" s="60">
        <v>0</v>
      </c>
      <c r="F135" s="60">
        <v>27.045189999999998</v>
      </c>
      <c r="G135" s="60">
        <v>0</v>
      </c>
      <c r="H135" s="60"/>
      <c r="I135" s="60">
        <v>0</v>
      </c>
      <c r="J135" s="65">
        <v>128.13554000000002</v>
      </c>
    </row>
    <row r="136" spans="1:26" s="28" customFormat="1" ht="12" customHeight="1" x14ac:dyDescent="0.2">
      <c r="A136" s="49">
        <v>2019</v>
      </c>
      <c r="B136" s="49" t="s">
        <v>15</v>
      </c>
      <c r="C136" s="60">
        <v>460.94947999999999</v>
      </c>
      <c r="D136" s="60">
        <v>206.85719000000003</v>
      </c>
      <c r="E136" s="60">
        <v>5.0527599999999993</v>
      </c>
      <c r="F136" s="60">
        <v>232.44351999999998</v>
      </c>
      <c r="G136" s="60">
        <v>55.216679999999997</v>
      </c>
      <c r="H136" s="60"/>
      <c r="I136" s="60">
        <v>0</v>
      </c>
      <c r="J136" s="65">
        <v>960.51962999999989</v>
      </c>
    </row>
    <row r="137" spans="1:26" s="28" customFormat="1" ht="12" customHeight="1" x14ac:dyDescent="0.2">
      <c r="A137" s="49">
        <v>2020</v>
      </c>
      <c r="B137" s="49" t="s">
        <v>3</v>
      </c>
      <c r="C137" s="60">
        <v>135.72369</v>
      </c>
      <c r="D137" s="60">
        <v>24.910260000000001</v>
      </c>
      <c r="E137" s="60">
        <v>0</v>
      </c>
      <c r="F137" s="60">
        <v>53.461349999999996</v>
      </c>
      <c r="G137" s="60">
        <v>0</v>
      </c>
      <c r="H137" s="60">
        <v>0</v>
      </c>
      <c r="I137" s="60">
        <v>51.780459999999998</v>
      </c>
      <c r="J137" s="65">
        <v>265.87576000000001</v>
      </c>
    </row>
    <row r="138" spans="1:26" s="28" customFormat="1" ht="12" customHeight="1" x14ac:dyDescent="0.2">
      <c r="A138" s="49">
        <v>2020</v>
      </c>
      <c r="B138" s="49" t="s">
        <v>4</v>
      </c>
      <c r="C138" s="60">
        <v>68.772320000000008</v>
      </c>
      <c r="D138" s="60">
        <v>23.89772</v>
      </c>
      <c r="E138" s="60">
        <v>0</v>
      </c>
      <c r="F138" s="60">
        <v>27.599340000000002</v>
      </c>
      <c r="G138" s="60">
        <v>17.272639999999999</v>
      </c>
      <c r="H138" s="60">
        <v>0</v>
      </c>
      <c r="I138" s="60">
        <v>0</v>
      </c>
      <c r="J138" s="65">
        <v>137.54202000000001</v>
      </c>
    </row>
    <row r="139" spans="1:26" s="28" customFormat="1" ht="12" customHeight="1" x14ac:dyDescent="0.2">
      <c r="A139" s="49">
        <v>2020</v>
      </c>
      <c r="B139" s="49" t="s">
        <v>5</v>
      </c>
      <c r="C139" s="60">
        <v>59.927910000000004</v>
      </c>
      <c r="D139" s="60">
        <v>19.259630000000001</v>
      </c>
      <c r="E139" s="60">
        <v>0</v>
      </c>
      <c r="F139" s="60">
        <v>15.133280000000001</v>
      </c>
      <c r="G139" s="60">
        <v>0</v>
      </c>
      <c r="H139" s="60">
        <v>0</v>
      </c>
      <c r="I139" s="60">
        <v>0</v>
      </c>
      <c r="J139" s="65">
        <v>94.320820000000012</v>
      </c>
      <c r="K139" s="73"/>
    </row>
    <row r="140" spans="1:26" ht="12" customHeight="1" x14ac:dyDescent="0.25">
      <c r="A140" s="49">
        <v>2020</v>
      </c>
      <c r="B140" s="49" t="s">
        <v>6</v>
      </c>
      <c r="C140" s="60">
        <v>10.67149</v>
      </c>
      <c r="D140" s="60">
        <v>11.311</v>
      </c>
      <c r="E140" s="60">
        <v>0</v>
      </c>
      <c r="F140" s="60">
        <v>28.111129999999999</v>
      </c>
      <c r="G140" s="60">
        <v>15.974</v>
      </c>
      <c r="H140" s="60">
        <v>0</v>
      </c>
      <c r="I140" s="60">
        <v>0</v>
      </c>
      <c r="J140" s="65">
        <v>66.067620000000005</v>
      </c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2" customHeight="1" x14ac:dyDescent="0.25">
      <c r="A141" s="49">
        <v>2020</v>
      </c>
      <c r="B141" s="49" t="s">
        <v>7</v>
      </c>
      <c r="C141" s="60">
        <v>8.9509100000000004</v>
      </c>
      <c r="D141" s="60">
        <v>8.1057799999999993</v>
      </c>
      <c r="E141" s="60">
        <v>0</v>
      </c>
      <c r="F141" s="60">
        <v>96.122129999999999</v>
      </c>
      <c r="G141" s="60">
        <v>0</v>
      </c>
      <c r="H141" s="60">
        <v>0</v>
      </c>
      <c r="I141" s="60">
        <v>0</v>
      </c>
      <c r="J141" s="65">
        <v>113.17882</v>
      </c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2" customHeight="1" x14ac:dyDescent="0.25">
      <c r="A142" s="49">
        <v>2020</v>
      </c>
      <c r="B142" s="49" t="s">
        <v>8</v>
      </c>
      <c r="C142" s="60">
        <v>13.652709999999999</v>
      </c>
      <c r="D142" s="60">
        <v>8.7951599999999992</v>
      </c>
      <c r="E142" s="60">
        <v>0</v>
      </c>
      <c r="F142" s="60">
        <v>48.939099999999996</v>
      </c>
      <c r="G142" s="60">
        <v>0</v>
      </c>
      <c r="H142" s="60">
        <v>0</v>
      </c>
      <c r="I142" s="60">
        <v>0</v>
      </c>
      <c r="J142" s="65">
        <v>71.386969999999991</v>
      </c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2" customHeight="1" x14ac:dyDescent="0.25">
      <c r="A143" s="49">
        <v>2020</v>
      </c>
      <c r="B143" s="49" t="s">
        <v>9</v>
      </c>
      <c r="C143" s="60">
        <v>10.94183</v>
      </c>
      <c r="D143" s="60">
        <v>7.6215000000000011</v>
      </c>
      <c r="E143" s="60">
        <v>0</v>
      </c>
      <c r="F143" s="60">
        <v>57.866999999999997</v>
      </c>
      <c r="G143" s="60">
        <v>0</v>
      </c>
      <c r="H143" s="60">
        <v>0</v>
      </c>
      <c r="I143" s="60">
        <v>0</v>
      </c>
      <c r="J143" s="65">
        <v>76.430329999999998</v>
      </c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2" customHeight="1" x14ac:dyDescent="0.25">
      <c r="A144" s="63">
        <v>2020</v>
      </c>
      <c r="B144" s="50" t="s">
        <v>10</v>
      </c>
      <c r="C144" s="40">
        <v>48.355229999999999</v>
      </c>
      <c r="D144" s="40">
        <v>7.6149300000000002</v>
      </c>
      <c r="E144" s="40">
        <v>0</v>
      </c>
      <c r="F144" s="40">
        <v>0</v>
      </c>
      <c r="G144" s="40">
        <v>90.999209999999991</v>
      </c>
      <c r="H144" s="40">
        <v>0</v>
      </c>
      <c r="I144" s="40">
        <v>0</v>
      </c>
      <c r="J144" s="66">
        <v>146.96937</v>
      </c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2" customHeight="1" x14ac:dyDescent="0.25">
      <c r="A145" s="63">
        <v>2020</v>
      </c>
      <c r="B145" s="50" t="s">
        <v>11</v>
      </c>
      <c r="C145" s="40">
        <v>37.435470000000002</v>
      </c>
      <c r="D145" s="40">
        <v>9.5868199999999995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66">
        <v>47.022289999999998</v>
      </c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2" customHeight="1" x14ac:dyDescent="0.25">
      <c r="A146" s="63">
        <v>2020</v>
      </c>
      <c r="B146" s="50" t="s">
        <v>12</v>
      </c>
      <c r="C146" s="40">
        <v>43.971160000000005</v>
      </c>
      <c r="D146" s="40">
        <v>12.419319999999999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66">
        <v>56.390480000000004</v>
      </c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2" customHeight="1" x14ac:dyDescent="0.25">
      <c r="A147" s="63">
        <v>2020</v>
      </c>
      <c r="B147" s="50" t="s">
        <v>13</v>
      </c>
      <c r="C147" s="40">
        <v>54.113610000000001</v>
      </c>
      <c r="D147" s="40">
        <v>14.55</v>
      </c>
      <c r="E147" s="40">
        <v>0</v>
      </c>
      <c r="F147" s="40">
        <v>29.386779999999998</v>
      </c>
      <c r="G147" s="40">
        <v>0</v>
      </c>
      <c r="H147" s="40">
        <v>0</v>
      </c>
      <c r="I147" s="40">
        <v>145.13882999999998</v>
      </c>
      <c r="J147" s="66">
        <v>243.18921999999998</v>
      </c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2" customHeight="1" x14ac:dyDescent="0.25">
      <c r="A148" s="63">
        <v>2020</v>
      </c>
      <c r="B148" s="50" t="s">
        <v>14</v>
      </c>
      <c r="C148" s="40">
        <v>50.476999999999997</v>
      </c>
      <c r="D148" s="40">
        <v>14.62293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66">
        <v>65.099930000000001</v>
      </c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2" customHeight="1" x14ac:dyDescent="0.25">
      <c r="A149" s="63">
        <v>2020</v>
      </c>
      <c r="B149" s="50" t="s">
        <v>15</v>
      </c>
      <c r="C149" s="40">
        <v>542.99333000000001</v>
      </c>
      <c r="D149" s="80">
        <v>162.69505000000001</v>
      </c>
      <c r="E149" s="80">
        <v>0</v>
      </c>
      <c r="F149" s="80">
        <v>356.62011000000001</v>
      </c>
      <c r="G149" s="80">
        <v>124.24584999999999</v>
      </c>
      <c r="H149" s="80">
        <v>0</v>
      </c>
      <c r="I149" s="80">
        <v>196.91928999999999</v>
      </c>
      <c r="J149" s="66">
        <v>1383.4736300000002</v>
      </c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2" customHeight="1" x14ac:dyDescent="0.25">
      <c r="A150" s="49">
        <v>2021</v>
      </c>
      <c r="B150" s="49" t="s">
        <v>3</v>
      </c>
      <c r="C150" s="40">
        <v>68.271799999999985</v>
      </c>
      <c r="D150" s="40">
        <v>14.798749999999998</v>
      </c>
      <c r="E150" s="40">
        <v>348.73172999999997</v>
      </c>
      <c r="F150" s="40">
        <v>929.86863000000005</v>
      </c>
      <c r="G150" s="40">
        <v>19.78162</v>
      </c>
      <c r="H150" s="40">
        <v>0</v>
      </c>
      <c r="I150" s="40">
        <v>0</v>
      </c>
      <c r="J150" s="67">
        <v>1381.45253</v>
      </c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2" customHeight="1" x14ac:dyDescent="0.25">
      <c r="A151" s="49">
        <v>2021</v>
      </c>
      <c r="B151" s="49" t="s">
        <v>4</v>
      </c>
      <c r="C151" s="40">
        <v>60.531529999999997</v>
      </c>
      <c r="D151" s="40">
        <v>13.12021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67">
        <v>73.65173999999999</v>
      </c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2" customHeight="1" x14ac:dyDescent="0.25">
      <c r="A152" s="49">
        <v>2021</v>
      </c>
      <c r="B152" s="49" t="s">
        <v>5</v>
      </c>
      <c r="C152" s="40">
        <v>89.249460000000013</v>
      </c>
      <c r="D152" s="40">
        <v>19.652380000000001</v>
      </c>
      <c r="E152" s="40">
        <v>2.8255100000000004</v>
      </c>
      <c r="F152" s="40">
        <v>0</v>
      </c>
      <c r="G152" s="40">
        <v>2.4121300000000003</v>
      </c>
      <c r="H152" s="40">
        <v>0</v>
      </c>
      <c r="I152" s="40">
        <v>0</v>
      </c>
      <c r="J152" s="67">
        <v>114.13948000000002</v>
      </c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2" customHeight="1" x14ac:dyDescent="0.25">
      <c r="A153" s="49">
        <v>2021</v>
      </c>
      <c r="B153" s="49" t="s">
        <v>6</v>
      </c>
      <c r="C153" s="40">
        <v>100.34072</v>
      </c>
      <c r="D153" s="40">
        <v>10.202350000000001</v>
      </c>
      <c r="E153" s="40">
        <v>0.60086000000000006</v>
      </c>
      <c r="F153" s="40">
        <v>0</v>
      </c>
      <c r="G153" s="40">
        <v>66.688420000000008</v>
      </c>
      <c r="H153" s="40">
        <v>0</v>
      </c>
      <c r="I153" s="40">
        <v>0</v>
      </c>
      <c r="J153" s="67">
        <v>177.83235000000002</v>
      </c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2" customHeight="1" x14ac:dyDescent="0.25">
      <c r="A154" s="49">
        <v>2021</v>
      </c>
      <c r="B154" s="49" t="s">
        <v>7</v>
      </c>
      <c r="C154" s="40">
        <v>51.552709999999998</v>
      </c>
      <c r="D154" s="40">
        <v>8.4093700000000009</v>
      </c>
      <c r="E154" s="40">
        <v>1021.91452</v>
      </c>
      <c r="F154" s="40">
        <v>67.347700000000017</v>
      </c>
      <c r="G154" s="40">
        <v>37.816180000000003</v>
      </c>
      <c r="H154" s="40">
        <v>0</v>
      </c>
      <c r="I154" s="40">
        <v>0</v>
      </c>
      <c r="J154" s="67">
        <v>1187.0404800000001</v>
      </c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2" customHeight="1" x14ac:dyDescent="0.25">
      <c r="A155" s="49">
        <v>2021</v>
      </c>
      <c r="B155" s="49" t="s">
        <v>8</v>
      </c>
      <c r="C155" s="40">
        <v>58.750800000000005</v>
      </c>
      <c r="D155" s="40">
        <v>928.00623999999993</v>
      </c>
      <c r="E155" s="40">
        <v>0</v>
      </c>
      <c r="F155" s="40">
        <v>38.659930000000003</v>
      </c>
      <c r="G155" s="40">
        <v>1015.15433</v>
      </c>
      <c r="H155" s="40">
        <v>0</v>
      </c>
      <c r="I155" s="40">
        <v>0</v>
      </c>
      <c r="J155" s="67">
        <v>2040.5713000000001</v>
      </c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2" customHeight="1" x14ac:dyDescent="0.25">
      <c r="A156" s="49">
        <v>2021</v>
      </c>
      <c r="B156" s="49" t="s">
        <v>9</v>
      </c>
      <c r="C156" s="40">
        <v>1024.73999</v>
      </c>
      <c r="D156" s="40">
        <v>4.8973099999999992</v>
      </c>
      <c r="E156" s="40">
        <v>0</v>
      </c>
      <c r="F156" s="40">
        <v>921.22405000000003</v>
      </c>
      <c r="G156" s="40">
        <v>0</v>
      </c>
      <c r="H156" s="40">
        <v>0</v>
      </c>
      <c r="I156" s="40">
        <v>29.792480000000001</v>
      </c>
      <c r="J156" s="67">
        <v>1980.6538300000002</v>
      </c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2" customHeight="1" x14ac:dyDescent="0.25">
      <c r="A157" s="49">
        <v>2021</v>
      </c>
      <c r="B157" s="49" t="s">
        <v>10</v>
      </c>
      <c r="C157" s="40">
        <v>1266.0303699999999</v>
      </c>
      <c r="D157" s="40">
        <v>4.0228799999999998</v>
      </c>
      <c r="E157" s="40">
        <v>0</v>
      </c>
      <c r="F157" s="40">
        <v>2009.1861899999999</v>
      </c>
      <c r="G157" s="40">
        <v>47.514870000000002</v>
      </c>
      <c r="H157" s="40">
        <v>0</v>
      </c>
      <c r="I157" s="40">
        <v>1198.0142900000001</v>
      </c>
      <c r="J157" s="67">
        <v>4524.7685999999994</v>
      </c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2" customHeight="1" x14ac:dyDescent="0.25">
      <c r="A158" s="49">
        <v>2021</v>
      </c>
      <c r="B158" s="49" t="s">
        <v>11</v>
      </c>
      <c r="C158" s="40">
        <v>1016.69974</v>
      </c>
      <c r="D158" s="40">
        <v>5.1928900000000002</v>
      </c>
      <c r="E158" s="40">
        <v>0</v>
      </c>
      <c r="F158" s="40">
        <v>978.30789000000004</v>
      </c>
      <c r="G158" s="40">
        <v>0</v>
      </c>
      <c r="H158" s="40">
        <v>0</v>
      </c>
      <c r="I158" s="40">
        <v>0</v>
      </c>
      <c r="J158" s="67">
        <v>2000.2005200000001</v>
      </c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2" customHeight="1" x14ac:dyDescent="0.25">
      <c r="A159" s="49">
        <v>2021</v>
      </c>
      <c r="B159" s="49" t="s">
        <v>12</v>
      </c>
      <c r="C159" s="40">
        <v>42.225019999999994</v>
      </c>
      <c r="D159" s="40">
        <v>8.1482399999999995</v>
      </c>
      <c r="E159" s="40">
        <v>401.69134000000003</v>
      </c>
      <c r="F159" s="40">
        <v>65.424900000000008</v>
      </c>
      <c r="G159" s="40">
        <v>0</v>
      </c>
      <c r="H159" s="40">
        <v>0</v>
      </c>
      <c r="I159" s="40">
        <v>3.91215</v>
      </c>
      <c r="J159" s="67">
        <v>521.40165000000002</v>
      </c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2" customHeight="1" x14ac:dyDescent="0.25">
      <c r="A160" s="49">
        <v>2021</v>
      </c>
      <c r="B160" s="49" t="s">
        <v>13</v>
      </c>
      <c r="C160" s="40">
        <v>414.20398</v>
      </c>
      <c r="D160" s="40">
        <v>10.5724</v>
      </c>
      <c r="E160" s="40">
        <v>1.9418199999999999</v>
      </c>
      <c r="F160" s="40">
        <v>42.840980000000002</v>
      </c>
      <c r="G160" s="40">
        <v>0</v>
      </c>
      <c r="H160" s="40">
        <v>0</v>
      </c>
      <c r="I160" s="40">
        <v>1104.3515199999999</v>
      </c>
      <c r="J160" s="67">
        <v>1573.9106999999999</v>
      </c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2" customHeight="1" x14ac:dyDescent="0.25">
      <c r="A161" s="49">
        <v>2021</v>
      </c>
      <c r="B161" s="49" t="s">
        <v>14</v>
      </c>
      <c r="C161" s="40">
        <v>64.265720000000002</v>
      </c>
      <c r="D161" s="40">
        <v>11.35553</v>
      </c>
      <c r="E161" s="40">
        <v>0</v>
      </c>
      <c r="F161" s="40">
        <v>32.398580000000003</v>
      </c>
      <c r="G161" s="40">
        <v>0</v>
      </c>
      <c r="H161" s="40">
        <v>0</v>
      </c>
      <c r="I161" s="40">
        <v>930.80729000000008</v>
      </c>
      <c r="J161" s="67">
        <v>1038.8271200000001</v>
      </c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2" customHeight="1" x14ac:dyDescent="0.25">
      <c r="A162" s="49">
        <v>2021</v>
      </c>
      <c r="B162" s="49" t="s">
        <v>15</v>
      </c>
      <c r="C162" s="40">
        <v>4256.8618400000005</v>
      </c>
      <c r="D162" s="80">
        <v>1038.3785499999999</v>
      </c>
      <c r="E162" s="80">
        <v>1777.70578</v>
      </c>
      <c r="F162" s="80">
        <v>5085.2588500000002</v>
      </c>
      <c r="G162" s="80">
        <v>1189.3675499999999</v>
      </c>
      <c r="H162" s="80">
        <v>0</v>
      </c>
      <c r="I162" s="80">
        <v>3266.8777300000006</v>
      </c>
      <c r="J162" s="67">
        <v>16614.4503</v>
      </c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2" customHeight="1" x14ac:dyDescent="0.25">
      <c r="A163" s="63">
        <v>2022</v>
      </c>
      <c r="B163" s="50" t="s">
        <v>3</v>
      </c>
      <c r="C163" s="40">
        <v>20.81147</v>
      </c>
      <c r="D163" s="40">
        <v>742.59067000000005</v>
      </c>
      <c r="E163" s="40">
        <v>27.501529999999999</v>
      </c>
      <c r="F163" s="40">
        <v>45.925539999999998</v>
      </c>
      <c r="G163" s="40">
        <v>0</v>
      </c>
      <c r="H163" s="40">
        <v>0</v>
      </c>
      <c r="I163" s="40">
        <v>979.21812999999997</v>
      </c>
      <c r="J163" s="66">
        <v>1816.0473400000001</v>
      </c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2" customHeight="1" x14ac:dyDescent="0.25">
      <c r="A164" s="63">
        <v>2022</v>
      </c>
      <c r="B164" s="50" t="s">
        <v>4</v>
      </c>
      <c r="C164" s="40">
        <v>113.13933</v>
      </c>
      <c r="D164" s="40">
        <v>9.0498700000000003</v>
      </c>
      <c r="E164" s="40">
        <v>941.74436000000003</v>
      </c>
      <c r="F164" s="40">
        <v>1004.9321600000001</v>
      </c>
      <c r="G164" s="40">
        <v>0</v>
      </c>
      <c r="H164" s="40">
        <v>0</v>
      </c>
      <c r="I164" s="40">
        <v>0</v>
      </c>
      <c r="J164" s="66">
        <v>2068.8657199999998</v>
      </c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2" customHeight="1" x14ac:dyDescent="0.25">
      <c r="A165" s="63">
        <v>2022</v>
      </c>
      <c r="B165" s="50" t="s">
        <v>5</v>
      </c>
      <c r="C165" s="40">
        <v>45.832660000000004</v>
      </c>
      <c r="D165" s="40">
        <v>8.6506399999999992</v>
      </c>
      <c r="E165" s="40">
        <v>0</v>
      </c>
      <c r="F165" s="40">
        <v>27.709489999999999</v>
      </c>
      <c r="G165" s="40">
        <v>13.334</v>
      </c>
      <c r="H165" s="40">
        <v>0</v>
      </c>
      <c r="I165" s="40">
        <v>0</v>
      </c>
      <c r="J165" s="66">
        <v>95.526790000000005</v>
      </c>
      <c r="K165" s="55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2" customHeight="1" x14ac:dyDescent="0.25">
      <c r="A166" s="63">
        <v>2022</v>
      </c>
      <c r="B166" s="50" t="s">
        <v>6</v>
      </c>
      <c r="C166" s="40">
        <v>109.81083</v>
      </c>
      <c r="D166" s="40">
        <v>10.04233</v>
      </c>
      <c r="E166" s="40">
        <v>1.71655</v>
      </c>
      <c r="F166" s="40">
        <v>1936.79107</v>
      </c>
      <c r="G166" s="40">
        <v>0</v>
      </c>
      <c r="H166" s="40">
        <v>0</v>
      </c>
      <c r="I166" s="40">
        <v>0</v>
      </c>
      <c r="J166" s="66">
        <v>2058.36078</v>
      </c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2" customHeight="1" x14ac:dyDescent="0.25">
      <c r="A167" s="63">
        <v>2022</v>
      </c>
      <c r="B167" s="50" t="s">
        <v>7</v>
      </c>
      <c r="C167" s="40">
        <v>235.70635999999999</v>
      </c>
      <c r="D167" s="40">
        <v>33.15061</v>
      </c>
      <c r="E167" s="40">
        <v>1.7179599999999999</v>
      </c>
      <c r="F167" s="40">
        <v>0</v>
      </c>
      <c r="G167" s="40">
        <v>962.17211999999995</v>
      </c>
      <c r="H167" s="40">
        <v>0</v>
      </c>
      <c r="I167" s="40">
        <v>250.12262999999999</v>
      </c>
      <c r="J167" s="66">
        <v>1482.86968</v>
      </c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2" customHeight="1" x14ac:dyDescent="0.25">
      <c r="A168" s="63">
        <v>2022</v>
      </c>
      <c r="B168" s="50" t="s">
        <v>8</v>
      </c>
      <c r="C168" s="40">
        <v>139.94557</v>
      </c>
      <c r="D168" s="40">
        <v>15.301309999999999</v>
      </c>
      <c r="E168" s="40">
        <v>1.0311900000000001</v>
      </c>
      <c r="F168" s="40">
        <v>40.524519999999995</v>
      </c>
      <c r="G168" s="40">
        <v>0</v>
      </c>
      <c r="H168" s="40">
        <v>0</v>
      </c>
      <c r="I168" s="40">
        <v>568.41205000000002</v>
      </c>
      <c r="J168" s="66">
        <v>765.21464000000003</v>
      </c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2" customHeight="1" x14ac:dyDescent="0.25">
      <c r="A169" s="63">
        <v>2022</v>
      </c>
      <c r="B169" s="50" t="s">
        <v>9</v>
      </c>
      <c r="C169" s="40">
        <v>345.60363000000001</v>
      </c>
      <c r="D169" s="40">
        <v>21.905619999999999</v>
      </c>
      <c r="E169" s="40">
        <v>17.518279999999997</v>
      </c>
      <c r="F169" s="40">
        <v>0</v>
      </c>
      <c r="G169" s="40">
        <v>50.286279999999998</v>
      </c>
      <c r="H169" s="40">
        <v>0</v>
      </c>
      <c r="I169" s="40">
        <v>497.39839000000001</v>
      </c>
      <c r="J169" s="66">
        <v>932.71219999999994</v>
      </c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2" customHeight="1" x14ac:dyDescent="0.25">
      <c r="A170" s="63">
        <v>2022</v>
      </c>
      <c r="B170" s="50" t="s">
        <v>10</v>
      </c>
      <c r="C170" s="40">
        <v>1391.56872</v>
      </c>
      <c r="D170" s="40">
        <v>323.81597000000005</v>
      </c>
      <c r="E170" s="40">
        <v>0</v>
      </c>
      <c r="F170" s="40">
        <v>2110.8560600000001</v>
      </c>
      <c r="G170" s="40">
        <v>0</v>
      </c>
      <c r="H170" s="40">
        <v>0</v>
      </c>
      <c r="I170" s="40">
        <v>857.32680999999991</v>
      </c>
      <c r="J170" s="66">
        <v>4683.5675599999995</v>
      </c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2" customHeight="1" x14ac:dyDescent="0.25">
      <c r="A171" s="63">
        <v>2022</v>
      </c>
      <c r="B171" s="50" t="s">
        <v>11</v>
      </c>
      <c r="C171" s="40">
        <v>377.60469000000001</v>
      </c>
      <c r="D171" s="40">
        <v>19.843640000000001</v>
      </c>
      <c r="E171" s="40">
        <v>0</v>
      </c>
      <c r="F171" s="40">
        <v>49.652020000000007</v>
      </c>
      <c r="G171" s="40">
        <v>0</v>
      </c>
      <c r="H171" s="40">
        <v>0</v>
      </c>
      <c r="I171" s="40">
        <v>653.86721999999986</v>
      </c>
      <c r="J171" s="66">
        <v>1100.9675699999998</v>
      </c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2" customHeight="1" x14ac:dyDescent="0.25">
      <c r="A172" s="63">
        <v>2022</v>
      </c>
      <c r="B172" s="50" t="s">
        <v>12</v>
      </c>
      <c r="C172" s="40">
        <v>982.39776000000006</v>
      </c>
      <c r="D172" s="40">
        <v>23.141839999999998</v>
      </c>
      <c r="E172" s="40">
        <v>435.67658</v>
      </c>
      <c r="F172" s="40">
        <v>1121.9810600000001</v>
      </c>
      <c r="G172" s="40">
        <v>112.37257000000001</v>
      </c>
      <c r="H172" s="40">
        <v>0</v>
      </c>
      <c r="I172" s="40">
        <v>1510.9318599999999</v>
      </c>
      <c r="J172" s="66">
        <v>4186.5016700000006</v>
      </c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2" customHeight="1" x14ac:dyDescent="0.25">
      <c r="A173" s="63">
        <v>2022</v>
      </c>
      <c r="B173" s="50" t="s">
        <v>13</v>
      </c>
      <c r="C173" s="40">
        <v>478.78242999999998</v>
      </c>
      <c r="D173" s="40">
        <v>24.741669999999999</v>
      </c>
      <c r="E173" s="40">
        <v>1196.0673199999999</v>
      </c>
      <c r="F173" s="40">
        <v>19.667249999999999</v>
      </c>
      <c r="G173" s="40">
        <v>110.92627</v>
      </c>
      <c r="H173" s="40">
        <v>0</v>
      </c>
      <c r="I173" s="40">
        <v>214.17587</v>
      </c>
      <c r="J173" s="66">
        <v>2044.3608099999997</v>
      </c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2" customHeight="1" x14ac:dyDescent="0.25">
      <c r="A174" s="63">
        <v>2022</v>
      </c>
      <c r="B174" s="50" t="s">
        <v>14</v>
      </c>
      <c r="C174" s="40">
        <v>935.34505999999999</v>
      </c>
      <c r="D174" s="40">
        <v>37.43974</v>
      </c>
      <c r="E174" s="40">
        <v>607.56179000000009</v>
      </c>
      <c r="F174" s="40">
        <v>637.64402000000007</v>
      </c>
      <c r="G174" s="40">
        <v>0</v>
      </c>
      <c r="H174" s="40">
        <v>0</v>
      </c>
      <c r="I174" s="40">
        <v>1597.9932099999999</v>
      </c>
      <c r="J174" s="66">
        <v>3815.9838200000004</v>
      </c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2" customHeight="1" x14ac:dyDescent="0.25">
      <c r="A175" s="63">
        <v>2022</v>
      </c>
      <c r="B175" s="50" t="s">
        <v>15</v>
      </c>
      <c r="C175" s="40">
        <v>5176.5485099999996</v>
      </c>
      <c r="D175" s="80">
        <v>1269.6739100000002</v>
      </c>
      <c r="E175" s="80">
        <v>3230.5355599999998</v>
      </c>
      <c r="F175" s="80">
        <v>6995.6831900000006</v>
      </c>
      <c r="G175" s="80">
        <v>1249.0912399999997</v>
      </c>
      <c r="H175" s="80">
        <v>0</v>
      </c>
      <c r="I175" s="80">
        <v>7129.4461699999993</v>
      </c>
      <c r="J175" s="66">
        <v>25050.978579999999</v>
      </c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2" customHeight="1" x14ac:dyDescent="0.25">
      <c r="A176" s="49">
        <v>2023</v>
      </c>
      <c r="B176" s="49" t="s">
        <v>3</v>
      </c>
      <c r="C176" s="40">
        <v>940.8994100000001</v>
      </c>
      <c r="D176" s="40">
        <v>35.084389999999999</v>
      </c>
      <c r="E176" s="40">
        <v>427.76236</v>
      </c>
      <c r="F176" s="40">
        <v>508.04581999999994</v>
      </c>
      <c r="G176" s="40">
        <v>303.86730999999997</v>
      </c>
      <c r="H176" s="40">
        <v>0</v>
      </c>
      <c r="I176" s="40">
        <v>1002.9294200000001</v>
      </c>
      <c r="J176" s="67">
        <v>3218.58871</v>
      </c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2" customHeight="1" x14ac:dyDescent="0.25">
      <c r="A177" s="49">
        <v>2023</v>
      </c>
      <c r="B177" s="49" t="s">
        <v>4</v>
      </c>
      <c r="C177" s="40">
        <v>496.47917000000007</v>
      </c>
      <c r="D177" s="40">
        <v>28.051870000000001</v>
      </c>
      <c r="E177" s="40">
        <v>427.51597999999996</v>
      </c>
      <c r="F177" s="40">
        <v>39.447420000000001</v>
      </c>
      <c r="G177" s="40">
        <v>61.875749999999996</v>
      </c>
      <c r="H177" s="40">
        <v>0</v>
      </c>
      <c r="I177" s="40">
        <v>551.96186999999998</v>
      </c>
      <c r="J177" s="67">
        <v>1605.3320599999997</v>
      </c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2" customHeight="1" x14ac:dyDescent="0.25">
      <c r="A178" s="49">
        <v>2023</v>
      </c>
      <c r="B178" s="49" t="s">
        <v>5</v>
      </c>
      <c r="C178" s="40">
        <v>878.69682999999998</v>
      </c>
      <c r="D178" s="40">
        <v>41.196449999999999</v>
      </c>
      <c r="E178" s="40">
        <v>489.31311999999997</v>
      </c>
      <c r="F178" s="40">
        <v>0.78400000000000003</v>
      </c>
      <c r="G178" s="40">
        <v>48.195</v>
      </c>
      <c r="H178" s="40">
        <v>0</v>
      </c>
      <c r="I178" s="40">
        <v>909.05284000000006</v>
      </c>
      <c r="J178" s="67">
        <v>2367.2382400000001</v>
      </c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2" customHeight="1" x14ac:dyDescent="0.25">
      <c r="A179" s="49">
        <v>2023</v>
      </c>
      <c r="B179" s="49" t="s">
        <v>6</v>
      </c>
      <c r="C179" s="40">
        <v>1040.8457800000001</v>
      </c>
      <c r="D179" s="40">
        <v>47.882989999999999</v>
      </c>
      <c r="E179" s="40">
        <v>0</v>
      </c>
      <c r="F179" s="40">
        <v>0</v>
      </c>
      <c r="G179" s="40">
        <v>108.90281</v>
      </c>
      <c r="H179" s="40">
        <v>0</v>
      </c>
      <c r="I179" s="40">
        <v>452.85581999999999</v>
      </c>
      <c r="J179" s="67">
        <v>1650.4874000000002</v>
      </c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2" customHeight="1" x14ac:dyDescent="0.25">
      <c r="A180" s="49">
        <v>2023</v>
      </c>
      <c r="B180" s="49" t="s">
        <v>7</v>
      </c>
      <c r="C180" s="40">
        <v>161.50065000000001</v>
      </c>
      <c r="D180" s="40">
        <v>656.08973000000003</v>
      </c>
      <c r="E180" s="40">
        <v>958.37231000000008</v>
      </c>
      <c r="F180" s="40">
        <v>60.071930000000002</v>
      </c>
      <c r="G180" s="40">
        <v>412.40219000000002</v>
      </c>
      <c r="H180" s="40">
        <v>0</v>
      </c>
      <c r="I180" s="40">
        <v>0</v>
      </c>
      <c r="J180" s="67">
        <v>2248.4368100000002</v>
      </c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2" customHeight="1" x14ac:dyDescent="0.25">
      <c r="A181" s="49">
        <v>2023</v>
      </c>
      <c r="B181" s="49" t="s">
        <v>8</v>
      </c>
      <c r="C181" s="40">
        <v>97.718959999999996</v>
      </c>
      <c r="D181" s="40">
        <v>52.462629999999997</v>
      </c>
      <c r="E181" s="40">
        <v>125.965</v>
      </c>
      <c r="F181" s="40">
        <v>98.584339999999997</v>
      </c>
      <c r="G181" s="40">
        <v>81.125339999999994</v>
      </c>
      <c r="H181" s="40">
        <v>0</v>
      </c>
      <c r="I181" s="40">
        <v>37.67</v>
      </c>
      <c r="J181" s="67">
        <v>493.52627000000001</v>
      </c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2" customHeight="1" x14ac:dyDescent="0.25">
      <c r="A182" s="49">
        <v>2023</v>
      </c>
      <c r="B182" s="49" t="s">
        <v>9</v>
      </c>
      <c r="C182" s="40">
        <v>216.77882</v>
      </c>
      <c r="D182" s="40">
        <v>97.94126</v>
      </c>
      <c r="E182" s="40">
        <v>27.609919999999999</v>
      </c>
      <c r="F182" s="40">
        <v>101.67567000000001</v>
      </c>
      <c r="G182" s="40">
        <v>0</v>
      </c>
      <c r="H182" s="40">
        <v>0</v>
      </c>
      <c r="I182" s="40">
        <v>0</v>
      </c>
      <c r="J182" s="67">
        <v>444.00567000000001</v>
      </c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2" customHeight="1" x14ac:dyDescent="0.25">
      <c r="A183" s="49">
        <v>2023</v>
      </c>
      <c r="B183" s="49" t="s">
        <v>10</v>
      </c>
      <c r="C183" s="40">
        <v>197.13656000000003</v>
      </c>
      <c r="D183" s="40">
        <v>42.620140000000013</v>
      </c>
      <c r="E183" s="40">
        <v>1135.3537099999999</v>
      </c>
      <c r="F183" s="40">
        <v>34.203489999999995</v>
      </c>
      <c r="G183" s="40">
        <v>0</v>
      </c>
      <c r="H183" s="40">
        <v>0</v>
      </c>
      <c r="I183" s="40">
        <v>904.39562999999998</v>
      </c>
      <c r="J183" s="67">
        <v>2313.7095300000001</v>
      </c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2" customHeight="1" x14ac:dyDescent="0.25">
      <c r="A184" s="49">
        <v>2023</v>
      </c>
      <c r="B184" s="49" t="s">
        <v>11</v>
      </c>
      <c r="C184" s="40">
        <v>327.72151000000002</v>
      </c>
      <c r="D184" s="40">
        <v>29.719720000000002</v>
      </c>
      <c r="E184" s="40">
        <v>0</v>
      </c>
      <c r="F184" s="40">
        <v>63.046910000000004</v>
      </c>
      <c r="G184" s="40">
        <v>110.89107000000001</v>
      </c>
      <c r="H184" s="40">
        <v>0</v>
      </c>
      <c r="I184" s="40">
        <v>161.85495</v>
      </c>
      <c r="J184" s="67">
        <v>693.23416000000009</v>
      </c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2" customHeight="1" x14ac:dyDescent="0.25">
      <c r="A185" s="49">
        <v>2023</v>
      </c>
      <c r="B185" s="49" t="s">
        <v>12</v>
      </c>
      <c r="C185" s="40">
        <v>280.31988999999999</v>
      </c>
      <c r="D185" s="40">
        <v>737.62771999999984</v>
      </c>
      <c r="E185" s="40">
        <v>1.7527300000000001</v>
      </c>
      <c r="F185" s="40">
        <v>0</v>
      </c>
      <c r="G185" s="40">
        <v>17.96968</v>
      </c>
      <c r="H185" s="40">
        <v>0</v>
      </c>
      <c r="I185" s="40">
        <v>1693.49693</v>
      </c>
      <c r="J185" s="67">
        <v>2731.1669499999998</v>
      </c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2" customHeight="1" x14ac:dyDescent="0.25">
      <c r="A186" s="49">
        <v>2023</v>
      </c>
      <c r="B186" s="49" t="s">
        <v>13</v>
      </c>
      <c r="C186" s="40">
        <v>301.66408000000001</v>
      </c>
      <c r="D186" s="40">
        <v>47.107009999999995</v>
      </c>
      <c r="E186" s="40">
        <v>481.64848000000001</v>
      </c>
      <c r="F186" s="40">
        <v>57.012860000000003</v>
      </c>
      <c r="G186" s="40">
        <v>111.80789</v>
      </c>
      <c r="H186" s="40">
        <v>0</v>
      </c>
      <c r="I186" s="40">
        <v>1848.1572699999999</v>
      </c>
      <c r="J186" s="67">
        <v>2847.39759</v>
      </c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2" customHeight="1" x14ac:dyDescent="0.25">
      <c r="A187" s="49">
        <v>2023</v>
      </c>
      <c r="B187" s="49" t="s">
        <v>14</v>
      </c>
      <c r="C187" s="40">
        <v>102.75084</v>
      </c>
      <c r="D187" s="40">
        <v>62.468660000000007</v>
      </c>
      <c r="E187" s="40">
        <v>1166.2815000000001</v>
      </c>
      <c r="F187" s="40">
        <v>139.73026999999999</v>
      </c>
      <c r="G187" s="40">
        <v>0</v>
      </c>
      <c r="H187" s="40">
        <v>2.96529</v>
      </c>
      <c r="I187" s="40">
        <v>0</v>
      </c>
      <c r="J187" s="67">
        <v>1474.1965600000001</v>
      </c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2" customHeight="1" x14ac:dyDescent="0.25">
      <c r="A188" s="49">
        <v>2023</v>
      </c>
      <c r="B188" s="49" t="s">
        <v>15</v>
      </c>
      <c r="C188" s="40">
        <v>5042.5124999999998</v>
      </c>
      <c r="D188" s="80">
        <v>1878.2525699999999</v>
      </c>
      <c r="E188" s="80">
        <v>5241.5751099999998</v>
      </c>
      <c r="F188" s="80">
        <v>1102.6027099999999</v>
      </c>
      <c r="G188" s="80">
        <v>1257.0370399999999</v>
      </c>
      <c r="H188" s="80">
        <v>2.96529</v>
      </c>
      <c r="I188" s="80">
        <v>7562.3747299999995</v>
      </c>
      <c r="J188" s="67">
        <v>22087.319950000001</v>
      </c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2" customHeight="1" x14ac:dyDescent="0.25">
      <c r="A189" s="63">
        <v>2024</v>
      </c>
      <c r="B189" s="50" t="s">
        <v>3</v>
      </c>
      <c r="C189" s="40">
        <v>300.30877000000004</v>
      </c>
      <c r="D189" s="40">
        <v>62.33614</v>
      </c>
      <c r="E189" s="40">
        <v>1.63476</v>
      </c>
      <c r="F189" s="40">
        <v>684.98009000000002</v>
      </c>
      <c r="G189" s="40">
        <v>0</v>
      </c>
      <c r="H189" s="40">
        <v>3.4942200000000003</v>
      </c>
      <c r="I189" s="40">
        <v>4.1099199999999998</v>
      </c>
      <c r="J189" s="66">
        <v>1056.8639000000001</v>
      </c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2" customHeight="1" x14ac:dyDescent="0.25">
      <c r="A190" s="63">
        <v>2024</v>
      </c>
      <c r="B190" s="50" t="s">
        <v>4</v>
      </c>
      <c r="C190" s="40">
        <v>254.04241999999996</v>
      </c>
      <c r="D190" s="40">
        <v>50.287329999999997</v>
      </c>
      <c r="E190" s="40">
        <v>0</v>
      </c>
      <c r="F190" s="40">
        <v>90.653360000000006</v>
      </c>
      <c r="G190" s="40">
        <v>0</v>
      </c>
      <c r="H190" s="40">
        <v>4.3022699999999992</v>
      </c>
      <c r="I190" s="40">
        <v>24.86814</v>
      </c>
      <c r="J190" s="66">
        <v>424.15352000000001</v>
      </c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2" customHeight="1" x14ac:dyDescent="0.25">
      <c r="A191" s="63">
        <v>2024</v>
      </c>
      <c r="B191" s="50" t="s">
        <v>5</v>
      </c>
      <c r="C191" s="40">
        <v>242.51533000000006</v>
      </c>
      <c r="D191" s="40">
        <v>51.253700000000002</v>
      </c>
      <c r="E191" s="40">
        <v>0.28502</v>
      </c>
      <c r="F191" s="40">
        <v>173.36974000000001</v>
      </c>
      <c r="G191" s="40">
        <v>1.1839999999999999</v>
      </c>
      <c r="H191" s="40">
        <v>2.8861899999999996</v>
      </c>
      <c r="I191" s="40">
        <v>196.94376</v>
      </c>
      <c r="J191" s="66">
        <v>668.43774000000008</v>
      </c>
      <c r="K191" s="55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2" customHeight="1" x14ac:dyDescent="0.25">
      <c r="A192" s="63">
        <v>2024</v>
      </c>
      <c r="B192" s="50" t="s">
        <v>6</v>
      </c>
      <c r="C192" s="40">
        <v>338.25083000000001</v>
      </c>
      <c r="D192" s="40">
        <v>58.786610000000003</v>
      </c>
      <c r="E192" s="40">
        <v>25.294460000000004</v>
      </c>
      <c r="F192" s="40">
        <v>38.53877</v>
      </c>
      <c r="G192" s="40">
        <v>92.29807000000001</v>
      </c>
      <c r="H192" s="40">
        <v>323.10658999999998</v>
      </c>
      <c r="I192" s="40">
        <v>1.7457199999999997</v>
      </c>
      <c r="J192" s="66">
        <v>878.02105000000006</v>
      </c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2" customHeight="1" x14ac:dyDescent="0.25">
      <c r="A193" s="63">
        <v>2024</v>
      </c>
      <c r="B193" s="50" t="s">
        <v>7</v>
      </c>
      <c r="C193" s="40">
        <v>293.62526000000008</v>
      </c>
      <c r="D193" s="40">
        <v>64.394959999999998</v>
      </c>
      <c r="E193" s="40">
        <v>0.78179999999999994</v>
      </c>
      <c r="F193" s="40">
        <v>216.04900000000001</v>
      </c>
      <c r="G193" s="40">
        <v>929.19567000000006</v>
      </c>
      <c r="H193" s="40">
        <v>0.89081999999999995</v>
      </c>
      <c r="I193" s="40">
        <v>0</v>
      </c>
      <c r="J193" s="66">
        <v>1504.9375100000002</v>
      </c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2" customHeight="1" x14ac:dyDescent="0.25">
      <c r="A194" s="63">
        <v>2024</v>
      </c>
      <c r="B194" s="50" t="s">
        <v>8</v>
      </c>
      <c r="C194" s="40">
        <v>327.55489999999992</v>
      </c>
      <c r="D194" s="40">
        <v>61.383499999999998</v>
      </c>
      <c r="E194" s="40">
        <v>0.30246000000000001</v>
      </c>
      <c r="F194" s="40">
        <v>244.75549000000001</v>
      </c>
      <c r="G194" s="40">
        <v>209.69921999999997</v>
      </c>
      <c r="H194" s="40">
        <v>2.07925</v>
      </c>
      <c r="I194" s="40">
        <v>1075.69165</v>
      </c>
      <c r="J194" s="66">
        <v>1921.4664699999998</v>
      </c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2" customHeight="1" x14ac:dyDescent="0.25">
      <c r="A195" s="63">
        <v>2024</v>
      </c>
      <c r="B195" s="50" t="s">
        <v>9</v>
      </c>
      <c r="C195" s="40">
        <v>341.49243999999987</v>
      </c>
      <c r="D195" s="40">
        <v>59.509009999999996</v>
      </c>
      <c r="E195" s="40">
        <v>1102.1188500000001</v>
      </c>
      <c r="F195" s="40">
        <v>232.60397000000003</v>
      </c>
      <c r="G195" s="40">
        <v>0</v>
      </c>
      <c r="H195" s="40">
        <v>679.61777000000006</v>
      </c>
      <c r="I195" s="40">
        <v>884.63814000000002</v>
      </c>
      <c r="J195" s="66">
        <v>3299.9801800000005</v>
      </c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2" customHeight="1" x14ac:dyDescent="0.25">
      <c r="A196" s="63">
        <v>2024</v>
      </c>
      <c r="B196" s="50" t="s">
        <v>10</v>
      </c>
      <c r="C196" s="40">
        <v>220.57560000000004</v>
      </c>
      <c r="D196" s="40">
        <v>60.371409999999997</v>
      </c>
      <c r="E196" s="40">
        <v>0</v>
      </c>
      <c r="F196" s="40">
        <v>171.12407000000002</v>
      </c>
      <c r="G196" s="40">
        <v>0</v>
      </c>
      <c r="H196" s="40">
        <v>131.80591000000001</v>
      </c>
      <c r="I196" s="40">
        <v>0</v>
      </c>
      <c r="J196" s="66">
        <v>583.87699000000009</v>
      </c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2" customHeight="1" x14ac:dyDescent="0.25">
      <c r="A197" s="63">
        <v>2024</v>
      </c>
      <c r="B197" s="50" t="s">
        <v>11</v>
      </c>
      <c r="C197" s="40">
        <v>423.9982</v>
      </c>
      <c r="D197" s="40">
        <v>62.377820000000007</v>
      </c>
      <c r="E197" s="40">
        <v>3.1604800000000002</v>
      </c>
      <c r="F197" s="40">
        <v>282.28306999999995</v>
      </c>
      <c r="G197" s="40">
        <v>30.416</v>
      </c>
      <c r="H197" s="40">
        <v>2.9805699999999997</v>
      </c>
      <c r="I197" s="40">
        <v>3.0283600000000002</v>
      </c>
      <c r="J197" s="66">
        <v>808.2444999999999</v>
      </c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2" customHeight="1" x14ac:dyDescent="0.25">
      <c r="A198" s="63">
        <v>2024</v>
      </c>
      <c r="B198" s="50" t="s">
        <v>12</v>
      </c>
      <c r="C198" s="40">
        <v>264.60401000000002</v>
      </c>
      <c r="D198" s="40">
        <v>66.827970000000008</v>
      </c>
      <c r="E198" s="40">
        <v>0.29855000000000004</v>
      </c>
      <c r="F198" s="40">
        <v>95.852159999999998</v>
      </c>
      <c r="G198" s="40">
        <v>98.537120000000002</v>
      </c>
      <c r="H198" s="40">
        <v>0.58884999999999998</v>
      </c>
      <c r="I198" s="40">
        <v>0.55535000000000001</v>
      </c>
      <c r="J198" s="66">
        <v>527.26400999999987</v>
      </c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2" customHeight="1" x14ac:dyDescent="0.25">
      <c r="A199" s="63">
        <v>2024</v>
      </c>
      <c r="B199" s="50" t="s">
        <v>13</v>
      </c>
      <c r="C199" s="40">
        <v>326.60462999999999</v>
      </c>
      <c r="D199" s="40">
        <v>52.224059999999994</v>
      </c>
      <c r="E199" s="40">
        <v>2.3517100000000002</v>
      </c>
      <c r="F199" s="40">
        <v>1277.6317200000003</v>
      </c>
      <c r="G199" s="40">
        <v>0</v>
      </c>
      <c r="H199" s="40">
        <v>0.28499999999999998</v>
      </c>
      <c r="I199" s="40">
        <v>4.1301600000000001</v>
      </c>
      <c r="J199" s="66">
        <v>1663.2272800000003</v>
      </c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2" customHeight="1" x14ac:dyDescent="0.25">
      <c r="A200" s="63">
        <v>2024</v>
      </c>
      <c r="B200" s="50" t="s">
        <v>14</v>
      </c>
      <c r="C200" s="40">
        <v>97.10566</v>
      </c>
      <c r="D200" s="40">
        <v>48.146949999999997</v>
      </c>
      <c r="E200" s="40">
        <v>170.67346000000001</v>
      </c>
      <c r="F200" s="40">
        <v>221.6782</v>
      </c>
      <c r="G200" s="40">
        <v>39.16339</v>
      </c>
      <c r="H200" s="40">
        <v>1.1428099999999999</v>
      </c>
      <c r="I200" s="40">
        <v>3.6129600000000002</v>
      </c>
      <c r="J200" s="66">
        <v>581.52343000000019</v>
      </c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2" customHeight="1" x14ac:dyDescent="0.25">
      <c r="A201" s="63">
        <v>2024</v>
      </c>
      <c r="B201" s="50" t="s">
        <v>15</v>
      </c>
      <c r="C201" s="40">
        <v>3430.67805</v>
      </c>
      <c r="D201" s="80">
        <v>697.89945999999998</v>
      </c>
      <c r="E201" s="80">
        <v>1306.90155</v>
      </c>
      <c r="F201" s="80">
        <v>3729.5196400000004</v>
      </c>
      <c r="G201" s="80">
        <v>1400.4934699999999</v>
      </c>
      <c r="H201" s="80">
        <v>1153.1802500000003</v>
      </c>
      <c r="I201" s="80">
        <v>2199.3241600000001</v>
      </c>
      <c r="J201" s="66">
        <v>13917.996580000003</v>
      </c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2" customHeight="1" x14ac:dyDescent="0.25">
      <c r="A202" s="49">
        <v>2025</v>
      </c>
      <c r="B202" s="49" t="s">
        <v>3</v>
      </c>
      <c r="C202" s="40">
        <v>98.579979999999992</v>
      </c>
      <c r="D202" s="40">
        <v>57.784730000000003</v>
      </c>
      <c r="E202" s="40">
        <v>151.01521</v>
      </c>
      <c r="F202" s="40">
        <v>239.96322000000001</v>
      </c>
      <c r="G202" s="40">
        <v>1.5139499999999999</v>
      </c>
      <c r="H202" s="40">
        <v>0</v>
      </c>
      <c r="I202" s="40">
        <v>0</v>
      </c>
      <c r="J202" s="67">
        <v>548.85708999999997</v>
      </c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2" customHeight="1" x14ac:dyDescent="0.25">
      <c r="A203" s="49">
        <v>2025</v>
      </c>
      <c r="B203" s="49" t="s">
        <v>4</v>
      </c>
      <c r="C203" s="40">
        <v>288.46147000000002</v>
      </c>
      <c r="D203" s="40">
        <v>57.008069999999989</v>
      </c>
      <c r="E203" s="40">
        <v>103.05789999999999</v>
      </c>
      <c r="F203" s="40">
        <v>211.93556000000001</v>
      </c>
      <c r="G203" s="40">
        <v>56.829879999999996</v>
      </c>
      <c r="H203" s="40">
        <v>0</v>
      </c>
      <c r="I203" s="40">
        <v>55.261760000000002</v>
      </c>
      <c r="J203" s="67">
        <v>772.55463999999995</v>
      </c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2" customHeight="1" x14ac:dyDescent="0.25">
      <c r="A204" s="49">
        <v>2025</v>
      </c>
      <c r="B204" s="49" t="s">
        <v>5</v>
      </c>
      <c r="C204" s="40">
        <v>275.50758000000002</v>
      </c>
      <c r="D204" s="40">
        <v>65.87372000000002</v>
      </c>
      <c r="E204" s="40">
        <v>192.32213000000002</v>
      </c>
      <c r="F204" s="40">
        <v>230.19191000000001</v>
      </c>
      <c r="G204" s="40">
        <v>70.230180000000004</v>
      </c>
      <c r="H204" s="40">
        <v>3.6732699999999996</v>
      </c>
      <c r="I204" s="40">
        <v>2.5705100000000001</v>
      </c>
      <c r="J204" s="67">
        <v>840.36930000000007</v>
      </c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2" customHeight="1" x14ac:dyDescent="0.25">
      <c r="A205" s="49">
        <v>2025</v>
      </c>
      <c r="B205" s="49" t="s">
        <v>6</v>
      </c>
      <c r="C205" s="40">
        <v>159.80300000000003</v>
      </c>
      <c r="D205" s="40">
        <v>58.529660000000007</v>
      </c>
      <c r="E205" s="40">
        <v>333.83481</v>
      </c>
      <c r="F205" s="40">
        <v>189.93201999999999</v>
      </c>
      <c r="G205" s="40">
        <v>129.41696999999999</v>
      </c>
      <c r="H205" s="40">
        <v>3.2804199999999999</v>
      </c>
      <c r="I205" s="40">
        <v>231.78294000000002</v>
      </c>
      <c r="J205" s="67">
        <v>1106.5798200000002</v>
      </c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2" customHeight="1" x14ac:dyDescent="0.25">
      <c r="A206" s="49">
        <v>2025</v>
      </c>
      <c r="B206" s="49" t="s">
        <v>7</v>
      </c>
      <c r="C206" s="40">
        <v>497.03448999999995</v>
      </c>
      <c r="D206" s="40">
        <v>49.085239999999999</v>
      </c>
      <c r="E206" s="40">
        <v>2.6535799999999998</v>
      </c>
      <c r="F206" s="40">
        <v>509.97526999999991</v>
      </c>
      <c r="G206" s="40">
        <v>55.06344</v>
      </c>
      <c r="H206" s="40">
        <v>1.0883399999999999</v>
      </c>
      <c r="I206" s="40">
        <v>208.95538999999999</v>
      </c>
      <c r="J206" s="67">
        <v>1323.8557499999999</v>
      </c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2" customHeight="1" x14ac:dyDescent="0.25">
      <c r="A207" s="49">
        <v>2025</v>
      </c>
      <c r="B207" s="49" t="s">
        <v>8</v>
      </c>
      <c r="C207" s="40">
        <v>254.09298999999999</v>
      </c>
      <c r="D207" s="40">
        <v>51.7072</v>
      </c>
      <c r="E207" s="40">
        <v>154.52720000000002</v>
      </c>
      <c r="F207" s="40">
        <v>281.96683000000002</v>
      </c>
      <c r="G207" s="40">
        <v>57.230230000000006</v>
      </c>
      <c r="H207" s="40">
        <v>1.1552100000000001</v>
      </c>
      <c r="I207" s="40">
        <v>372.76665000000003</v>
      </c>
      <c r="J207" s="67">
        <v>1173.44631</v>
      </c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2" customHeight="1" x14ac:dyDescent="0.25">
      <c r="A208" s="49">
        <v>2025</v>
      </c>
      <c r="B208" s="49" t="s">
        <v>9</v>
      </c>
      <c r="C208" s="40">
        <v>267.29300000000006</v>
      </c>
      <c r="D208" s="40">
        <v>54.540309999999998</v>
      </c>
      <c r="E208" s="40">
        <v>282.76974999999999</v>
      </c>
      <c r="F208" s="40">
        <v>141.21375</v>
      </c>
      <c r="G208" s="40">
        <v>27.966529999999999</v>
      </c>
      <c r="H208" s="40">
        <v>0</v>
      </c>
      <c r="I208" s="40">
        <v>2.8132899999999998</v>
      </c>
      <c r="J208" s="67">
        <v>776.59663000000012</v>
      </c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2" customHeight="1" x14ac:dyDescent="0.25">
      <c r="A209" s="49">
        <v>2025</v>
      </c>
      <c r="B209" s="49" t="s">
        <v>10</v>
      </c>
      <c r="C209" s="40">
        <v>1259.4670199999998</v>
      </c>
      <c r="D209" s="40">
        <v>52.113930000000003</v>
      </c>
      <c r="E209" s="40">
        <v>205.12289999999999</v>
      </c>
      <c r="F209" s="40">
        <v>230.37395000000001</v>
      </c>
      <c r="G209" s="40">
        <v>49.414809999999996</v>
      </c>
      <c r="H209" s="40">
        <v>0.86165999999999998</v>
      </c>
      <c r="I209" s="40">
        <v>165.73616000000001</v>
      </c>
      <c r="J209" s="67">
        <v>1963.0904299999997</v>
      </c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2" customHeight="1" x14ac:dyDescent="0.25">
      <c r="A210" s="49">
        <v>2025</v>
      </c>
      <c r="B210" s="49" t="s">
        <v>11</v>
      </c>
      <c r="C210" s="40">
        <v>360.34709000000015</v>
      </c>
      <c r="D210" s="40">
        <v>52.153299999999987</v>
      </c>
      <c r="E210" s="40">
        <v>381.79366000000005</v>
      </c>
      <c r="F210" s="40">
        <v>127.17412</v>
      </c>
      <c r="G210" s="40">
        <v>118.04953999999999</v>
      </c>
      <c r="H210" s="40">
        <v>0.31254000000000004</v>
      </c>
      <c r="I210" s="40">
        <v>205.53316999999998</v>
      </c>
      <c r="J210" s="67">
        <v>1245.3634200000001</v>
      </c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2" customHeight="1" x14ac:dyDescent="0.25">
      <c r="A211" s="49">
        <v>2025</v>
      </c>
      <c r="B211" s="49" t="s">
        <v>12</v>
      </c>
      <c r="C211" s="40">
        <v>353.80006999999995</v>
      </c>
      <c r="D211" s="40">
        <v>57.592199999999998</v>
      </c>
      <c r="E211" s="40">
        <v>562.30237</v>
      </c>
      <c r="F211" s="40">
        <v>325.20871999999997</v>
      </c>
      <c r="G211" s="40">
        <v>1.0389600000000001</v>
      </c>
      <c r="H211" s="40">
        <v>0.30648000000000003</v>
      </c>
      <c r="I211" s="40">
        <v>80.635840000000002</v>
      </c>
      <c r="J211" s="67">
        <v>1380.8846399999998</v>
      </c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2" customHeight="1" x14ac:dyDescent="0.25">
      <c r="A212" s="49">
        <v>2025</v>
      </c>
      <c r="B212" s="49" t="s">
        <v>13</v>
      </c>
      <c r="C212" s="40">
        <v>64.34447999999999</v>
      </c>
      <c r="D212" s="40">
        <v>64.131399999999985</v>
      </c>
      <c r="E212" s="40">
        <v>113.94955</v>
      </c>
      <c r="F212" s="40">
        <v>490.08696999999995</v>
      </c>
      <c r="G212" s="40">
        <v>32.516269999999999</v>
      </c>
      <c r="H212" s="40">
        <v>0.57502999999999993</v>
      </c>
      <c r="I212" s="40">
        <v>1.6165999999999998</v>
      </c>
      <c r="J212" s="67">
        <v>767.22029999999972</v>
      </c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2" customHeight="1" x14ac:dyDescent="0.25">
      <c r="A213" s="49">
        <v>2025</v>
      </c>
      <c r="B213" s="49" t="s">
        <v>14</v>
      </c>
      <c r="C213" s="40">
        <v>124.73578000000002</v>
      </c>
      <c r="D213" s="40">
        <v>53.793520000000001</v>
      </c>
      <c r="E213" s="40">
        <v>500.25497999999999</v>
      </c>
      <c r="F213" s="40">
        <v>441.74675999999999</v>
      </c>
      <c r="G213" s="40">
        <v>30.679580000000001</v>
      </c>
      <c r="H213" s="40">
        <v>0</v>
      </c>
      <c r="I213" s="40">
        <v>0</v>
      </c>
      <c r="J213" s="67">
        <v>1151.2106200000001</v>
      </c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2" customHeight="1" x14ac:dyDescent="0.25">
      <c r="A214" s="49">
        <v>2025</v>
      </c>
      <c r="B214" s="49" t="s">
        <v>15</v>
      </c>
      <c r="C214" s="40">
        <v>4003.46695</v>
      </c>
      <c r="D214" s="80">
        <v>674.31328000000008</v>
      </c>
      <c r="E214" s="80">
        <v>2983.6040400000002</v>
      </c>
      <c r="F214" s="80">
        <v>3419.7690799999996</v>
      </c>
      <c r="G214" s="80">
        <v>629.95033999999987</v>
      </c>
      <c r="H214" s="80">
        <v>11.252950000000002</v>
      </c>
      <c r="I214" s="80">
        <v>1327.6723099999999</v>
      </c>
      <c r="J214" s="67">
        <v>13050.028949999998</v>
      </c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2" customHeight="1" x14ac:dyDescent="0.25">
      <c r="A215" s="49">
        <v>2026</v>
      </c>
      <c r="B215" s="49" t="s">
        <v>3</v>
      </c>
      <c r="C215" s="40">
        <v>600.23913000000016</v>
      </c>
      <c r="D215" s="40">
        <v>51.463740000000001</v>
      </c>
      <c r="E215" s="40">
        <v>362.59884999999997</v>
      </c>
      <c r="F215" s="40">
        <v>271.06181000000004</v>
      </c>
      <c r="G215" s="40">
        <v>118.67868</v>
      </c>
      <c r="H215" s="40">
        <v>0.32838999999999996</v>
      </c>
      <c r="I215" s="40">
        <v>870.7878199999999</v>
      </c>
      <c r="J215" s="67">
        <v>2275.1584199999998</v>
      </c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2" customHeight="1" x14ac:dyDescent="0.25">
      <c r="A216" s="49">
        <v>2026</v>
      </c>
      <c r="B216" s="49" t="s">
        <v>4</v>
      </c>
      <c r="C216" s="40">
        <v>122.31186</v>
      </c>
      <c r="D216" s="40">
        <v>52.144409999999993</v>
      </c>
      <c r="E216" s="40">
        <v>175.05165</v>
      </c>
      <c r="F216" s="40">
        <v>217.32771</v>
      </c>
      <c r="G216" s="40">
        <v>0</v>
      </c>
      <c r="H216" s="40">
        <v>0.29277999999999998</v>
      </c>
      <c r="I216" s="40">
        <v>1.34954</v>
      </c>
      <c r="J216" s="67">
        <v>568.47795000000008</v>
      </c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2" customHeight="1" x14ac:dyDescent="0.25">
      <c r="A217" s="49">
        <v>2026</v>
      </c>
      <c r="B217" s="49" t="s">
        <v>5</v>
      </c>
      <c r="C217" s="40">
        <v>283.25675999999999</v>
      </c>
      <c r="D217" s="40">
        <v>53.043219999999991</v>
      </c>
      <c r="E217" s="40">
        <v>333.24180000000001</v>
      </c>
      <c r="F217" s="40">
        <v>217.33771000000002</v>
      </c>
      <c r="G217" s="40">
        <v>1.28992</v>
      </c>
      <c r="H217" s="40">
        <v>0</v>
      </c>
      <c r="I217" s="40">
        <v>234.50479000000001</v>
      </c>
      <c r="J217" s="67">
        <v>1122.6742000000002</v>
      </c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2" customHeight="1" x14ac:dyDescent="0.25">
      <c r="A218" s="49">
        <v>2026</v>
      </c>
      <c r="B218" s="49" t="s">
        <v>6</v>
      </c>
      <c r="C218" s="40">
        <v>320.22028</v>
      </c>
      <c r="D218" s="40">
        <v>708.4199500000002</v>
      </c>
      <c r="E218" s="40">
        <v>206.56831</v>
      </c>
      <c r="F218" s="40">
        <v>328.28689000000014</v>
      </c>
      <c r="G218" s="40">
        <v>87.398709999999994</v>
      </c>
      <c r="H218" s="40">
        <v>0.89160000000000006</v>
      </c>
      <c r="I218" s="40">
        <v>190.5496</v>
      </c>
      <c r="J218" s="68">
        <v>1842.3353400000001</v>
      </c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2" customHeight="1" x14ac:dyDescent="0.25">
      <c r="A219" s="49">
        <v>2026</v>
      </c>
      <c r="B219" s="49" t="s">
        <v>7</v>
      </c>
      <c r="C219" s="40">
        <v>620.78338999999994</v>
      </c>
      <c r="D219" s="40">
        <v>71.381209999999967</v>
      </c>
      <c r="E219" s="40">
        <v>48.876129999999996</v>
      </c>
      <c r="F219" s="40">
        <v>555.08205000000021</v>
      </c>
      <c r="G219" s="40">
        <v>152.63330000000002</v>
      </c>
      <c r="H219" s="40">
        <v>0.22856000000000001</v>
      </c>
      <c r="I219" s="40">
        <v>0</v>
      </c>
      <c r="J219" s="67">
        <v>1448.9846400000001</v>
      </c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2" customHeight="1" x14ac:dyDescent="0.25">
      <c r="A220" s="49" t="s">
        <v>36</v>
      </c>
      <c r="B220" s="49" t="s">
        <v>36</v>
      </c>
      <c r="C220" s="40">
        <v>0</v>
      </c>
      <c r="D220" s="40">
        <v>0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67">
        <v>0</v>
      </c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2" customHeight="1" x14ac:dyDescent="0.25">
      <c r="A221" s="49" t="s">
        <v>36</v>
      </c>
      <c r="B221" s="49" t="s">
        <v>36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2" customHeight="1" x14ac:dyDescent="0.25">
      <c r="A222" s="49" t="s">
        <v>36</v>
      </c>
      <c r="B222" s="49" t="s">
        <v>36</v>
      </c>
      <c r="C222" s="40">
        <v>0</v>
      </c>
      <c r="D222" s="40">
        <v>0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2" customHeight="1" x14ac:dyDescent="0.25">
      <c r="A223" s="49" t="s">
        <v>36</v>
      </c>
      <c r="B223" s="49" t="s">
        <v>36</v>
      </c>
      <c r="C223" s="40">
        <v>0</v>
      </c>
      <c r="D223" s="40">
        <v>0</v>
      </c>
      <c r="E223" s="40">
        <v>0</v>
      </c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2" customHeight="1" x14ac:dyDescent="0.25">
      <c r="A224" s="49" t="s">
        <v>36</v>
      </c>
      <c r="B224" s="49" t="s">
        <v>36</v>
      </c>
      <c r="C224" s="40">
        <v>0</v>
      </c>
      <c r="D224" s="40">
        <v>0</v>
      </c>
      <c r="E224" s="40">
        <v>0</v>
      </c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2" customHeight="1" x14ac:dyDescent="0.25">
      <c r="A225" s="49" t="s">
        <v>36</v>
      </c>
      <c r="B225" s="49" t="s">
        <v>36</v>
      </c>
      <c r="C225" s="40">
        <v>0</v>
      </c>
      <c r="D225" s="40">
        <v>0</v>
      </c>
      <c r="E225" s="40">
        <v>0</v>
      </c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2" customHeight="1" x14ac:dyDescent="0.25">
      <c r="A226" s="49" t="s">
        <v>36</v>
      </c>
      <c r="B226" s="49" t="s">
        <v>36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2" customHeight="1" x14ac:dyDescent="0.25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2" customHeight="1" x14ac:dyDescent="0.25">
      <c r="A228" s="49"/>
      <c r="B228" s="49" t="s">
        <v>36</v>
      </c>
      <c r="C228" s="40">
        <v>0</v>
      </c>
      <c r="D228" s="40">
        <v>0</v>
      </c>
      <c r="E228" s="40">
        <v>0</v>
      </c>
      <c r="F228" s="40">
        <v>0</v>
      </c>
      <c r="G228" s="40">
        <v>0</v>
      </c>
      <c r="H228" s="40"/>
      <c r="I228" s="40">
        <v>0</v>
      </c>
      <c r="J228" s="67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2" customHeight="1" x14ac:dyDescent="0.25">
      <c r="A229" s="49"/>
      <c r="B229" s="49" t="s">
        <v>36</v>
      </c>
      <c r="C229" s="40">
        <v>0</v>
      </c>
      <c r="D229" s="40">
        <v>0</v>
      </c>
      <c r="E229" s="40">
        <v>0</v>
      </c>
      <c r="F229" s="40">
        <v>0</v>
      </c>
      <c r="G229" s="40">
        <v>0</v>
      </c>
      <c r="H229" s="40"/>
      <c r="I229" s="40">
        <v>0</v>
      </c>
      <c r="J229" s="67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2" customHeight="1" x14ac:dyDescent="0.25">
      <c r="A230" s="49"/>
      <c r="B230" s="49" t="s">
        <v>36</v>
      </c>
      <c r="C230" s="40">
        <v>0</v>
      </c>
      <c r="D230" s="40">
        <v>0</v>
      </c>
      <c r="E230" s="40">
        <v>0</v>
      </c>
      <c r="F230" s="40">
        <v>0</v>
      </c>
      <c r="G230" s="40">
        <v>0</v>
      </c>
      <c r="H230" s="40"/>
      <c r="I230" s="40">
        <v>0</v>
      </c>
      <c r="J230" s="67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2" customHeight="1" x14ac:dyDescent="0.25">
      <c r="A231" s="49"/>
      <c r="B231" s="49" t="s">
        <v>36</v>
      </c>
      <c r="C231" s="40">
        <v>0</v>
      </c>
      <c r="D231" s="40">
        <v>0</v>
      </c>
      <c r="E231" s="40">
        <v>0</v>
      </c>
      <c r="F231" s="40">
        <v>0</v>
      </c>
      <c r="G231" s="40">
        <v>0</v>
      </c>
      <c r="H231" s="40"/>
      <c r="I231" s="40">
        <v>0</v>
      </c>
      <c r="J231" s="67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x14ac:dyDescent="0.25">
      <c r="A232" s="49"/>
      <c r="B232" s="49" t="s">
        <v>36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/>
      <c r="I232" s="40">
        <v>0</v>
      </c>
      <c r="J232" s="67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x14ac:dyDescent="0.25">
      <c r="A233" s="49"/>
      <c r="B233" s="49" t="s">
        <v>36</v>
      </c>
      <c r="C233" s="40">
        <v>0</v>
      </c>
      <c r="D233" s="40">
        <v>0</v>
      </c>
      <c r="E233" s="40">
        <v>0</v>
      </c>
      <c r="F233" s="40">
        <v>0</v>
      </c>
      <c r="G233" s="40">
        <v>0</v>
      </c>
      <c r="H233" s="40"/>
      <c r="I233" s="40">
        <v>0</v>
      </c>
      <c r="J233" s="67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x14ac:dyDescent="0.25">
      <c r="A234" s="49"/>
      <c r="B234" s="49" t="s">
        <v>36</v>
      </c>
      <c r="C234" s="40">
        <v>0</v>
      </c>
      <c r="D234" s="40">
        <v>0</v>
      </c>
      <c r="E234" s="40">
        <v>0</v>
      </c>
      <c r="F234" s="40">
        <v>0</v>
      </c>
      <c r="G234" s="40">
        <v>0</v>
      </c>
      <c r="H234" s="40"/>
      <c r="I234" s="40">
        <v>0</v>
      </c>
      <c r="J234" s="67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x14ac:dyDescent="0.25">
      <c r="A235" s="49"/>
      <c r="B235" s="49" t="s">
        <v>36</v>
      </c>
      <c r="C235" s="40">
        <v>0</v>
      </c>
      <c r="D235" s="40">
        <v>0</v>
      </c>
      <c r="E235" s="40">
        <v>0</v>
      </c>
      <c r="F235" s="40">
        <v>0</v>
      </c>
      <c r="G235" s="40">
        <v>0</v>
      </c>
      <c r="H235" s="40"/>
      <c r="I235" s="40">
        <v>0</v>
      </c>
      <c r="J235" s="67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x14ac:dyDescent="0.25">
      <c r="A236" s="49"/>
      <c r="B236" s="49" t="s">
        <v>36</v>
      </c>
      <c r="C236" s="40">
        <v>0</v>
      </c>
      <c r="D236" s="40">
        <v>0</v>
      </c>
      <c r="E236" s="40">
        <v>0</v>
      </c>
      <c r="F236" s="40">
        <v>0</v>
      </c>
      <c r="G236" s="40">
        <v>0</v>
      </c>
      <c r="H236" s="40"/>
      <c r="I236" s="40">
        <v>0</v>
      </c>
      <c r="J236" s="67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x14ac:dyDescent="0.25">
      <c r="A237" s="49"/>
      <c r="B237" s="49" t="s">
        <v>36</v>
      </c>
      <c r="C237" s="40">
        <v>0</v>
      </c>
      <c r="D237" s="40">
        <v>0</v>
      </c>
      <c r="E237" s="40">
        <v>0</v>
      </c>
      <c r="F237" s="40">
        <v>0</v>
      </c>
      <c r="G237" s="40">
        <v>0</v>
      </c>
      <c r="H237" s="40"/>
      <c r="I237" s="40">
        <v>0</v>
      </c>
      <c r="J237" s="67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x14ac:dyDescent="0.25">
      <c r="A238" s="49"/>
      <c r="B238" s="49" t="s">
        <v>36</v>
      </c>
      <c r="C238" s="40">
        <v>0</v>
      </c>
      <c r="D238" s="40">
        <v>0</v>
      </c>
      <c r="E238" s="40">
        <v>0</v>
      </c>
      <c r="F238" s="40">
        <v>0</v>
      </c>
      <c r="G238" s="40">
        <v>0</v>
      </c>
      <c r="H238" s="40"/>
      <c r="I238" s="40">
        <v>0</v>
      </c>
      <c r="J238" s="67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x14ac:dyDescent="0.25">
      <c r="A239" s="49"/>
      <c r="B239" s="49" t="s">
        <v>36</v>
      </c>
      <c r="C239" s="40">
        <v>0</v>
      </c>
      <c r="D239" s="40">
        <v>0</v>
      </c>
      <c r="E239" s="40">
        <v>0</v>
      </c>
      <c r="F239" s="40">
        <v>0</v>
      </c>
      <c r="G239" s="40">
        <v>0</v>
      </c>
      <c r="H239" s="40"/>
      <c r="I239" s="40">
        <v>0</v>
      </c>
      <c r="J239" s="67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x14ac:dyDescent="0.25">
      <c r="A240" s="49"/>
      <c r="B240" s="49" t="s">
        <v>36</v>
      </c>
      <c r="C240" s="40">
        <v>0</v>
      </c>
      <c r="D240" s="40">
        <v>0</v>
      </c>
      <c r="E240" s="40">
        <v>0</v>
      </c>
      <c r="F240" s="40">
        <v>0</v>
      </c>
      <c r="G240" s="40">
        <v>0</v>
      </c>
      <c r="H240" s="40"/>
      <c r="I240" s="40">
        <v>0</v>
      </c>
      <c r="J240" s="67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x14ac:dyDescent="0.25">
      <c r="A241" s="49"/>
      <c r="B241" s="49" t="s">
        <v>36</v>
      </c>
      <c r="C241" s="40">
        <v>0</v>
      </c>
      <c r="D241" s="40">
        <v>0</v>
      </c>
      <c r="E241" s="40">
        <v>0</v>
      </c>
      <c r="F241" s="40">
        <v>0</v>
      </c>
      <c r="G241" s="40">
        <v>0</v>
      </c>
      <c r="H241" s="40"/>
      <c r="I241" s="40">
        <v>0</v>
      </c>
      <c r="J241" s="67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x14ac:dyDescent="0.25">
      <c r="A242" s="49"/>
      <c r="B242" s="49" t="s">
        <v>36</v>
      </c>
      <c r="C242" s="40">
        <v>0</v>
      </c>
      <c r="D242" s="40">
        <v>0</v>
      </c>
      <c r="E242" s="40">
        <v>0</v>
      </c>
      <c r="F242" s="40">
        <v>0</v>
      </c>
      <c r="G242" s="40">
        <v>0</v>
      </c>
      <c r="H242" s="40"/>
      <c r="I242" s="40">
        <v>0</v>
      </c>
      <c r="J242" s="67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x14ac:dyDescent="0.25">
      <c r="A243" s="49"/>
      <c r="B243" s="49" t="s">
        <v>36</v>
      </c>
      <c r="C243" s="40">
        <v>0</v>
      </c>
      <c r="D243" s="40">
        <v>0</v>
      </c>
      <c r="E243" s="40">
        <v>0</v>
      </c>
      <c r="F243" s="40">
        <v>0</v>
      </c>
      <c r="G243" s="40">
        <v>0</v>
      </c>
      <c r="H243" s="40"/>
      <c r="I243" s="40">
        <v>0</v>
      </c>
      <c r="J243" s="67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x14ac:dyDescent="0.25">
      <c r="A244" s="49"/>
      <c r="B244" s="49" t="s">
        <v>36</v>
      </c>
      <c r="C244" s="40">
        <v>0</v>
      </c>
      <c r="D244" s="40">
        <v>0</v>
      </c>
      <c r="E244" s="40">
        <v>0</v>
      </c>
      <c r="F244" s="40">
        <v>0</v>
      </c>
      <c r="G244" s="40">
        <v>0</v>
      </c>
      <c r="H244" s="40"/>
      <c r="I244" s="40">
        <v>0</v>
      </c>
      <c r="J244" s="67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x14ac:dyDescent="0.25">
      <c r="A245" s="49"/>
      <c r="B245" s="49" t="s">
        <v>36</v>
      </c>
      <c r="C245" s="40">
        <v>0</v>
      </c>
      <c r="D245" s="40">
        <v>0</v>
      </c>
      <c r="E245" s="40">
        <v>0</v>
      </c>
      <c r="F245" s="40">
        <v>0</v>
      </c>
      <c r="G245" s="40">
        <v>0</v>
      </c>
      <c r="H245" s="40"/>
      <c r="I245" s="40">
        <v>0</v>
      </c>
      <c r="J245" s="67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x14ac:dyDescent="0.25">
      <c r="A246" s="49"/>
      <c r="B246" s="49" t="s">
        <v>36</v>
      </c>
      <c r="C246" s="40">
        <v>0</v>
      </c>
      <c r="D246" s="40">
        <v>0</v>
      </c>
      <c r="E246" s="40">
        <v>0</v>
      </c>
      <c r="F246" s="40">
        <v>0</v>
      </c>
      <c r="G246" s="40">
        <v>0</v>
      </c>
      <c r="H246" s="40"/>
      <c r="I246" s="40">
        <v>0</v>
      </c>
      <c r="J246" s="67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x14ac:dyDescent="0.25">
      <c r="A247" s="49"/>
      <c r="B247" s="49" t="s">
        <v>36</v>
      </c>
      <c r="C247" s="40">
        <v>0</v>
      </c>
      <c r="D247" s="40">
        <v>0</v>
      </c>
      <c r="E247" s="40">
        <v>0</v>
      </c>
      <c r="F247" s="40">
        <v>0</v>
      </c>
      <c r="G247" s="40">
        <v>0</v>
      </c>
      <c r="H247" s="40"/>
      <c r="I247" s="40">
        <v>0</v>
      </c>
      <c r="J247" s="67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x14ac:dyDescent="0.25">
      <c r="A248" s="49"/>
      <c r="B248" s="49" t="s">
        <v>36</v>
      </c>
      <c r="C248" s="40">
        <v>0</v>
      </c>
      <c r="D248" s="40">
        <v>0</v>
      </c>
      <c r="E248" s="40">
        <v>0</v>
      </c>
      <c r="F248" s="40">
        <v>0</v>
      </c>
      <c r="G248" s="40">
        <v>0</v>
      </c>
      <c r="H248" s="40"/>
      <c r="I248" s="40">
        <v>0</v>
      </c>
      <c r="J248" s="67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x14ac:dyDescent="0.25">
      <c r="A249" s="49"/>
      <c r="B249" s="49" t="s">
        <v>36</v>
      </c>
      <c r="C249" s="40">
        <v>0</v>
      </c>
      <c r="D249" s="40">
        <v>0</v>
      </c>
      <c r="E249" s="40">
        <v>0</v>
      </c>
      <c r="F249" s="40">
        <v>0</v>
      </c>
      <c r="G249" s="40">
        <v>0</v>
      </c>
      <c r="H249" s="40"/>
      <c r="I249" s="40">
        <v>0</v>
      </c>
      <c r="J249" s="67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x14ac:dyDescent="0.25">
      <c r="A250" s="49"/>
      <c r="B250" s="49" t="s">
        <v>36</v>
      </c>
      <c r="C250" s="40">
        <v>0</v>
      </c>
      <c r="D250" s="40">
        <v>0</v>
      </c>
      <c r="E250" s="40">
        <v>0</v>
      </c>
      <c r="F250" s="40">
        <v>0</v>
      </c>
      <c r="G250" s="40">
        <v>0</v>
      </c>
      <c r="H250" s="40"/>
      <c r="I250" s="40">
        <v>0</v>
      </c>
      <c r="J250" s="67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x14ac:dyDescent="0.25">
      <c r="A251" s="49"/>
      <c r="B251" s="49" t="s">
        <v>36</v>
      </c>
      <c r="C251" s="40">
        <v>0</v>
      </c>
      <c r="D251" s="40">
        <v>0</v>
      </c>
      <c r="E251" s="40">
        <v>0</v>
      </c>
      <c r="F251" s="40">
        <v>0</v>
      </c>
      <c r="G251" s="40">
        <v>0</v>
      </c>
      <c r="H251" s="40"/>
      <c r="I251" s="40">
        <v>0</v>
      </c>
      <c r="J251" s="67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x14ac:dyDescent="0.25">
      <c r="A252" s="49"/>
      <c r="B252" s="49" t="s">
        <v>36</v>
      </c>
      <c r="C252" s="40">
        <v>0</v>
      </c>
      <c r="D252" s="40">
        <v>0</v>
      </c>
      <c r="E252" s="40">
        <v>0</v>
      </c>
      <c r="F252" s="40">
        <v>0</v>
      </c>
      <c r="G252" s="40">
        <v>0</v>
      </c>
      <c r="H252" s="40"/>
      <c r="I252" s="40">
        <v>0</v>
      </c>
      <c r="J252" s="67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x14ac:dyDescent="0.25">
      <c r="A253" s="49"/>
      <c r="B253" s="49" t="s">
        <v>36</v>
      </c>
      <c r="C253" s="40">
        <v>0</v>
      </c>
      <c r="D253" s="40">
        <v>0</v>
      </c>
      <c r="E253" s="40">
        <v>0</v>
      </c>
      <c r="F253" s="40">
        <v>0</v>
      </c>
      <c r="G253" s="40">
        <v>0</v>
      </c>
      <c r="H253" s="40"/>
      <c r="I253" s="40">
        <v>0</v>
      </c>
      <c r="J253" s="67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x14ac:dyDescent="0.25">
      <c r="A254" s="49"/>
      <c r="B254" s="49" t="s">
        <v>36</v>
      </c>
      <c r="C254" s="40">
        <v>0</v>
      </c>
      <c r="D254" s="40">
        <v>0</v>
      </c>
      <c r="E254" s="40">
        <v>0</v>
      </c>
      <c r="F254" s="40">
        <v>0</v>
      </c>
      <c r="G254" s="40">
        <v>0</v>
      </c>
      <c r="H254" s="40"/>
      <c r="I254" s="40">
        <v>0</v>
      </c>
      <c r="J254" s="67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x14ac:dyDescent="0.25">
      <c r="A255" s="49"/>
      <c r="B255" s="49" t="s">
        <v>36</v>
      </c>
      <c r="C255" s="40">
        <v>0</v>
      </c>
      <c r="D255" s="40">
        <v>0</v>
      </c>
      <c r="E255" s="40">
        <v>0</v>
      </c>
      <c r="F255" s="40">
        <v>0</v>
      </c>
      <c r="G255" s="40">
        <v>0</v>
      </c>
      <c r="H255" s="40"/>
      <c r="I255" s="40">
        <v>0</v>
      </c>
      <c r="J255" s="67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x14ac:dyDescent="0.25">
      <c r="A256" s="49"/>
      <c r="B256" s="49" t="s">
        <v>36</v>
      </c>
      <c r="C256" s="40">
        <v>0</v>
      </c>
      <c r="D256" s="40">
        <v>0</v>
      </c>
      <c r="E256" s="40">
        <v>0</v>
      </c>
      <c r="F256" s="40">
        <v>0</v>
      </c>
      <c r="G256" s="40">
        <v>0</v>
      </c>
      <c r="H256" s="40"/>
      <c r="I256" s="40">
        <v>0</v>
      </c>
      <c r="J256" s="67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x14ac:dyDescent="0.25">
      <c r="A257" s="49"/>
      <c r="B257" s="49" t="s">
        <v>36</v>
      </c>
      <c r="C257" s="40">
        <v>0</v>
      </c>
      <c r="D257" s="40">
        <v>0</v>
      </c>
      <c r="E257" s="40">
        <v>0</v>
      </c>
      <c r="F257" s="40">
        <v>0</v>
      </c>
      <c r="G257" s="40">
        <v>0</v>
      </c>
      <c r="H257" s="40"/>
      <c r="I257" s="40">
        <v>0</v>
      </c>
      <c r="J257" s="67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x14ac:dyDescent="0.25">
      <c r="A258" s="49"/>
      <c r="B258" s="49" t="s">
        <v>36</v>
      </c>
      <c r="C258" s="40">
        <v>0</v>
      </c>
      <c r="D258" s="40">
        <v>0</v>
      </c>
      <c r="E258" s="40">
        <v>0</v>
      </c>
      <c r="F258" s="40">
        <v>0</v>
      </c>
      <c r="G258" s="40">
        <v>0</v>
      </c>
      <c r="H258" s="40"/>
      <c r="I258" s="40">
        <v>0</v>
      </c>
      <c r="J258" s="67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x14ac:dyDescent="0.25">
      <c r="A259" s="49"/>
      <c r="B259" s="49" t="s">
        <v>36</v>
      </c>
      <c r="C259" s="40">
        <v>0</v>
      </c>
      <c r="D259" s="40">
        <v>0</v>
      </c>
      <c r="E259" s="40">
        <v>0</v>
      </c>
      <c r="F259" s="40">
        <v>0</v>
      </c>
      <c r="G259" s="40">
        <v>0</v>
      </c>
      <c r="H259" s="40"/>
      <c r="I259" s="40">
        <v>0</v>
      </c>
      <c r="J259" s="67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x14ac:dyDescent="0.25">
      <c r="A260" s="49"/>
      <c r="B260" s="49" t="s">
        <v>36</v>
      </c>
      <c r="C260" s="40">
        <v>0</v>
      </c>
      <c r="D260" s="40">
        <v>0</v>
      </c>
      <c r="E260" s="40">
        <v>0</v>
      </c>
      <c r="F260" s="40">
        <v>0</v>
      </c>
      <c r="G260" s="40">
        <v>0</v>
      </c>
      <c r="H260" s="40"/>
      <c r="I260" s="40">
        <v>0</v>
      </c>
      <c r="J260" s="67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x14ac:dyDescent="0.25">
      <c r="A261" s="49"/>
      <c r="B261" s="49" t="s">
        <v>36</v>
      </c>
      <c r="C261" s="40">
        <v>0</v>
      </c>
      <c r="D261" s="40">
        <v>0</v>
      </c>
      <c r="E261" s="40">
        <v>0</v>
      </c>
      <c r="F261" s="40">
        <v>0</v>
      </c>
      <c r="G261" s="40">
        <v>0</v>
      </c>
      <c r="H261" s="40"/>
      <c r="I261" s="40">
        <v>0</v>
      </c>
      <c r="J261" s="67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x14ac:dyDescent="0.25">
      <c r="A262" s="49"/>
      <c r="B262" s="49" t="s">
        <v>36</v>
      </c>
      <c r="C262" s="40">
        <v>0</v>
      </c>
      <c r="D262" s="40">
        <v>0</v>
      </c>
      <c r="E262" s="40">
        <v>0</v>
      </c>
      <c r="F262" s="40">
        <v>0</v>
      </c>
      <c r="G262" s="40">
        <v>0</v>
      </c>
      <c r="H262" s="40"/>
      <c r="I262" s="40">
        <v>0</v>
      </c>
      <c r="J262" s="67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x14ac:dyDescent="0.25">
      <c r="A263" s="49"/>
      <c r="B263" s="49" t="s">
        <v>36</v>
      </c>
      <c r="C263" s="40">
        <v>0</v>
      </c>
      <c r="D263" s="40">
        <v>0</v>
      </c>
      <c r="E263" s="40">
        <v>0</v>
      </c>
      <c r="F263" s="40">
        <v>0</v>
      </c>
      <c r="G263" s="40">
        <v>0</v>
      </c>
      <c r="H263" s="40"/>
      <c r="I263" s="40">
        <v>0</v>
      </c>
      <c r="J263" s="67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x14ac:dyDescent="0.25">
      <c r="A264" s="49"/>
      <c r="B264" s="49" t="s">
        <v>36</v>
      </c>
      <c r="C264" s="40">
        <v>0</v>
      </c>
      <c r="D264" s="40">
        <v>0</v>
      </c>
      <c r="E264" s="40">
        <v>0</v>
      </c>
      <c r="F264" s="40">
        <v>0</v>
      </c>
      <c r="G264" s="40">
        <v>0</v>
      </c>
      <c r="H264" s="40"/>
      <c r="I264" s="40">
        <v>0</v>
      </c>
      <c r="J264" s="67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x14ac:dyDescent="0.25">
      <c r="A265" s="49"/>
      <c r="B265" s="49" t="s">
        <v>36</v>
      </c>
      <c r="C265" s="40">
        <v>0</v>
      </c>
      <c r="D265" s="40">
        <v>0</v>
      </c>
      <c r="E265" s="40">
        <v>0</v>
      </c>
      <c r="F265" s="40">
        <v>0</v>
      </c>
      <c r="G265" s="40">
        <v>0</v>
      </c>
      <c r="H265" s="40"/>
      <c r="I265" s="40">
        <v>0</v>
      </c>
      <c r="J265" s="67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x14ac:dyDescent="0.25">
      <c r="A266" s="49"/>
      <c r="B266" s="49" t="s">
        <v>36</v>
      </c>
      <c r="C266" s="40">
        <v>0</v>
      </c>
      <c r="D266" s="40">
        <v>0</v>
      </c>
      <c r="E266" s="40">
        <v>0</v>
      </c>
      <c r="F266" s="40">
        <v>0</v>
      </c>
      <c r="G266" s="40">
        <v>0</v>
      </c>
      <c r="H266" s="40"/>
      <c r="I266" s="40">
        <v>0</v>
      </c>
      <c r="J266" s="67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x14ac:dyDescent="0.25">
      <c r="A267" s="49"/>
      <c r="B267" s="49" t="s">
        <v>36</v>
      </c>
      <c r="C267" s="40">
        <v>0</v>
      </c>
      <c r="D267" s="40">
        <v>0</v>
      </c>
      <c r="E267" s="40">
        <v>0</v>
      </c>
      <c r="F267" s="40">
        <v>0</v>
      </c>
      <c r="G267" s="40">
        <v>0</v>
      </c>
      <c r="H267" s="40"/>
      <c r="I267" s="40">
        <v>0</v>
      </c>
      <c r="J267" s="67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x14ac:dyDescent="0.25">
      <c r="A268" s="49"/>
      <c r="B268" s="49" t="s">
        <v>36</v>
      </c>
      <c r="C268" s="40">
        <v>0</v>
      </c>
      <c r="D268" s="40">
        <v>0</v>
      </c>
      <c r="E268" s="40">
        <v>0</v>
      </c>
      <c r="F268" s="40">
        <v>0</v>
      </c>
      <c r="G268" s="40">
        <v>0</v>
      </c>
      <c r="H268" s="40"/>
      <c r="I268" s="40">
        <v>0</v>
      </c>
      <c r="J268" s="67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x14ac:dyDescent="0.25">
      <c r="A269" s="49"/>
      <c r="B269" s="49" t="s">
        <v>36</v>
      </c>
      <c r="C269" s="40">
        <v>0</v>
      </c>
      <c r="D269" s="40">
        <v>0</v>
      </c>
      <c r="E269" s="40">
        <v>0</v>
      </c>
      <c r="F269" s="40">
        <v>0</v>
      </c>
      <c r="G269" s="40">
        <v>0</v>
      </c>
      <c r="H269" s="40"/>
      <c r="I269" s="40">
        <v>0</v>
      </c>
      <c r="J269" s="67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x14ac:dyDescent="0.25">
      <c r="A270" s="49"/>
      <c r="B270" s="49" t="s">
        <v>36</v>
      </c>
      <c r="C270" s="40">
        <v>0</v>
      </c>
      <c r="D270" s="40">
        <v>0</v>
      </c>
      <c r="E270" s="40">
        <v>0</v>
      </c>
      <c r="F270" s="40">
        <v>0</v>
      </c>
      <c r="G270" s="40">
        <v>0</v>
      </c>
      <c r="H270" s="40"/>
      <c r="I270" s="40">
        <v>0</v>
      </c>
      <c r="J270" s="67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x14ac:dyDescent="0.25">
      <c r="A271" s="49"/>
      <c r="B271" s="49" t="s">
        <v>36</v>
      </c>
      <c r="C271" s="40">
        <v>0</v>
      </c>
      <c r="D271" s="40">
        <v>0</v>
      </c>
      <c r="E271" s="40">
        <v>0</v>
      </c>
      <c r="F271" s="40">
        <v>0</v>
      </c>
      <c r="G271" s="40">
        <v>0</v>
      </c>
      <c r="H271" s="40"/>
      <c r="I271" s="40">
        <v>0</v>
      </c>
      <c r="J271" s="67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x14ac:dyDescent="0.25">
      <c r="A272" s="49"/>
      <c r="B272" s="49" t="s">
        <v>36</v>
      </c>
      <c r="C272" s="40">
        <v>0</v>
      </c>
      <c r="D272" s="40">
        <v>0</v>
      </c>
      <c r="E272" s="40">
        <v>0</v>
      </c>
      <c r="F272" s="40">
        <v>0</v>
      </c>
      <c r="G272" s="40">
        <v>0</v>
      </c>
      <c r="H272" s="40"/>
      <c r="I272" s="40">
        <v>0</v>
      </c>
      <c r="J272" s="67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x14ac:dyDescent="0.25">
      <c r="A273" s="49"/>
      <c r="B273" s="49" t="s">
        <v>36</v>
      </c>
      <c r="C273" s="40">
        <v>0</v>
      </c>
      <c r="D273" s="40">
        <v>0</v>
      </c>
      <c r="E273" s="40">
        <v>0</v>
      </c>
      <c r="F273" s="40">
        <v>0</v>
      </c>
      <c r="G273" s="40">
        <v>0</v>
      </c>
      <c r="H273" s="40"/>
      <c r="I273" s="40">
        <v>0</v>
      </c>
      <c r="J273" s="67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x14ac:dyDescent="0.25">
      <c r="A274" s="49"/>
      <c r="B274" s="49" t="s">
        <v>36</v>
      </c>
      <c r="C274" s="40">
        <v>0</v>
      </c>
      <c r="D274" s="40">
        <v>0</v>
      </c>
      <c r="E274" s="40">
        <v>0</v>
      </c>
      <c r="F274" s="40">
        <v>0</v>
      </c>
      <c r="G274" s="40">
        <v>0</v>
      </c>
      <c r="H274" s="40"/>
      <c r="I274" s="40">
        <v>0</v>
      </c>
      <c r="J274" s="67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x14ac:dyDescent="0.25">
      <c r="A275" s="49"/>
      <c r="B275" s="49" t="s">
        <v>36</v>
      </c>
      <c r="C275" s="40">
        <v>0</v>
      </c>
      <c r="D275" s="40">
        <v>0</v>
      </c>
      <c r="E275" s="40">
        <v>0</v>
      </c>
      <c r="F275" s="40">
        <v>0</v>
      </c>
      <c r="G275" s="40">
        <v>0</v>
      </c>
      <c r="H275" s="40"/>
      <c r="I275" s="40">
        <v>0</v>
      </c>
      <c r="J275" s="67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x14ac:dyDescent="0.25">
      <c r="A276" s="49"/>
      <c r="B276" s="49" t="s">
        <v>36</v>
      </c>
      <c r="C276" s="40">
        <v>0</v>
      </c>
      <c r="D276" s="40">
        <v>0</v>
      </c>
      <c r="E276" s="40">
        <v>0</v>
      </c>
      <c r="F276" s="40">
        <v>0</v>
      </c>
      <c r="G276" s="40">
        <v>0</v>
      </c>
      <c r="H276" s="40"/>
      <c r="I276" s="40">
        <v>0</v>
      </c>
      <c r="J276" s="67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x14ac:dyDescent="0.25">
      <c r="A277" s="49"/>
      <c r="B277" s="49" t="s">
        <v>36</v>
      </c>
      <c r="C277" s="40">
        <v>0</v>
      </c>
      <c r="D277" s="40">
        <v>0</v>
      </c>
      <c r="E277" s="40">
        <v>0</v>
      </c>
      <c r="F277" s="40">
        <v>0</v>
      </c>
      <c r="G277" s="40">
        <v>0</v>
      </c>
      <c r="H277" s="40"/>
      <c r="I277" s="40">
        <v>0</v>
      </c>
      <c r="J277" s="67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x14ac:dyDescent="0.25">
      <c r="A278" s="49"/>
      <c r="B278" s="49" t="s">
        <v>36</v>
      </c>
      <c r="C278" s="40">
        <v>0</v>
      </c>
      <c r="D278" s="40">
        <v>0</v>
      </c>
      <c r="E278" s="40">
        <v>0</v>
      </c>
      <c r="F278" s="40">
        <v>0</v>
      </c>
      <c r="G278" s="40">
        <v>0</v>
      </c>
      <c r="H278" s="40"/>
      <c r="I278" s="40">
        <v>0</v>
      </c>
      <c r="J278" s="67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x14ac:dyDescent="0.25">
      <c r="A279" s="49"/>
      <c r="B279" s="49" t="s">
        <v>36</v>
      </c>
      <c r="C279" s="40">
        <v>0</v>
      </c>
      <c r="D279" s="40">
        <v>0</v>
      </c>
      <c r="E279" s="40">
        <v>0</v>
      </c>
      <c r="F279" s="40">
        <v>0</v>
      </c>
      <c r="G279" s="40">
        <v>0</v>
      </c>
      <c r="H279" s="40"/>
      <c r="I279" s="40">
        <v>0</v>
      </c>
      <c r="J279" s="67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x14ac:dyDescent="0.25">
      <c r="A280" s="49"/>
      <c r="B280" s="49" t="s">
        <v>36</v>
      </c>
      <c r="C280" s="40">
        <v>0</v>
      </c>
      <c r="D280" s="40">
        <v>0</v>
      </c>
      <c r="E280" s="40">
        <v>0</v>
      </c>
      <c r="F280" s="40">
        <v>0</v>
      </c>
      <c r="G280" s="40">
        <v>0</v>
      </c>
      <c r="H280" s="40"/>
      <c r="I280" s="40">
        <v>0</v>
      </c>
      <c r="J280" s="67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x14ac:dyDescent="0.25">
      <c r="A281" s="49"/>
      <c r="B281" s="49" t="s">
        <v>36</v>
      </c>
      <c r="C281" s="40">
        <v>0</v>
      </c>
      <c r="D281" s="40">
        <v>0</v>
      </c>
      <c r="E281" s="40">
        <v>0</v>
      </c>
      <c r="F281" s="40">
        <v>0</v>
      </c>
      <c r="G281" s="40">
        <v>0</v>
      </c>
      <c r="H281" s="40"/>
      <c r="I281" s="40">
        <v>0</v>
      </c>
      <c r="J281" s="67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x14ac:dyDescent="0.25">
      <c r="A282" s="49"/>
      <c r="B282" s="49" t="s">
        <v>36</v>
      </c>
      <c r="C282" s="40">
        <v>0</v>
      </c>
      <c r="D282" s="40">
        <v>0</v>
      </c>
      <c r="E282" s="40">
        <v>0</v>
      </c>
      <c r="F282" s="40">
        <v>0</v>
      </c>
      <c r="G282" s="40">
        <v>0</v>
      </c>
      <c r="H282" s="40"/>
      <c r="I282" s="40">
        <v>0</v>
      </c>
      <c r="J282" s="67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x14ac:dyDescent="0.25">
      <c r="A283" s="49"/>
      <c r="B283" s="49" t="s">
        <v>36</v>
      </c>
      <c r="C283" s="40">
        <v>0</v>
      </c>
      <c r="D283" s="40">
        <v>0</v>
      </c>
      <c r="E283" s="40">
        <v>0</v>
      </c>
      <c r="F283" s="40">
        <v>0</v>
      </c>
      <c r="G283" s="40">
        <v>0</v>
      </c>
      <c r="H283" s="40"/>
      <c r="I283" s="40">
        <v>0</v>
      </c>
      <c r="J283" s="67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x14ac:dyDescent="0.25">
      <c r="A284" s="49"/>
      <c r="B284" s="49" t="s">
        <v>36</v>
      </c>
      <c r="C284" s="40">
        <v>0</v>
      </c>
      <c r="D284" s="40">
        <v>0</v>
      </c>
      <c r="E284" s="40">
        <v>0</v>
      </c>
      <c r="F284" s="40">
        <v>0</v>
      </c>
      <c r="G284" s="40">
        <v>0</v>
      </c>
      <c r="H284" s="40"/>
      <c r="I284" s="40">
        <v>0</v>
      </c>
      <c r="J284" s="67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x14ac:dyDescent="0.25">
      <c r="A285" s="49"/>
      <c r="B285" s="49" t="s">
        <v>36</v>
      </c>
      <c r="C285" s="40">
        <v>0</v>
      </c>
      <c r="D285" s="40">
        <v>0</v>
      </c>
      <c r="E285" s="40">
        <v>0</v>
      </c>
      <c r="F285" s="40">
        <v>0</v>
      </c>
      <c r="G285" s="40">
        <v>0</v>
      </c>
      <c r="H285" s="40"/>
      <c r="I285" s="40">
        <v>0</v>
      </c>
      <c r="J285" s="67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x14ac:dyDescent="0.25">
      <c r="A286" s="49"/>
      <c r="B286" s="49" t="s">
        <v>36</v>
      </c>
      <c r="C286" s="40">
        <v>0</v>
      </c>
      <c r="D286" s="40">
        <v>0</v>
      </c>
      <c r="E286" s="40">
        <v>0</v>
      </c>
      <c r="F286" s="40">
        <v>0</v>
      </c>
      <c r="G286" s="40">
        <v>0</v>
      </c>
      <c r="H286" s="40"/>
      <c r="I286" s="40">
        <v>0</v>
      </c>
      <c r="J286" s="67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x14ac:dyDescent="0.25">
      <c r="A287" s="49"/>
      <c r="B287" s="49" t="s">
        <v>36</v>
      </c>
      <c r="C287" s="40">
        <v>0</v>
      </c>
      <c r="D287" s="40">
        <v>0</v>
      </c>
      <c r="E287" s="40">
        <v>0</v>
      </c>
      <c r="F287" s="40">
        <v>0</v>
      </c>
      <c r="G287" s="40">
        <v>0</v>
      </c>
      <c r="H287" s="40"/>
      <c r="I287" s="40">
        <v>0</v>
      </c>
      <c r="J287" s="67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x14ac:dyDescent="0.25">
      <c r="A288" s="49"/>
      <c r="B288" s="49" t="s">
        <v>36</v>
      </c>
      <c r="C288" s="40">
        <v>0</v>
      </c>
      <c r="D288" s="40">
        <v>0</v>
      </c>
      <c r="E288" s="40">
        <v>0</v>
      </c>
      <c r="F288" s="40">
        <v>0</v>
      </c>
      <c r="G288" s="40">
        <v>0</v>
      </c>
      <c r="H288" s="40"/>
      <c r="I288" s="40">
        <v>0</v>
      </c>
      <c r="J288" s="67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x14ac:dyDescent="0.25">
      <c r="A289" s="49"/>
      <c r="B289" s="49" t="s">
        <v>36</v>
      </c>
      <c r="C289" s="40">
        <v>0</v>
      </c>
      <c r="D289" s="40">
        <v>0</v>
      </c>
      <c r="E289" s="40">
        <v>0</v>
      </c>
      <c r="F289" s="40">
        <v>0</v>
      </c>
      <c r="G289" s="40">
        <v>0</v>
      </c>
      <c r="H289" s="40"/>
      <c r="I289" s="40">
        <v>0</v>
      </c>
      <c r="J289" s="67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x14ac:dyDescent="0.25">
      <c r="A290" s="49"/>
      <c r="B290" s="49" t="s">
        <v>36</v>
      </c>
      <c r="C290" s="40">
        <v>0</v>
      </c>
      <c r="D290" s="40">
        <v>0</v>
      </c>
      <c r="E290" s="40">
        <v>0</v>
      </c>
      <c r="F290" s="40">
        <v>0</v>
      </c>
      <c r="G290" s="40">
        <v>0</v>
      </c>
      <c r="H290" s="40"/>
      <c r="I290" s="40">
        <v>0</v>
      </c>
      <c r="J290" s="67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x14ac:dyDescent="0.25">
      <c r="A291" s="49"/>
      <c r="B291" s="49" t="s">
        <v>36</v>
      </c>
      <c r="C291" s="40">
        <v>0</v>
      </c>
      <c r="D291" s="40">
        <v>0</v>
      </c>
      <c r="E291" s="40">
        <v>0</v>
      </c>
      <c r="F291" s="40">
        <v>0</v>
      </c>
      <c r="G291" s="40">
        <v>0</v>
      </c>
      <c r="H291" s="40"/>
      <c r="I291" s="40">
        <v>0</v>
      </c>
      <c r="J291" s="67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x14ac:dyDescent="0.25">
      <c r="A292" s="49"/>
      <c r="B292" s="49" t="s">
        <v>36</v>
      </c>
      <c r="C292" s="40">
        <v>0</v>
      </c>
      <c r="D292" s="40">
        <v>0</v>
      </c>
      <c r="E292" s="40">
        <v>0</v>
      </c>
      <c r="F292" s="40">
        <v>0</v>
      </c>
      <c r="G292" s="40">
        <v>0</v>
      </c>
      <c r="H292" s="40"/>
      <c r="I292" s="40">
        <v>0</v>
      </c>
      <c r="J292" s="67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x14ac:dyDescent="0.25">
      <c r="A293" s="49"/>
      <c r="B293" s="49" t="s">
        <v>36</v>
      </c>
      <c r="C293" s="40">
        <v>0</v>
      </c>
      <c r="D293" s="40">
        <v>0</v>
      </c>
      <c r="E293" s="40">
        <v>0</v>
      </c>
      <c r="F293" s="40">
        <v>0</v>
      </c>
      <c r="G293" s="40">
        <v>0</v>
      </c>
      <c r="H293" s="40"/>
      <c r="I293" s="40">
        <v>0</v>
      </c>
      <c r="J293" s="67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x14ac:dyDescent="0.25">
      <c r="A294" s="49"/>
      <c r="B294" s="49" t="s">
        <v>36</v>
      </c>
      <c r="C294" s="40">
        <v>0</v>
      </c>
      <c r="D294" s="40">
        <v>0</v>
      </c>
      <c r="E294" s="40">
        <v>0</v>
      </c>
      <c r="F294" s="40">
        <v>0</v>
      </c>
      <c r="G294" s="40">
        <v>0</v>
      </c>
      <c r="H294" s="40"/>
      <c r="I294" s="40">
        <v>0</v>
      </c>
      <c r="J294" s="67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x14ac:dyDescent="0.25">
      <c r="A295" s="49"/>
      <c r="B295" s="49" t="s">
        <v>36</v>
      </c>
      <c r="C295" s="40">
        <v>0</v>
      </c>
      <c r="D295" s="40">
        <v>0</v>
      </c>
      <c r="E295" s="40">
        <v>0</v>
      </c>
      <c r="F295" s="40">
        <v>0</v>
      </c>
      <c r="G295" s="40">
        <v>0</v>
      </c>
      <c r="H295" s="40"/>
      <c r="I295" s="40">
        <v>0</v>
      </c>
      <c r="J295" s="67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x14ac:dyDescent="0.25">
      <c r="A296" s="49"/>
      <c r="B296" s="49" t="s">
        <v>36</v>
      </c>
      <c r="C296" s="40">
        <v>0</v>
      </c>
      <c r="D296" s="40">
        <v>0</v>
      </c>
      <c r="E296" s="40">
        <v>0</v>
      </c>
      <c r="F296" s="40">
        <v>0</v>
      </c>
      <c r="G296" s="40">
        <v>0</v>
      </c>
      <c r="H296" s="40"/>
      <c r="I296" s="40">
        <v>0</v>
      </c>
      <c r="J296" s="67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x14ac:dyDescent="0.25">
      <c r="A297" s="49"/>
      <c r="B297" s="49" t="s">
        <v>36</v>
      </c>
      <c r="C297" s="40">
        <v>0</v>
      </c>
      <c r="D297" s="40">
        <v>0</v>
      </c>
      <c r="E297" s="40">
        <v>0</v>
      </c>
      <c r="F297" s="40">
        <v>0</v>
      </c>
      <c r="G297" s="40">
        <v>0</v>
      </c>
      <c r="H297" s="40"/>
      <c r="I297" s="40">
        <v>0</v>
      </c>
      <c r="J297" s="67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x14ac:dyDescent="0.25">
      <c r="A298" s="49"/>
      <c r="B298" s="49" t="s">
        <v>36</v>
      </c>
      <c r="C298" s="40">
        <v>0</v>
      </c>
      <c r="D298" s="40">
        <v>0</v>
      </c>
      <c r="E298" s="40">
        <v>0</v>
      </c>
      <c r="F298" s="40">
        <v>0</v>
      </c>
      <c r="G298" s="40">
        <v>0</v>
      </c>
      <c r="H298" s="40"/>
      <c r="I298" s="40">
        <v>0</v>
      </c>
      <c r="J298" s="67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x14ac:dyDescent="0.25">
      <c r="A299" s="49"/>
      <c r="B299" s="49" t="s">
        <v>36</v>
      </c>
      <c r="C299" s="40">
        <v>0</v>
      </c>
      <c r="D299" s="40">
        <v>0</v>
      </c>
      <c r="E299" s="40">
        <v>0</v>
      </c>
      <c r="F299" s="40">
        <v>0</v>
      </c>
      <c r="G299" s="40">
        <v>0</v>
      </c>
      <c r="H299" s="40"/>
      <c r="I299" s="40">
        <v>0</v>
      </c>
      <c r="J299" s="67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x14ac:dyDescent="0.25">
      <c r="A300" s="49"/>
      <c r="B300" s="49" t="s">
        <v>36</v>
      </c>
      <c r="C300" s="40">
        <v>0</v>
      </c>
      <c r="D300" s="40">
        <v>0</v>
      </c>
      <c r="E300" s="40">
        <v>0</v>
      </c>
      <c r="F300" s="40">
        <v>0</v>
      </c>
      <c r="G300" s="40">
        <v>0</v>
      </c>
      <c r="H300" s="40"/>
      <c r="I300" s="40">
        <v>0</v>
      </c>
      <c r="J300" s="67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x14ac:dyDescent="0.25">
      <c r="A301" s="49"/>
      <c r="B301" s="49" t="s">
        <v>36</v>
      </c>
      <c r="C301" s="40">
        <v>0</v>
      </c>
      <c r="D301" s="40">
        <v>0</v>
      </c>
      <c r="E301" s="40">
        <v>0</v>
      </c>
      <c r="F301" s="40">
        <v>0</v>
      </c>
      <c r="G301" s="40">
        <v>0</v>
      </c>
      <c r="H301" s="40"/>
      <c r="I301" s="40">
        <v>0</v>
      </c>
      <c r="J301" s="67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x14ac:dyDescent="0.25">
      <c r="A302" s="49"/>
      <c r="B302" s="49" t="s">
        <v>36</v>
      </c>
      <c r="C302" s="40">
        <v>0</v>
      </c>
      <c r="D302" s="40">
        <v>0</v>
      </c>
      <c r="E302" s="40">
        <v>0</v>
      </c>
      <c r="F302" s="40">
        <v>0</v>
      </c>
      <c r="G302" s="40">
        <v>0</v>
      </c>
      <c r="H302" s="40"/>
      <c r="I302" s="40">
        <v>0</v>
      </c>
      <c r="J302" s="67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x14ac:dyDescent="0.25">
      <c r="A303" s="49"/>
      <c r="B303" s="49" t="s">
        <v>36</v>
      </c>
      <c r="C303" s="40">
        <v>0</v>
      </c>
      <c r="D303" s="40">
        <v>0</v>
      </c>
      <c r="E303" s="40">
        <v>0</v>
      </c>
      <c r="F303" s="40">
        <v>0</v>
      </c>
      <c r="G303" s="40">
        <v>0</v>
      </c>
      <c r="H303" s="40"/>
      <c r="I303" s="40">
        <v>0</v>
      </c>
      <c r="J303" s="67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x14ac:dyDescent="0.25">
      <c r="A304" s="49"/>
      <c r="B304" s="49" t="s">
        <v>36</v>
      </c>
      <c r="C304" s="40">
        <v>0</v>
      </c>
      <c r="D304" s="40">
        <v>0</v>
      </c>
      <c r="E304" s="40">
        <v>0</v>
      </c>
      <c r="F304" s="40">
        <v>0</v>
      </c>
      <c r="G304" s="40">
        <v>0</v>
      </c>
      <c r="H304" s="40"/>
      <c r="I304" s="40">
        <v>0</v>
      </c>
      <c r="J304" s="67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x14ac:dyDescent="0.25">
      <c r="A305" s="49"/>
      <c r="B305" s="49" t="s">
        <v>36</v>
      </c>
      <c r="C305" s="40">
        <v>0</v>
      </c>
      <c r="D305" s="40">
        <v>0</v>
      </c>
      <c r="E305" s="40">
        <v>0</v>
      </c>
      <c r="F305" s="40">
        <v>0</v>
      </c>
      <c r="G305" s="40">
        <v>0</v>
      </c>
      <c r="H305" s="40"/>
      <c r="I305" s="40">
        <v>0</v>
      </c>
      <c r="J305" s="67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x14ac:dyDescent="0.25">
      <c r="A306" s="49"/>
      <c r="B306" s="49" t="s">
        <v>36</v>
      </c>
      <c r="C306" s="40">
        <v>0</v>
      </c>
      <c r="D306" s="40">
        <v>0</v>
      </c>
      <c r="E306" s="40">
        <v>0</v>
      </c>
      <c r="F306" s="40">
        <v>0</v>
      </c>
      <c r="G306" s="40">
        <v>0</v>
      </c>
      <c r="H306" s="40"/>
      <c r="I306" s="40">
        <v>0</v>
      </c>
      <c r="J306" s="67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x14ac:dyDescent="0.25">
      <c r="A307" s="49"/>
      <c r="B307" s="49" t="s">
        <v>36</v>
      </c>
      <c r="C307" s="40">
        <v>0</v>
      </c>
      <c r="D307" s="40">
        <v>0</v>
      </c>
      <c r="E307" s="40">
        <v>0</v>
      </c>
      <c r="F307" s="40">
        <v>0</v>
      </c>
      <c r="G307" s="40">
        <v>0</v>
      </c>
      <c r="H307" s="40"/>
      <c r="I307" s="40">
        <v>0</v>
      </c>
      <c r="J307" s="67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x14ac:dyDescent="0.25">
      <c r="A308" s="49"/>
      <c r="B308" s="49" t="s">
        <v>36</v>
      </c>
      <c r="C308" s="40">
        <v>0</v>
      </c>
      <c r="D308" s="40">
        <v>0</v>
      </c>
      <c r="E308" s="40">
        <v>0</v>
      </c>
      <c r="F308" s="40">
        <v>0</v>
      </c>
      <c r="G308" s="40">
        <v>0</v>
      </c>
      <c r="H308" s="40"/>
      <c r="I308" s="40">
        <v>0</v>
      </c>
      <c r="J308" s="67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x14ac:dyDescent="0.25">
      <c r="A309" s="49"/>
      <c r="B309" s="49" t="s">
        <v>36</v>
      </c>
      <c r="C309" s="40">
        <v>0</v>
      </c>
      <c r="D309" s="40">
        <v>0</v>
      </c>
      <c r="E309" s="40">
        <v>0</v>
      </c>
      <c r="F309" s="40">
        <v>0</v>
      </c>
      <c r="G309" s="40">
        <v>0</v>
      </c>
      <c r="H309" s="40"/>
      <c r="I309" s="40">
        <v>0</v>
      </c>
      <c r="J309" s="67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x14ac:dyDescent="0.25">
      <c r="A310" s="49"/>
      <c r="B310" s="49" t="s">
        <v>36</v>
      </c>
      <c r="C310" s="40">
        <v>0</v>
      </c>
      <c r="D310" s="40">
        <v>0</v>
      </c>
      <c r="E310" s="40">
        <v>0</v>
      </c>
      <c r="F310" s="40">
        <v>0</v>
      </c>
      <c r="G310" s="40">
        <v>0</v>
      </c>
      <c r="H310" s="40"/>
      <c r="I310" s="40">
        <v>0</v>
      </c>
      <c r="J310" s="67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x14ac:dyDescent="0.25">
      <c r="A311" s="49"/>
      <c r="B311" s="49" t="s">
        <v>36</v>
      </c>
      <c r="C311" s="40">
        <v>0</v>
      </c>
      <c r="D311" s="40">
        <v>0</v>
      </c>
      <c r="E311" s="40">
        <v>0</v>
      </c>
      <c r="F311" s="40">
        <v>0</v>
      </c>
      <c r="G311" s="40">
        <v>0</v>
      </c>
      <c r="H311" s="40"/>
      <c r="I311" s="40">
        <v>0</v>
      </c>
      <c r="J311" s="67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x14ac:dyDescent="0.25">
      <c r="A312" s="49"/>
      <c r="B312" s="49" t="s">
        <v>36</v>
      </c>
      <c r="C312" s="40">
        <v>0</v>
      </c>
      <c r="D312" s="40">
        <v>0</v>
      </c>
      <c r="E312" s="40">
        <v>0</v>
      </c>
      <c r="F312" s="40">
        <v>0</v>
      </c>
      <c r="G312" s="40">
        <v>0</v>
      </c>
      <c r="H312" s="40"/>
      <c r="I312" s="40">
        <v>0</v>
      </c>
      <c r="J312" s="67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x14ac:dyDescent="0.25">
      <c r="A313" s="49"/>
      <c r="B313" s="49" t="s">
        <v>36</v>
      </c>
      <c r="C313" s="40">
        <v>0</v>
      </c>
      <c r="D313" s="40">
        <v>0</v>
      </c>
      <c r="E313" s="40">
        <v>0</v>
      </c>
      <c r="F313" s="40">
        <v>0</v>
      </c>
      <c r="G313" s="40">
        <v>0</v>
      </c>
      <c r="H313" s="40"/>
      <c r="I313" s="40">
        <v>0</v>
      </c>
      <c r="J313" s="67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x14ac:dyDescent="0.25">
      <c r="A314" s="49"/>
      <c r="B314" s="49" t="s">
        <v>36</v>
      </c>
      <c r="C314" s="40">
        <v>0</v>
      </c>
      <c r="D314" s="40">
        <v>0</v>
      </c>
      <c r="E314" s="40">
        <v>0</v>
      </c>
      <c r="F314" s="40">
        <v>0</v>
      </c>
      <c r="G314" s="40">
        <v>0</v>
      </c>
      <c r="H314" s="40"/>
      <c r="I314" s="40">
        <v>0</v>
      </c>
      <c r="J314" s="67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x14ac:dyDescent="0.25">
      <c r="A315" s="49"/>
      <c r="B315" s="49" t="s">
        <v>36</v>
      </c>
      <c r="C315" s="40">
        <v>0</v>
      </c>
      <c r="D315" s="40">
        <v>0</v>
      </c>
      <c r="E315" s="40">
        <v>0</v>
      </c>
      <c r="F315" s="40">
        <v>0</v>
      </c>
      <c r="G315" s="40">
        <v>0</v>
      </c>
      <c r="H315" s="40"/>
      <c r="I315" s="40">
        <v>0</v>
      </c>
      <c r="J315" s="67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x14ac:dyDescent="0.25">
      <c r="A316" s="49"/>
      <c r="B316" s="49" t="s">
        <v>36</v>
      </c>
      <c r="C316" s="40">
        <v>0</v>
      </c>
      <c r="D316" s="40">
        <v>0</v>
      </c>
      <c r="E316" s="40">
        <v>0</v>
      </c>
      <c r="F316" s="40">
        <v>0</v>
      </c>
      <c r="G316" s="40">
        <v>0</v>
      </c>
      <c r="H316" s="40"/>
      <c r="I316" s="40">
        <v>0</v>
      </c>
      <c r="J316" s="67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x14ac:dyDescent="0.25">
      <c r="A317" s="49"/>
      <c r="B317" s="49" t="s">
        <v>36</v>
      </c>
      <c r="C317" s="40">
        <v>0</v>
      </c>
      <c r="D317" s="40">
        <v>0</v>
      </c>
      <c r="E317" s="40">
        <v>0</v>
      </c>
      <c r="F317" s="40">
        <v>0</v>
      </c>
      <c r="G317" s="40">
        <v>0</v>
      </c>
      <c r="H317" s="40"/>
      <c r="I317" s="40">
        <v>0</v>
      </c>
      <c r="J317" s="67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x14ac:dyDescent="0.25">
      <c r="A318" s="49"/>
      <c r="B318" s="49" t="s">
        <v>36</v>
      </c>
      <c r="C318" s="40">
        <v>0</v>
      </c>
      <c r="D318" s="40">
        <v>0</v>
      </c>
      <c r="E318" s="40">
        <v>0</v>
      </c>
      <c r="F318" s="40">
        <v>0</v>
      </c>
      <c r="G318" s="40">
        <v>0</v>
      </c>
      <c r="H318" s="40"/>
      <c r="I318" s="40">
        <v>0</v>
      </c>
      <c r="J318" s="67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x14ac:dyDescent="0.25">
      <c r="A319" s="49"/>
      <c r="B319" s="49" t="s">
        <v>36</v>
      </c>
      <c r="C319" s="40">
        <v>0</v>
      </c>
      <c r="D319" s="40">
        <v>0</v>
      </c>
      <c r="E319" s="40">
        <v>0</v>
      </c>
      <c r="F319" s="40">
        <v>0</v>
      </c>
      <c r="G319" s="40">
        <v>0</v>
      </c>
      <c r="H319" s="40"/>
      <c r="I319" s="40">
        <v>0</v>
      </c>
      <c r="J319" s="67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x14ac:dyDescent="0.25">
      <c r="A320" s="49"/>
      <c r="B320" s="49" t="s">
        <v>36</v>
      </c>
      <c r="C320" s="40">
        <v>0</v>
      </c>
      <c r="D320" s="40">
        <v>0</v>
      </c>
      <c r="E320" s="40">
        <v>0</v>
      </c>
      <c r="F320" s="40">
        <v>0</v>
      </c>
      <c r="G320" s="40">
        <v>0</v>
      </c>
      <c r="H320" s="40"/>
      <c r="I320" s="40">
        <v>0</v>
      </c>
      <c r="J320" s="67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x14ac:dyDescent="0.25">
      <c r="A321" s="49"/>
      <c r="B321" s="49" t="s">
        <v>36</v>
      </c>
      <c r="C321" s="40">
        <v>0</v>
      </c>
      <c r="D321" s="40">
        <v>0</v>
      </c>
      <c r="E321" s="40">
        <v>0</v>
      </c>
      <c r="F321" s="40">
        <v>0</v>
      </c>
      <c r="G321" s="40">
        <v>0</v>
      </c>
      <c r="H321" s="40"/>
      <c r="I321" s="40">
        <v>0</v>
      </c>
      <c r="J321" s="67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x14ac:dyDescent="0.25">
      <c r="A322" s="49"/>
      <c r="B322" s="49" t="s">
        <v>36</v>
      </c>
      <c r="C322" s="40">
        <v>0</v>
      </c>
      <c r="D322" s="40">
        <v>0</v>
      </c>
      <c r="E322" s="40">
        <v>0</v>
      </c>
      <c r="F322" s="40">
        <v>0</v>
      </c>
      <c r="G322" s="40">
        <v>0</v>
      </c>
      <c r="H322" s="40"/>
      <c r="I322" s="40">
        <v>0</v>
      </c>
      <c r="J322" s="67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x14ac:dyDescent="0.25">
      <c r="A323" s="49"/>
      <c r="B323" s="49" t="s">
        <v>36</v>
      </c>
      <c r="C323" s="40">
        <v>0</v>
      </c>
      <c r="D323" s="40">
        <v>0</v>
      </c>
      <c r="E323" s="40">
        <v>0</v>
      </c>
      <c r="F323" s="40">
        <v>0</v>
      </c>
      <c r="G323" s="40">
        <v>0</v>
      </c>
      <c r="H323" s="40"/>
      <c r="I323" s="40">
        <v>0</v>
      </c>
      <c r="J323" s="67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x14ac:dyDescent="0.25">
      <c r="A324" s="49"/>
      <c r="B324" s="49" t="s">
        <v>36</v>
      </c>
      <c r="C324" s="40">
        <v>0</v>
      </c>
      <c r="D324" s="40">
        <v>0</v>
      </c>
      <c r="E324" s="40">
        <v>0</v>
      </c>
      <c r="F324" s="40">
        <v>0</v>
      </c>
      <c r="G324" s="40">
        <v>0</v>
      </c>
      <c r="H324" s="40"/>
      <c r="I324" s="40">
        <v>0</v>
      </c>
      <c r="J324" s="67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x14ac:dyDescent="0.25">
      <c r="A325" s="49"/>
      <c r="B325" s="49" t="s">
        <v>36</v>
      </c>
      <c r="C325" s="40">
        <v>0</v>
      </c>
      <c r="D325" s="40">
        <v>0</v>
      </c>
      <c r="E325" s="40">
        <v>0</v>
      </c>
      <c r="F325" s="40">
        <v>0</v>
      </c>
      <c r="G325" s="40">
        <v>0</v>
      </c>
      <c r="H325" s="40"/>
      <c r="I325" s="40">
        <v>0</v>
      </c>
      <c r="J325" s="67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x14ac:dyDescent="0.25">
      <c r="A326" s="49"/>
      <c r="B326" s="49" t="s">
        <v>36</v>
      </c>
      <c r="C326" s="40">
        <v>0</v>
      </c>
      <c r="D326" s="40">
        <v>0</v>
      </c>
      <c r="E326" s="40">
        <v>0</v>
      </c>
      <c r="F326" s="40">
        <v>0</v>
      </c>
      <c r="G326" s="40">
        <v>0</v>
      </c>
      <c r="H326" s="40"/>
      <c r="I326" s="40">
        <v>0</v>
      </c>
      <c r="J326" s="67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x14ac:dyDescent="0.25">
      <c r="A327" s="49"/>
      <c r="B327" s="49" t="s">
        <v>36</v>
      </c>
      <c r="C327" s="40">
        <v>0</v>
      </c>
      <c r="D327" s="40">
        <v>0</v>
      </c>
      <c r="E327" s="40">
        <v>0</v>
      </c>
      <c r="F327" s="40">
        <v>0</v>
      </c>
      <c r="G327" s="40">
        <v>0</v>
      </c>
      <c r="H327" s="40"/>
      <c r="I327" s="40">
        <v>0</v>
      </c>
      <c r="J327" s="67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x14ac:dyDescent="0.25">
      <c r="A328" s="49"/>
      <c r="B328" s="49" t="s">
        <v>36</v>
      </c>
      <c r="C328" s="40">
        <v>0</v>
      </c>
      <c r="D328" s="40">
        <v>0</v>
      </c>
      <c r="E328" s="40">
        <v>0</v>
      </c>
      <c r="F328" s="40">
        <v>0</v>
      </c>
      <c r="G328" s="40">
        <v>0</v>
      </c>
      <c r="H328" s="40"/>
      <c r="I328" s="40">
        <v>0</v>
      </c>
      <c r="J328" s="67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x14ac:dyDescent="0.25">
      <c r="A329" s="49"/>
      <c r="B329" s="49" t="s">
        <v>36</v>
      </c>
      <c r="C329" s="40">
        <v>0</v>
      </c>
      <c r="D329" s="40">
        <v>0</v>
      </c>
      <c r="E329" s="40">
        <v>0</v>
      </c>
      <c r="F329" s="40">
        <v>0</v>
      </c>
      <c r="G329" s="40">
        <v>0</v>
      </c>
      <c r="H329" s="40"/>
      <c r="I329" s="40">
        <v>0</v>
      </c>
      <c r="J329" s="67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x14ac:dyDescent="0.25">
      <c r="A330" s="49"/>
      <c r="B330" s="49" t="s">
        <v>36</v>
      </c>
      <c r="C330" s="40">
        <v>0</v>
      </c>
      <c r="D330" s="40">
        <v>0</v>
      </c>
      <c r="E330" s="40">
        <v>0</v>
      </c>
      <c r="F330" s="40">
        <v>0</v>
      </c>
      <c r="G330" s="40">
        <v>0</v>
      </c>
      <c r="H330" s="40"/>
      <c r="I330" s="40">
        <v>0</v>
      </c>
      <c r="J330" s="67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x14ac:dyDescent="0.25">
      <c r="A331" s="49"/>
      <c r="B331" s="49" t="s">
        <v>36</v>
      </c>
      <c r="C331" s="40">
        <v>0</v>
      </c>
      <c r="D331" s="40">
        <v>0</v>
      </c>
      <c r="E331" s="40">
        <v>0</v>
      </c>
      <c r="F331" s="40">
        <v>0</v>
      </c>
      <c r="G331" s="40">
        <v>0</v>
      </c>
      <c r="H331" s="40"/>
      <c r="I331" s="40">
        <v>0</v>
      </c>
      <c r="J331" s="67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x14ac:dyDescent="0.25">
      <c r="A332" s="49"/>
      <c r="B332" s="49" t="s">
        <v>36</v>
      </c>
      <c r="C332" s="40">
        <v>0</v>
      </c>
      <c r="D332" s="40">
        <v>0</v>
      </c>
      <c r="E332" s="40">
        <v>0</v>
      </c>
      <c r="F332" s="40">
        <v>0</v>
      </c>
      <c r="G332" s="40">
        <v>0</v>
      </c>
      <c r="H332" s="40"/>
      <c r="I332" s="40">
        <v>0</v>
      </c>
      <c r="J332" s="67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x14ac:dyDescent="0.25">
      <c r="A333" s="49"/>
      <c r="B333" s="49" t="s">
        <v>36</v>
      </c>
      <c r="C333" s="40">
        <v>0</v>
      </c>
      <c r="D333" s="40">
        <v>0</v>
      </c>
      <c r="E333" s="40">
        <v>0</v>
      </c>
      <c r="F333" s="40">
        <v>0</v>
      </c>
      <c r="G333" s="40">
        <v>0</v>
      </c>
      <c r="H333" s="40"/>
      <c r="I333" s="40">
        <v>0</v>
      </c>
      <c r="J333" s="67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x14ac:dyDescent="0.25">
      <c r="A334" s="49"/>
      <c r="B334" s="49" t="s">
        <v>36</v>
      </c>
      <c r="C334" s="40">
        <v>0</v>
      </c>
      <c r="D334" s="40">
        <v>0</v>
      </c>
      <c r="E334" s="40">
        <v>0</v>
      </c>
      <c r="F334" s="40">
        <v>0</v>
      </c>
      <c r="G334" s="40">
        <v>0</v>
      </c>
      <c r="H334" s="40"/>
      <c r="I334" s="40">
        <v>0</v>
      </c>
      <c r="J334" s="67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x14ac:dyDescent="0.25">
      <c r="A335" s="49"/>
      <c r="B335" s="49" t="s">
        <v>36</v>
      </c>
      <c r="C335" s="40">
        <v>0</v>
      </c>
      <c r="D335" s="40">
        <v>0</v>
      </c>
      <c r="E335" s="40">
        <v>0</v>
      </c>
      <c r="F335" s="40">
        <v>0</v>
      </c>
      <c r="G335" s="40">
        <v>0</v>
      </c>
      <c r="H335" s="40"/>
      <c r="I335" s="40">
        <v>0</v>
      </c>
      <c r="J335" s="67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x14ac:dyDescent="0.25">
      <c r="A336" s="49"/>
      <c r="B336" s="49" t="s">
        <v>36</v>
      </c>
      <c r="C336" s="40">
        <v>0</v>
      </c>
      <c r="D336" s="40">
        <v>0</v>
      </c>
      <c r="E336" s="40">
        <v>0</v>
      </c>
      <c r="F336" s="40">
        <v>0</v>
      </c>
      <c r="G336" s="40">
        <v>0</v>
      </c>
      <c r="H336" s="40"/>
      <c r="I336" s="40">
        <v>0</v>
      </c>
      <c r="J336" s="67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x14ac:dyDescent="0.25">
      <c r="A337" s="49"/>
      <c r="B337" s="49" t="s">
        <v>36</v>
      </c>
      <c r="C337" s="40">
        <v>0</v>
      </c>
      <c r="D337" s="40">
        <v>0</v>
      </c>
      <c r="E337" s="40">
        <v>0</v>
      </c>
      <c r="F337" s="40">
        <v>0</v>
      </c>
      <c r="G337" s="40">
        <v>0</v>
      </c>
      <c r="H337" s="40"/>
      <c r="I337" s="40">
        <v>0</v>
      </c>
      <c r="J337" s="67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x14ac:dyDescent="0.25">
      <c r="A338" s="49"/>
      <c r="B338" s="49" t="s">
        <v>36</v>
      </c>
      <c r="C338" s="40">
        <v>0</v>
      </c>
      <c r="D338" s="40">
        <v>0</v>
      </c>
      <c r="E338" s="40">
        <v>0</v>
      </c>
      <c r="F338" s="40">
        <v>0</v>
      </c>
      <c r="G338" s="40">
        <v>0</v>
      </c>
      <c r="H338" s="40"/>
      <c r="I338" s="40">
        <v>0</v>
      </c>
      <c r="J338" s="67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x14ac:dyDescent="0.25">
      <c r="A339" s="49"/>
      <c r="B339" s="49" t="s">
        <v>36</v>
      </c>
      <c r="C339" s="40">
        <v>0</v>
      </c>
      <c r="D339" s="40">
        <v>0</v>
      </c>
      <c r="E339" s="40">
        <v>0</v>
      </c>
      <c r="F339" s="40">
        <v>0</v>
      </c>
      <c r="G339" s="40">
        <v>0</v>
      </c>
      <c r="H339" s="40"/>
      <c r="I339" s="40">
        <v>0</v>
      </c>
      <c r="J339" s="67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x14ac:dyDescent="0.25">
      <c r="A340" s="49"/>
      <c r="B340" s="49" t="s">
        <v>36</v>
      </c>
      <c r="C340" s="40">
        <v>0</v>
      </c>
      <c r="D340" s="40">
        <v>0</v>
      </c>
      <c r="E340" s="40">
        <v>0</v>
      </c>
      <c r="F340" s="40">
        <v>0</v>
      </c>
      <c r="G340" s="40">
        <v>0</v>
      </c>
      <c r="H340" s="40"/>
      <c r="I340" s="40">
        <v>0</v>
      </c>
      <c r="J340" s="67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x14ac:dyDescent="0.25">
      <c r="A341" s="49"/>
      <c r="B341" s="49" t="s">
        <v>36</v>
      </c>
      <c r="C341" s="40">
        <v>0</v>
      </c>
      <c r="D341" s="40">
        <v>0</v>
      </c>
      <c r="E341" s="40">
        <v>0</v>
      </c>
      <c r="F341" s="40">
        <v>0</v>
      </c>
      <c r="G341" s="40">
        <v>0</v>
      </c>
      <c r="H341" s="40"/>
      <c r="I341" s="40">
        <v>0</v>
      </c>
      <c r="J341" s="67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x14ac:dyDescent="0.25">
      <c r="A342" s="49"/>
      <c r="B342" s="49" t="s">
        <v>36</v>
      </c>
      <c r="C342" s="40">
        <v>0</v>
      </c>
      <c r="D342" s="40">
        <v>0</v>
      </c>
      <c r="E342" s="40">
        <v>0</v>
      </c>
      <c r="F342" s="40">
        <v>0</v>
      </c>
      <c r="G342" s="40">
        <v>0</v>
      </c>
      <c r="H342" s="40"/>
      <c r="I342" s="40">
        <v>0</v>
      </c>
      <c r="J342" s="67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x14ac:dyDescent="0.25">
      <c r="A343" s="49"/>
      <c r="B343" s="49" t="s">
        <v>36</v>
      </c>
      <c r="C343" s="40">
        <v>0</v>
      </c>
      <c r="D343" s="40">
        <v>0</v>
      </c>
      <c r="E343" s="40">
        <v>0</v>
      </c>
      <c r="F343" s="40">
        <v>0</v>
      </c>
      <c r="G343" s="40">
        <v>0</v>
      </c>
      <c r="H343" s="40"/>
      <c r="I343" s="40">
        <v>0</v>
      </c>
      <c r="J343" s="67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x14ac:dyDescent="0.25">
      <c r="A344" s="49"/>
      <c r="B344" s="49" t="s">
        <v>36</v>
      </c>
      <c r="C344" s="40">
        <v>0</v>
      </c>
      <c r="D344" s="40">
        <v>0</v>
      </c>
      <c r="E344" s="40">
        <v>0</v>
      </c>
      <c r="F344" s="40">
        <v>0</v>
      </c>
      <c r="G344" s="40">
        <v>0</v>
      </c>
      <c r="H344" s="40"/>
      <c r="I344" s="40">
        <v>0</v>
      </c>
      <c r="J344" s="67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x14ac:dyDescent="0.25">
      <c r="A345" s="49"/>
      <c r="B345" s="49" t="s">
        <v>36</v>
      </c>
      <c r="C345" s="40">
        <v>0</v>
      </c>
      <c r="D345" s="40">
        <v>0</v>
      </c>
      <c r="E345" s="40">
        <v>0</v>
      </c>
      <c r="F345" s="40">
        <v>0</v>
      </c>
      <c r="G345" s="40">
        <v>0</v>
      </c>
      <c r="H345" s="40"/>
      <c r="I345" s="40">
        <v>0</v>
      </c>
      <c r="J345" s="67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x14ac:dyDescent="0.25">
      <c r="A346" s="49"/>
      <c r="B346" s="49" t="s">
        <v>36</v>
      </c>
      <c r="C346" s="40">
        <v>0</v>
      </c>
      <c r="D346" s="40">
        <v>0</v>
      </c>
      <c r="E346" s="40">
        <v>0</v>
      </c>
      <c r="F346" s="40">
        <v>0</v>
      </c>
      <c r="G346" s="40">
        <v>0</v>
      </c>
      <c r="H346" s="40"/>
      <c r="I346" s="40">
        <v>0</v>
      </c>
      <c r="J346" s="67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x14ac:dyDescent="0.25">
      <c r="A347" s="49"/>
      <c r="B347" s="49" t="s">
        <v>36</v>
      </c>
      <c r="C347" s="40">
        <v>0</v>
      </c>
      <c r="D347" s="40">
        <v>0</v>
      </c>
      <c r="E347" s="40">
        <v>0</v>
      </c>
      <c r="F347" s="40">
        <v>0</v>
      </c>
      <c r="G347" s="40">
        <v>0</v>
      </c>
      <c r="H347" s="40"/>
      <c r="I347" s="40">
        <v>0</v>
      </c>
      <c r="J347" s="67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x14ac:dyDescent="0.25">
      <c r="A348" s="49"/>
      <c r="B348" s="49" t="s">
        <v>36</v>
      </c>
      <c r="C348" s="40">
        <v>0</v>
      </c>
      <c r="D348" s="40">
        <v>0</v>
      </c>
      <c r="E348" s="40">
        <v>0</v>
      </c>
      <c r="F348" s="40">
        <v>0</v>
      </c>
      <c r="G348" s="40">
        <v>0</v>
      </c>
      <c r="H348" s="40"/>
      <c r="I348" s="40">
        <v>0</v>
      </c>
      <c r="J348" s="67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x14ac:dyDescent="0.25">
      <c r="A349" s="49"/>
      <c r="B349" s="49" t="s">
        <v>36</v>
      </c>
      <c r="C349" s="40">
        <v>0</v>
      </c>
      <c r="D349" s="40">
        <v>0</v>
      </c>
      <c r="E349" s="40">
        <v>0</v>
      </c>
      <c r="F349" s="40">
        <v>0</v>
      </c>
      <c r="G349" s="40">
        <v>0</v>
      </c>
      <c r="H349" s="40"/>
      <c r="I349" s="40">
        <v>0</v>
      </c>
      <c r="J349" s="67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x14ac:dyDescent="0.25">
      <c r="A350" s="49"/>
      <c r="B350" s="49" t="s">
        <v>36</v>
      </c>
      <c r="C350" s="40">
        <v>0</v>
      </c>
      <c r="D350" s="40">
        <v>0</v>
      </c>
      <c r="E350" s="40">
        <v>0</v>
      </c>
      <c r="F350" s="40">
        <v>0</v>
      </c>
      <c r="G350" s="40">
        <v>0</v>
      </c>
      <c r="H350" s="40"/>
      <c r="I350" s="40">
        <v>0</v>
      </c>
      <c r="J350" s="67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x14ac:dyDescent="0.25">
      <c r="A351" s="49"/>
      <c r="B351" s="49" t="s">
        <v>36</v>
      </c>
      <c r="C351" s="40">
        <v>0</v>
      </c>
      <c r="D351" s="40">
        <v>0</v>
      </c>
      <c r="E351" s="40">
        <v>0</v>
      </c>
      <c r="F351" s="40">
        <v>0</v>
      </c>
      <c r="G351" s="40">
        <v>0</v>
      </c>
      <c r="H351" s="40"/>
      <c r="I351" s="40">
        <v>0</v>
      </c>
      <c r="J351" s="67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x14ac:dyDescent="0.25">
      <c r="A352" s="49"/>
      <c r="B352" s="49" t="s">
        <v>36</v>
      </c>
      <c r="C352" s="40">
        <v>0</v>
      </c>
      <c r="D352" s="40">
        <v>0</v>
      </c>
      <c r="E352" s="40">
        <v>0</v>
      </c>
      <c r="F352" s="40">
        <v>0</v>
      </c>
      <c r="G352" s="40">
        <v>0</v>
      </c>
      <c r="H352" s="40"/>
      <c r="I352" s="40">
        <v>0</v>
      </c>
      <c r="J352" s="67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x14ac:dyDescent="0.25">
      <c r="A353" s="49"/>
      <c r="B353" s="49" t="s">
        <v>36</v>
      </c>
      <c r="C353" s="40">
        <v>0</v>
      </c>
      <c r="D353" s="40">
        <v>0</v>
      </c>
      <c r="E353" s="40">
        <v>0</v>
      </c>
      <c r="F353" s="40">
        <v>0</v>
      </c>
      <c r="G353" s="40">
        <v>0</v>
      </c>
      <c r="H353" s="40"/>
      <c r="I353" s="40">
        <v>0</v>
      </c>
      <c r="J353" s="67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x14ac:dyDescent="0.25">
      <c r="A354" s="49"/>
      <c r="B354" s="49" t="s">
        <v>36</v>
      </c>
      <c r="C354" s="40">
        <v>0</v>
      </c>
      <c r="D354" s="40">
        <v>0</v>
      </c>
      <c r="E354" s="40">
        <v>0</v>
      </c>
      <c r="F354" s="40">
        <v>0</v>
      </c>
      <c r="G354" s="40">
        <v>0</v>
      </c>
      <c r="H354" s="40"/>
      <c r="I354" s="40">
        <v>0</v>
      </c>
      <c r="J354" s="67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x14ac:dyDescent="0.25">
      <c r="A355" s="49"/>
      <c r="B355" s="49" t="s">
        <v>36</v>
      </c>
      <c r="C355" s="40">
        <v>0</v>
      </c>
      <c r="D355" s="40">
        <v>0</v>
      </c>
      <c r="E355" s="40">
        <v>0</v>
      </c>
      <c r="F355" s="40">
        <v>0</v>
      </c>
      <c r="G355" s="40">
        <v>0</v>
      </c>
      <c r="H355" s="40"/>
      <c r="I355" s="40">
        <v>0</v>
      </c>
      <c r="J355" s="67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x14ac:dyDescent="0.25">
      <c r="A356" s="49"/>
      <c r="B356" s="49" t="s">
        <v>36</v>
      </c>
      <c r="C356" s="40">
        <v>0</v>
      </c>
      <c r="D356" s="40">
        <v>0</v>
      </c>
      <c r="E356" s="40">
        <v>0</v>
      </c>
      <c r="F356" s="40">
        <v>0</v>
      </c>
      <c r="G356" s="40">
        <v>0</v>
      </c>
      <c r="H356" s="40"/>
      <c r="I356" s="40">
        <v>0</v>
      </c>
      <c r="J356" s="67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x14ac:dyDescent="0.25">
      <c r="A357" s="49"/>
      <c r="B357" s="49" t="s">
        <v>36</v>
      </c>
      <c r="C357" s="40">
        <v>0</v>
      </c>
      <c r="D357" s="40">
        <v>0</v>
      </c>
      <c r="E357" s="40">
        <v>0</v>
      </c>
      <c r="F357" s="40">
        <v>0</v>
      </c>
      <c r="G357" s="40">
        <v>0</v>
      </c>
      <c r="H357" s="40"/>
      <c r="I357" s="40">
        <v>0</v>
      </c>
      <c r="J357" s="67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x14ac:dyDescent="0.25">
      <c r="A358" s="49"/>
      <c r="B358" s="49" t="s">
        <v>36</v>
      </c>
      <c r="C358" s="40">
        <v>0</v>
      </c>
      <c r="D358" s="40">
        <v>0</v>
      </c>
      <c r="E358" s="40">
        <v>0</v>
      </c>
      <c r="F358" s="40">
        <v>0</v>
      </c>
      <c r="G358" s="40">
        <v>0</v>
      </c>
      <c r="H358" s="40"/>
      <c r="I358" s="40">
        <v>0</v>
      </c>
      <c r="J358" s="67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x14ac:dyDescent="0.25">
      <c r="A359" s="49"/>
      <c r="B359" s="49" t="s">
        <v>36</v>
      </c>
      <c r="C359" s="40">
        <v>0</v>
      </c>
      <c r="D359" s="40">
        <v>0</v>
      </c>
      <c r="E359" s="40">
        <v>0</v>
      </c>
      <c r="F359" s="40">
        <v>0</v>
      </c>
      <c r="G359" s="40">
        <v>0</v>
      </c>
      <c r="H359" s="40"/>
      <c r="I359" s="40">
        <v>0</v>
      </c>
      <c r="J359" s="67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x14ac:dyDescent="0.25">
      <c r="A360" s="49"/>
      <c r="B360" s="49" t="s">
        <v>36</v>
      </c>
      <c r="C360" s="40">
        <v>0</v>
      </c>
      <c r="D360" s="40">
        <v>0</v>
      </c>
      <c r="E360" s="40">
        <v>0</v>
      </c>
      <c r="F360" s="40">
        <v>0</v>
      </c>
      <c r="G360" s="40">
        <v>0</v>
      </c>
      <c r="H360" s="40"/>
      <c r="I360" s="40">
        <v>0</v>
      </c>
      <c r="J360" s="67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x14ac:dyDescent="0.25">
      <c r="A361" s="49"/>
      <c r="B361" s="49" t="s">
        <v>36</v>
      </c>
      <c r="C361" s="40">
        <v>0</v>
      </c>
      <c r="D361" s="40">
        <v>0</v>
      </c>
      <c r="E361" s="40">
        <v>0</v>
      </c>
      <c r="F361" s="40">
        <v>0</v>
      </c>
      <c r="G361" s="40">
        <v>0</v>
      </c>
      <c r="H361" s="40"/>
      <c r="I361" s="40">
        <v>0</v>
      </c>
      <c r="J361" s="67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x14ac:dyDescent="0.25">
      <c r="A362" s="49"/>
      <c r="B362" s="49" t="s">
        <v>36</v>
      </c>
      <c r="C362" s="40">
        <v>0</v>
      </c>
      <c r="D362" s="40">
        <v>0</v>
      </c>
      <c r="E362" s="40">
        <v>0</v>
      </c>
      <c r="F362" s="40">
        <v>0</v>
      </c>
      <c r="G362" s="40">
        <v>0</v>
      </c>
      <c r="H362" s="40"/>
      <c r="I362" s="40">
        <v>0</v>
      </c>
      <c r="J362" s="67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x14ac:dyDescent="0.25">
      <c r="A363" s="49"/>
      <c r="B363" s="49" t="s">
        <v>36</v>
      </c>
      <c r="C363" s="40">
        <v>0</v>
      </c>
      <c r="D363" s="40">
        <v>0</v>
      </c>
      <c r="E363" s="40">
        <v>0</v>
      </c>
      <c r="F363" s="40">
        <v>0</v>
      </c>
      <c r="G363" s="40">
        <v>0</v>
      </c>
      <c r="H363" s="40"/>
      <c r="I363" s="40">
        <v>0</v>
      </c>
      <c r="J363" s="67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x14ac:dyDescent="0.25">
      <c r="A364" s="49"/>
      <c r="B364" s="49" t="s">
        <v>36</v>
      </c>
      <c r="C364" s="40">
        <v>0</v>
      </c>
      <c r="D364" s="40">
        <v>0</v>
      </c>
      <c r="E364" s="40">
        <v>0</v>
      </c>
      <c r="F364" s="40">
        <v>0</v>
      </c>
      <c r="G364" s="40">
        <v>0</v>
      </c>
      <c r="H364" s="40"/>
      <c r="I364" s="40">
        <v>0</v>
      </c>
      <c r="J364" s="67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x14ac:dyDescent="0.25">
      <c r="A365" s="49"/>
      <c r="B365" s="49" t="s">
        <v>36</v>
      </c>
      <c r="C365" s="40">
        <v>0</v>
      </c>
      <c r="D365" s="40">
        <v>0</v>
      </c>
      <c r="E365" s="40">
        <v>0</v>
      </c>
      <c r="F365" s="40">
        <v>0</v>
      </c>
      <c r="G365" s="40">
        <v>0</v>
      </c>
      <c r="H365" s="40"/>
      <c r="I365" s="40">
        <v>0</v>
      </c>
      <c r="J365" s="67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x14ac:dyDescent="0.25">
      <c r="A366" s="49"/>
      <c r="B366" s="49" t="s">
        <v>36</v>
      </c>
      <c r="C366" s="40">
        <v>0</v>
      </c>
      <c r="D366" s="40">
        <v>0</v>
      </c>
      <c r="E366" s="40">
        <v>0</v>
      </c>
      <c r="F366" s="40">
        <v>0</v>
      </c>
      <c r="G366" s="40">
        <v>0</v>
      </c>
      <c r="H366" s="40"/>
      <c r="I366" s="40">
        <v>0</v>
      </c>
      <c r="J366" s="67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x14ac:dyDescent="0.25">
      <c r="A367" s="49"/>
      <c r="B367" s="49" t="s">
        <v>36</v>
      </c>
      <c r="C367" s="40">
        <v>0</v>
      </c>
      <c r="D367" s="40">
        <v>0</v>
      </c>
      <c r="E367" s="40">
        <v>0</v>
      </c>
      <c r="F367" s="40">
        <v>0</v>
      </c>
      <c r="G367" s="40">
        <v>0</v>
      </c>
      <c r="H367" s="40"/>
      <c r="I367" s="40">
        <v>0</v>
      </c>
      <c r="J367" s="67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x14ac:dyDescent="0.25">
      <c r="A368" s="49"/>
      <c r="B368" s="49" t="s">
        <v>36</v>
      </c>
      <c r="C368" s="40">
        <v>0</v>
      </c>
      <c r="D368" s="40">
        <v>0</v>
      </c>
      <c r="E368" s="40">
        <v>0</v>
      </c>
      <c r="F368" s="40">
        <v>0</v>
      </c>
      <c r="G368" s="40">
        <v>0</v>
      </c>
      <c r="H368" s="40"/>
      <c r="I368" s="40">
        <v>0</v>
      </c>
      <c r="J368" s="67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x14ac:dyDescent="0.25">
      <c r="A369" s="49"/>
      <c r="B369" s="49" t="s">
        <v>36</v>
      </c>
      <c r="C369" s="40">
        <v>0</v>
      </c>
      <c r="D369" s="40">
        <v>0</v>
      </c>
      <c r="E369" s="40">
        <v>0</v>
      </c>
      <c r="F369" s="40">
        <v>0</v>
      </c>
      <c r="G369" s="40">
        <v>0</v>
      </c>
      <c r="H369" s="40"/>
      <c r="I369" s="40">
        <v>0</v>
      </c>
      <c r="J369" s="67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x14ac:dyDescent="0.25">
      <c r="A370" s="49"/>
      <c r="B370" s="49" t="s">
        <v>36</v>
      </c>
      <c r="C370" s="40">
        <v>0</v>
      </c>
      <c r="D370" s="40">
        <v>0</v>
      </c>
      <c r="E370" s="40">
        <v>0</v>
      </c>
      <c r="F370" s="40">
        <v>0</v>
      </c>
      <c r="G370" s="40">
        <v>0</v>
      </c>
      <c r="H370" s="40"/>
      <c r="I370" s="40">
        <v>0</v>
      </c>
      <c r="J370" s="67"/>
    </row>
    <row r="371" spans="1:26" x14ac:dyDescent="0.25">
      <c r="A371" s="49"/>
      <c r="B371" s="49" t="s">
        <v>36</v>
      </c>
      <c r="C371" s="40">
        <v>0</v>
      </c>
      <c r="D371" s="40">
        <v>0</v>
      </c>
      <c r="E371" s="40">
        <v>0</v>
      </c>
      <c r="F371" s="40">
        <v>0</v>
      </c>
      <c r="G371" s="40">
        <v>0</v>
      </c>
      <c r="H371" s="40"/>
      <c r="I371" s="40">
        <v>0</v>
      </c>
      <c r="J371" s="67"/>
    </row>
    <row r="372" spans="1:26" x14ac:dyDescent="0.25">
      <c r="A372" s="49"/>
      <c r="B372" s="49" t="s">
        <v>36</v>
      </c>
      <c r="C372" s="40">
        <v>0</v>
      </c>
      <c r="D372" s="40">
        <v>0</v>
      </c>
      <c r="E372" s="40">
        <v>0</v>
      </c>
      <c r="F372" s="40">
        <v>0</v>
      </c>
      <c r="G372" s="40">
        <v>0</v>
      </c>
      <c r="H372" s="40"/>
      <c r="I372" s="40">
        <v>0</v>
      </c>
      <c r="J372" s="67"/>
    </row>
    <row r="373" spans="1:26" x14ac:dyDescent="0.25">
      <c r="A373" s="49"/>
      <c r="B373" s="49" t="s">
        <v>36</v>
      </c>
      <c r="C373" s="40">
        <v>0</v>
      </c>
      <c r="D373" s="40">
        <v>0</v>
      </c>
      <c r="E373" s="40">
        <v>0</v>
      </c>
      <c r="F373" s="40">
        <v>0</v>
      </c>
      <c r="G373" s="40">
        <v>0</v>
      </c>
      <c r="H373" s="40"/>
      <c r="I373" s="40">
        <v>0</v>
      </c>
      <c r="J373" s="67"/>
    </row>
    <row r="374" spans="1:26" x14ac:dyDescent="0.25">
      <c r="A374" s="49"/>
      <c r="B374" s="49" t="s">
        <v>36</v>
      </c>
      <c r="C374" s="40">
        <v>0</v>
      </c>
      <c r="D374" s="40">
        <v>0</v>
      </c>
      <c r="E374" s="40">
        <v>0</v>
      </c>
      <c r="F374" s="40">
        <v>0</v>
      </c>
      <c r="G374" s="40">
        <v>0</v>
      </c>
      <c r="H374" s="40"/>
      <c r="I374" s="40">
        <v>0</v>
      </c>
      <c r="J374" s="67"/>
    </row>
    <row r="375" spans="1:26" x14ac:dyDescent="0.25">
      <c r="A375" s="49"/>
      <c r="B375" s="49" t="s">
        <v>36</v>
      </c>
      <c r="C375" s="40">
        <v>0</v>
      </c>
      <c r="D375" s="40">
        <v>0</v>
      </c>
      <c r="E375" s="40">
        <v>0</v>
      </c>
      <c r="F375" s="40">
        <v>0</v>
      </c>
      <c r="G375" s="40">
        <v>0</v>
      </c>
      <c r="H375" s="40"/>
      <c r="I375" s="40">
        <v>0</v>
      </c>
      <c r="J375" s="67"/>
    </row>
    <row r="376" spans="1:26" x14ac:dyDescent="0.25">
      <c r="A376" s="49"/>
      <c r="B376" s="49" t="s">
        <v>36</v>
      </c>
      <c r="C376" s="40">
        <v>0</v>
      </c>
      <c r="D376" s="40">
        <v>0</v>
      </c>
      <c r="E376" s="40">
        <v>0</v>
      </c>
      <c r="F376" s="40">
        <v>0</v>
      </c>
      <c r="G376" s="40">
        <v>0</v>
      </c>
      <c r="H376" s="40"/>
      <c r="I376" s="40">
        <v>0</v>
      </c>
      <c r="J376" s="67"/>
    </row>
    <row r="377" spans="1:26" x14ac:dyDescent="0.25">
      <c r="A377" s="49"/>
      <c r="B377" s="49" t="s">
        <v>36</v>
      </c>
      <c r="C377" s="40">
        <v>0</v>
      </c>
      <c r="D377" s="40">
        <v>0</v>
      </c>
      <c r="E377" s="40">
        <v>0</v>
      </c>
      <c r="F377" s="40">
        <v>0</v>
      </c>
      <c r="G377" s="40">
        <v>0</v>
      </c>
      <c r="H377" s="40"/>
      <c r="I377" s="40">
        <v>0</v>
      </c>
      <c r="J377" s="67"/>
    </row>
    <row r="378" spans="1:26" x14ac:dyDescent="0.25">
      <c r="A378" s="49"/>
      <c r="B378" s="49" t="s">
        <v>36</v>
      </c>
      <c r="C378" s="40">
        <v>0</v>
      </c>
      <c r="D378" s="40">
        <v>0</v>
      </c>
      <c r="E378" s="40">
        <v>0</v>
      </c>
      <c r="F378" s="40">
        <v>0</v>
      </c>
      <c r="G378" s="40">
        <v>0</v>
      </c>
      <c r="H378" s="40"/>
      <c r="I378" s="40">
        <v>0</v>
      </c>
      <c r="J378" s="67"/>
    </row>
    <row r="379" spans="1:26" x14ac:dyDescent="0.25">
      <c r="A379" s="49"/>
      <c r="B379" s="49" t="s">
        <v>36</v>
      </c>
      <c r="C379" s="40">
        <v>0</v>
      </c>
      <c r="D379" s="40">
        <v>0</v>
      </c>
      <c r="E379" s="40">
        <v>0</v>
      </c>
      <c r="F379" s="40">
        <v>0</v>
      </c>
      <c r="G379" s="40">
        <v>0</v>
      </c>
      <c r="H379" s="40"/>
      <c r="I379" s="40">
        <v>0</v>
      </c>
      <c r="J379" s="67"/>
    </row>
    <row r="380" spans="1:26" x14ac:dyDescent="0.25">
      <c r="A380" s="49"/>
      <c r="B380" s="49" t="s">
        <v>36</v>
      </c>
      <c r="C380" s="40">
        <v>0</v>
      </c>
      <c r="D380" s="40">
        <v>0</v>
      </c>
      <c r="E380" s="40">
        <v>0</v>
      </c>
      <c r="F380" s="40">
        <v>0</v>
      </c>
      <c r="G380" s="40">
        <v>0</v>
      </c>
      <c r="H380" s="40"/>
      <c r="I380" s="40">
        <v>0</v>
      </c>
      <c r="J380" s="67"/>
    </row>
    <row r="381" spans="1:26" x14ac:dyDescent="0.25">
      <c r="A381" s="49"/>
      <c r="B381" s="49" t="s">
        <v>36</v>
      </c>
      <c r="C381" s="40">
        <v>0</v>
      </c>
      <c r="D381" s="40">
        <v>0</v>
      </c>
      <c r="E381" s="40">
        <v>0</v>
      </c>
      <c r="F381" s="40">
        <v>0</v>
      </c>
      <c r="G381" s="40">
        <v>0</v>
      </c>
      <c r="H381" s="40"/>
      <c r="I381" s="40">
        <v>0</v>
      </c>
      <c r="J381" s="67"/>
    </row>
    <row r="382" spans="1:26" x14ac:dyDescent="0.25">
      <c r="A382" s="49"/>
      <c r="B382" s="49" t="s">
        <v>36</v>
      </c>
      <c r="C382" s="40">
        <v>0</v>
      </c>
      <c r="D382" s="40">
        <v>0</v>
      </c>
      <c r="E382" s="40">
        <v>0</v>
      </c>
      <c r="F382" s="40">
        <v>0</v>
      </c>
      <c r="G382" s="40">
        <v>0</v>
      </c>
      <c r="H382" s="40"/>
      <c r="I382" s="40">
        <v>0</v>
      </c>
      <c r="J382" s="67"/>
    </row>
    <row r="383" spans="1:26" x14ac:dyDescent="0.25">
      <c r="A383" s="49"/>
      <c r="B383" s="49" t="s">
        <v>36</v>
      </c>
      <c r="C383" s="40">
        <v>0</v>
      </c>
      <c r="D383" s="40">
        <v>0</v>
      </c>
      <c r="E383" s="40">
        <v>0</v>
      </c>
      <c r="F383" s="40">
        <v>0</v>
      </c>
      <c r="G383" s="40">
        <v>0</v>
      </c>
      <c r="H383" s="40"/>
      <c r="I383" s="40">
        <v>0</v>
      </c>
      <c r="J383" s="67"/>
    </row>
    <row r="384" spans="1:26" x14ac:dyDescent="0.25">
      <c r="A384" s="49"/>
      <c r="B384" s="49" t="s">
        <v>36</v>
      </c>
      <c r="C384" s="40">
        <v>0</v>
      </c>
      <c r="D384" s="40">
        <v>0</v>
      </c>
      <c r="E384" s="40">
        <v>0</v>
      </c>
      <c r="F384" s="40">
        <v>0</v>
      </c>
      <c r="G384" s="40">
        <v>0</v>
      </c>
      <c r="H384" s="40"/>
      <c r="I384" s="40">
        <v>0</v>
      </c>
      <c r="J384" s="67"/>
    </row>
    <row r="385" spans="1:10" x14ac:dyDescent="0.25">
      <c r="A385" s="49"/>
      <c r="B385" s="49" t="s">
        <v>36</v>
      </c>
      <c r="C385" s="40">
        <v>0</v>
      </c>
      <c r="D385" s="40">
        <v>0</v>
      </c>
      <c r="E385" s="40">
        <v>0</v>
      </c>
      <c r="F385" s="40">
        <v>0</v>
      </c>
      <c r="G385" s="40">
        <v>0</v>
      </c>
      <c r="H385" s="40"/>
      <c r="I385" s="40">
        <v>0</v>
      </c>
      <c r="J385" s="67"/>
    </row>
    <row r="386" spans="1:10" x14ac:dyDescent="0.25">
      <c r="A386" s="49"/>
      <c r="B386" s="49" t="s">
        <v>36</v>
      </c>
      <c r="C386" s="40">
        <v>0</v>
      </c>
      <c r="D386" s="40">
        <v>0</v>
      </c>
      <c r="E386" s="40">
        <v>0</v>
      </c>
      <c r="F386" s="40">
        <v>0</v>
      </c>
      <c r="G386" s="40">
        <v>0</v>
      </c>
      <c r="H386" s="40"/>
      <c r="I386" s="40">
        <v>0</v>
      </c>
      <c r="J386" s="67"/>
    </row>
    <row r="387" spans="1:10" x14ac:dyDescent="0.25">
      <c r="A387" s="49"/>
      <c r="B387" s="49" t="s">
        <v>36</v>
      </c>
      <c r="C387" s="40">
        <v>0</v>
      </c>
      <c r="D387" s="40">
        <v>0</v>
      </c>
      <c r="E387" s="40">
        <v>0</v>
      </c>
      <c r="F387" s="40">
        <v>0</v>
      </c>
      <c r="G387" s="40">
        <v>0</v>
      </c>
      <c r="H387" s="40"/>
      <c r="I387" s="40">
        <v>0</v>
      </c>
      <c r="J387" s="67"/>
    </row>
    <row r="388" spans="1:10" x14ac:dyDescent="0.25">
      <c r="A388" s="49"/>
      <c r="B388" s="49" t="s">
        <v>36</v>
      </c>
      <c r="C388" s="40">
        <v>0</v>
      </c>
      <c r="D388" s="40">
        <v>0</v>
      </c>
      <c r="E388" s="40">
        <v>0</v>
      </c>
      <c r="F388" s="40">
        <v>0</v>
      </c>
      <c r="G388" s="40">
        <v>0</v>
      </c>
      <c r="H388" s="40"/>
      <c r="I388" s="40">
        <v>0</v>
      </c>
      <c r="J388" s="67"/>
    </row>
    <row r="389" spans="1:10" x14ac:dyDescent="0.25">
      <c r="A389" s="49"/>
      <c r="B389" s="49" t="s">
        <v>36</v>
      </c>
      <c r="C389" s="40">
        <v>0</v>
      </c>
      <c r="D389" s="40">
        <v>0</v>
      </c>
      <c r="E389" s="40">
        <v>0</v>
      </c>
      <c r="F389" s="40">
        <v>0</v>
      </c>
      <c r="G389" s="40">
        <v>0</v>
      </c>
      <c r="H389" s="40"/>
      <c r="I389" s="40">
        <v>0</v>
      </c>
      <c r="J389" s="67"/>
    </row>
    <row r="390" spans="1:10" x14ac:dyDescent="0.25">
      <c r="A390" s="49"/>
      <c r="B390" s="49" t="s">
        <v>36</v>
      </c>
      <c r="C390" s="40">
        <v>0</v>
      </c>
      <c r="D390" s="40">
        <v>0</v>
      </c>
      <c r="E390" s="40">
        <v>0</v>
      </c>
      <c r="F390" s="40">
        <v>0</v>
      </c>
      <c r="G390" s="40">
        <v>0</v>
      </c>
      <c r="H390" s="40"/>
      <c r="I390" s="40">
        <v>0</v>
      </c>
      <c r="J390" s="67"/>
    </row>
    <row r="391" spans="1:10" x14ac:dyDescent="0.25">
      <c r="A391" s="49"/>
      <c r="B391" s="49" t="s">
        <v>36</v>
      </c>
      <c r="C391" s="40">
        <v>0</v>
      </c>
      <c r="D391" s="40">
        <v>0</v>
      </c>
      <c r="E391" s="40">
        <v>0</v>
      </c>
      <c r="F391" s="40">
        <v>0</v>
      </c>
      <c r="G391" s="40">
        <v>0</v>
      </c>
      <c r="H391" s="40"/>
      <c r="I391" s="40">
        <v>0</v>
      </c>
      <c r="J391" s="67"/>
    </row>
    <row r="392" spans="1:10" x14ac:dyDescent="0.25">
      <c r="A392" s="49"/>
      <c r="B392" s="49" t="s">
        <v>36</v>
      </c>
      <c r="C392" s="40">
        <v>0</v>
      </c>
      <c r="D392" s="40">
        <v>0</v>
      </c>
      <c r="E392" s="40">
        <v>0</v>
      </c>
      <c r="F392" s="40">
        <v>0</v>
      </c>
      <c r="G392" s="40">
        <v>0</v>
      </c>
      <c r="H392" s="40"/>
      <c r="I392" s="40">
        <v>0</v>
      </c>
      <c r="J392" s="67"/>
    </row>
    <row r="393" spans="1:10" x14ac:dyDescent="0.25">
      <c r="A393" s="49"/>
      <c r="B393" s="49" t="s">
        <v>36</v>
      </c>
      <c r="C393" s="40">
        <v>0</v>
      </c>
      <c r="D393" s="40">
        <v>0</v>
      </c>
      <c r="E393" s="40">
        <v>0</v>
      </c>
      <c r="F393" s="40">
        <v>0</v>
      </c>
      <c r="G393" s="40">
        <v>0</v>
      </c>
      <c r="H393" s="40"/>
      <c r="I393" s="40">
        <v>0</v>
      </c>
      <c r="J393" s="67"/>
    </row>
    <row r="394" spans="1:10" x14ac:dyDescent="0.25">
      <c r="A394" s="49"/>
      <c r="B394" s="49" t="s">
        <v>36</v>
      </c>
      <c r="C394" s="40">
        <v>0</v>
      </c>
      <c r="D394" s="40">
        <v>0</v>
      </c>
      <c r="E394" s="40">
        <v>0</v>
      </c>
      <c r="F394" s="40">
        <v>0</v>
      </c>
      <c r="G394" s="40">
        <v>0</v>
      </c>
      <c r="H394" s="40"/>
      <c r="I394" s="40">
        <v>0</v>
      </c>
      <c r="J394" s="67"/>
    </row>
    <row r="395" spans="1:10" x14ac:dyDescent="0.25">
      <c r="A395" s="49"/>
      <c r="B395" s="49" t="s">
        <v>36</v>
      </c>
      <c r="C395" s="40">
        <v>0</v>
      </c>
      <c r="D395" s="40">
        <v>0</v>
      </c>
      <c r="E395" s="40">
        <v>0</v>
      </c>
      <c r="F395" s="40">
        <v>0</v>
      </c>
      <c r="G395" s="40">
        <v>0</v>
      </c>
      <c r="H395" s="40"/>
      <c r="I395" s="40">
        <v>0</v>
      </c>
      <c r="J395" s="67"/>
    </row>
    <row r="396" spans="1:10" x14ac:dyDescent="0.25">
      <c r="A396" s="49"/>
      <c r="B396" s="49" t="s">
        <v>36</v>
      </c>
      <c r="C396" s="40">
        <v>0</v>
      </c>
      <c r="D396" s="40">
        <v>0</v>
      </c>
      <c r="E396" s="40">
        <v>0</v>
      </c>
      <c r="F396" s="40">
        <v>0</v>
      </c>
      <c r="G396" s="40">
        <v>0</v>
      </c>
      <c r="H396" s="40"/>
      <c r="I396" s="40">
        <v>0</v>
      </c>
      <c r="J396" s="67"/>
    </row>
    <row r="397" spans="1:10" x14ac:dyDescent="0.25">
      <c r="A397" s="49"/>
      <c r="B397" s="49" t="s">
        <v>36</v>
      </c>
      <c r="C397" s="40">
        <v>0</v>
      </c>
      <c r="D397" s="40">
        <v>0</v>
      </c>
      <c r="E397" s="40">
        <v>0</v>
      </c>
      <c r="F397" s="40">
        <v>0</v>
      </c>
      <c r="G397" s="40">
        <v>0</v>
      </c>
      <c r="H397" s="40"/>
      <c r="I397" s="40">
        <v>0</v>
      </c>
      <c r="J397" s="67"/>
    </row>
    <row r="398" spans="1:10" x14ac:dyDescent="0.25">
      <c r="A398" s="49"/>
      <c r="B398" s="49" t="s">
        <v>36</v>
      </c>
      <c r="C398" s="40">
        <v>0</v>
      </c>
      <c r="D398" s="40">
        <v>0</v>
      </c>
      <c r="E398" s="40">
        <v>0</v>
      </c>
      <c r="F398" s="40">
        <v>0</v>
      </c>
      <c r="G398" s="40">
        <v>0</v>
      </c>
      <c r="H398" s="40"/>
      <c r="I398" s="40">
        <v>0</v>
      </c>
      <c r="J398" s="67"/>
    </row>
    <row r="399" spans="1:10" x14ac:dyDescent="0.25">
      <c r="A399" s="49"/>
      <c r="B399" s="49" t="s">
        <v>36</v>
      </c>
      <c r="C399" s="40">
        <v>0</v>
      </c>
      <c r="D399" s="40">
        <v>0</v>
      </c>
      <c r="E399" s="40">
        <v>0</v>
      </c>
      <c r="F399" s="40">
        <v>0</v>
      </c>
      <c r="G399" s="40">
        <v>0</v>
      </c>
      <c r="H399" s="40"/>
      <c r="I399" s="40">
        <v>0</v>
      </c>
      <c r="J399" s="67"/>
    </row>
    <row r="400" spans="1:10" x14ac:dyDescent="0.25">
      <c r="A400" s="49"/>
      <c r="B400" s="49" t="s">
        <v>36</v>
      </c>
      <c r="C400" s="40">
        <v>0</v>
      </c>
      <c r="D400" s="40">
        <v>0</v>
      </c>
      <c r="E400" s="40">
        <v>0</v>
      </c>
      <c r="F400" s="40">
        <v>0</v>
      </c>
      <c r="G400" s="40">
        <v>0</v>
      </c>
      <c r="H400" s="40"/>
      <c r="I400" s="40">
        <v>0</v>
      </c>
      <c r="J400" s="67"/>
    </row>
    <row r="401" spans="1:10" x14ac:dyDescent="0.25">
      <c r="A401" s="49"/>
      <c r="B401" s="49" t="s">
        <v>36</v>
      </c>
      <c r="C401" s="40">
        <v>0</v>
      </c>
      <c r="D401" s="40">
        <v>0</v>
      </c>
      <c r="E401" s="40">
        <v>0</v>
      </c>
      <c r="F401" s="40">
        <v>0</v>
      </c>
      <c r="G401" s="40">
        <v>0</v>
      </c>
      <c r="H401" s="40"/>
      <c r="I401" s="40">
        <v>0</v>
      </c>
      <c r="J401" s="67"/>
    </row>
    <row r="402" spans="1:10" x14ac:dyDescent="0.25">
      <c r="A402" s="49"/>
      <c r="B402" s="49" t="s">
        <v>36</v>
      </c>
      <c r="C402" s="40">
        <v>0</v>
      </c>
      <c r="D402" s="40">
        <v>0</v>
      </c>
      <c r="E402" s="40">
        <v>0</v>
      </c>
      <c r="F402" s="40">
        <v>0</v>
      </c>
      <c r="G402" s="40">
        <v>0</v>
      </c>
      <c r="H402" s="40"/>
      <c r="I402" s="40">
        <v>0</v>
      </c>
      <c r="J402" s="67"/>
    </row>
    <row r="403" spans="1:10" x14ac:dyDescent="0.25">
      <c r="A403" s="49"/>
      <c r="B403" s="49" t="s">
        <v>36</v>
      </c>
      <c r="C403" s="40">
        <v>0</v>
      </c>
      <c r="D403" s="40">
        <v>0</v>
      </c>
      <c r="E403" s="40">
        <v>0</v>
      </c>
      <c r="F403" s="40">
        <v>0</v>
      </c>
      <c r="G403" s="40">
        <v>0</v>
      </c>
      <c r="H403" s="40"/>
      <c r="I403" s="40">
        <v>0</v>
      </c>
      <c r="J403" s="67"/>
    </row>
    <row r="404" spans="1:10" x14ac:dyDescent="0.25">
      <c r="A404" s="49"/>
      <c r="B404" s="49" t="s">
        <v>36</v>
      </c>
      <c r="C404" s="40">
        <v>0</v>
      </c>
      <c r="D404" s="40">
        <v>0</v>
      </c>
      <c r="E404" s="40">
        <v>0</v>
      </c>
      <c r="F404" s="40">
        <v>0</v>
      </c>
      <c r="G404" s="40">
        <v>0</v>
      </c>
      <c r="H404" s="40"/>
      <c r="I404" s="40">
        <v>0</v>
      </c>
      <c r="J404" s="67"/>
    </row>
    <row r="405" spans="1:10" x14ac:dyDescent="0.25">
      <c r="A405" s="49"/>
      <c r="B405" s="49" t="s">
        <v>36</v>
      </c>
      <c r="C405" s="40">
        <v>0</v>
      </c>
      <c r="D405" s="40">
        <v>0</v>
      </c>
      <c r="E405" s="40">
        <v>0</v>
      </c>
      <c r="F405" s="40">
        <v>0</v>
      </c>
      <c r="G405" s="40">
        <v>0</v>
      </c>
      <c r="H405" s="40"/>
      <c r="I405" s="40">
        <v>0</v>
      </c>
      <c r="J405" s="67"/>
    </row>
    <row r="406" spans="1:10" x14ac:dyDescent="0.25">
      <c r="A406" s="49"/>
      <c r="B406" s="49" t="s">
        <v>36</v>
      </c>
      <c r="C406" s="40">
        <v>0</v>
      </c>
      <c r="D406" s="40">
        <v>0</v>
      </c>
      <c r="E406" s="40">
        <v>0</v>
      </c>
      <c r="F406" s="40">
        <v>0</v>
      </c>
      <c r="G406" s="40">
        <v>0</v>
      </c>
      <c r="H406" s="40"/>
      <c r="I406" s="40">
        <v>0</v>
      </c>
      <c r="J406" s="67"/>
    </row>
    <row r="407" spans="1:10" x14ac:dyDescent="0.25">
      <c r="A407" s="49"/>
      <c r="B407" s="49" t="s">
        <v>36</v>
      </c>
      <c r="C407" s="40">
        <v>0</v>
      </c>
      <c r="D407" s="40">
        <v>0</v>
      </c>
      <c r="E407" s="40">
        <v>0</v>
      </c>
      <c r="F407" s="40">
        <v>0</v>
      </c>
      <c r="G407" s="40">
        <v>0</v>
      </c>
      <c r="H407" s="40"/>
      <c r="I407" s="40">
        <v>0</v>
      </c>
      <c r="J407" s="67"/>
    </row>
    <row r="408" spans="1:10" x14ac:dyDescent="0.25">
      <c r="A408" s="49"/>
      <c r="B408" s="49" t="s">
        <v>36</v>
      </c>
      <c r="C408" s="40">
        <v>0</v>
      </c>
      <c r="D408" s="40">
        <v>0</v>
      </c>
      <c r="E408" s="40">
        <v>0</v>
      </c>
      <c r="F408" s="40">
        <v>0</v>
      </c>
      <c r="G408" s="40">
        <v>0</v>
      </c>
      <c r="H408" s="40"/>
      <c r="I408" s="40">
        <v>0</v>
      </c>
      <c r="J408" s="67"/>
    </row>
    <row r="409" spans="1:10" x14ac:dyDescent="0.25">
      <c r="A409" s="49"/>
      <c r="B409" s="49" t="s">
        <v>36</v>
      </c>
      <c r="C409" s="40">
        <v>0</v>
      </c>
      <c r="D409" s="40">
        <v>0</v>
      </c>
      <c r="E409" s="40">
        <v>0</v>
      </c>
      <c r="F409" s="40">
        <v>0</v>
      </c>
      <c r="G409" s="40">
        <v>0</v>
      </c>
      <c r="H409" s="40"/>
      <c r="I409" s="40">
        <v>0</v>
      </c>
      <c r="J409" s="67"/>
    </row>
    <row r="410" spans="1:10" x14ac:dyDescent="0.25">
      <c r="A410" s="49"/>
      <c r="B410" s="49" t="s">
        <v>36</v>
      </c>
      <c r="C410" s="40">
        <v>0</v>
      </c>
      <c r="D410" s="40">
        <v>0</v>
      </c>
      <c r="E410" s="40">
        <v>0</v>
      </c>
      <c r="F410" s="40">
        <v>0</v>
      </c>
      <c r="G410" s="40">
        <v>0</v>
      </c>
      <c r="H410" s="40"/>
      <c r="I410" s="40">
        <v>0</v>
      </c>
      <c r="J410" s="67"/>
    </row>
    <row r="411" spans="1:10" x14ac:dyDescent="0.25">
      <c r="A411" s="49"/>
      <c r="B411" s="49" t="s">
        <v>36</v>
      </c>
      <c r="C411" s="40">
        <v>0</v>
      </c>
      <c r="D411" s="40">
        <v>0</v>
      </c>
      <c r="E411" s="40">
        <v>0</v>
      </c>
      <c r="F411" s="40">
        <v>0</v>
      </c>
      <c r="G411" s="40">
        <v>0</v>
      </c>
      <c r="H411" s="40"/>
      <c r="I411" s="40">
        <v>0</v>
      </c>
      <c r="J411" s="67"/>
    </row>
    <row r="412" spans="1:10" x14ac:dyDescent="0.25">
      <c r="A412" s="49"/>
      <c r="B412" s="49" t="s">
        <v>36</v>
      </c>
      <c r="C412" s="40">
        <v>0</v>
      </c>
      <c r="D412" s="40">
        <v>0</v>
      </c>
      <c r="E412" s="40">
        <v>0</v>
      </c>
      <c r="F412" s="40">
        <v>0</v>
      </c>
      <c r="G412" s="40">
        <v>0</v>
      </c>
      <c r="H412" s="40"/>
      <c r="I412" s="40">
        <v>0</v>
      </c>
      <c r="J412" s="67"/>
    </row>
    <row r="413" spans="1:10" x14ac:dyDescent="0.25">
      <c r="A413" s="49"/>
      <c r="B413" s="49" t="s">
        <v>36</v>
      </c>
      <c r="C413" s="40">
        <v>0</v>
      </c>
      <c r="D413" s="40">
        <v>0</v>
      </c>
      <c r="E413" s="40">
        <v>0</v>
      </c>
      <c r="F413" s="40">
        <v>0</v>
      </c>
      <c r="G413" s="40">
        <v>0</v>
      </c>
      <c r="H413" s="40"/>
      <c r="I413" s="40">
        <v>0</v>
      </c>
      <c r="J413" s="67"/>
    </row>
    <row r="414" spans="1:10" x14ac:dyDescent="0.25">
      <c r="A414" s="49"/>
      <c r="B414" s="49" t="s">
        <v>36</v>
      </c>
      <c r="C414" s="40">
        <v>0</v>
      </c>
      <c r="D414" s="40">
        <v>0</v>
      </c>
      <c r="E414" s="40">
        <v>0</v>
      </c>
      <c r="F414" s="40">
        <v>0</v>
      </c>
      <c r="G414" s="40">
        <v>0</v>
      </c>
      <c r="H414" s="40"/>
      <c r="I414" s="40">
        <v>0</v>
      </c>
      <c r="J414" s="67"/>
    </row>
    <row r="415" spans="1:10" x14ac:dyDescent="0.25">
      <c r="A415" s="49"/>
      <c r="B415" s="49" t="s">
        <v>36</v>
      </c>
      <c r="C415" s="40">
        <v>0</v>
      </c>
      <c r="D415" s="40">
        <v>0</v>
      </c>
      <c r="E415" s="40">
        <v>0</v>
      </c>
      <c r="F415" s="40">
        <v>0</v>
      </c>
      <c r="G415" s="40">
        <v>0</v>
      </c>
      <c r="H415" s="40"/>
      <c r="I415" s="40">
        <v>0</v>
      </c>
      <c r="J415" s="67"/>
    </row>
    <row r="416" spans="1:10" x14ac:dyDescent="0.25">
      <c r="A416" s="49"/>
      <c r="B416" s="49" t="s">
        <v>36</v>
      </c>
      <c r="C416" s="40">
        <v>0</v>
      </c>
      <c r="D416" s="40">
        <v>0</v>
      </c>
      <c r="E416" s="40">
        <v>0</v>
      </c>
      <c r="F416" s="40">
        <v>0</v>
      </c>
      <c r="G416" s="40">
        <v>0</v>
      </c>
      <c r="H416" s="40"/>
      <c r="I416" s="40">
        <v>0</v>
      </c>
      <c r="J416" s="67"/>
    </row>
    <row r="417" spans="1:10" x14ac:dyDescent="0.25">
      <c r="A417" s="49"/>
      <c r="B417" s="49" t="s">
        <v>36</v>
      </c>
      <c r="C417" s="40">
        <v>0</v>
      </c>
      <c r="D417" s="40">
        <v>0</v>
      </c>
      <c r="E417" s="40">
        <v>0</v>
      </c>
      <c r="F417" s="40">
        <v>0</v>
      </c>
      <c r="G417" s="40">
        <v>0</v>
      </c>
      <c r="H417" s="40"/>
      <c r="I417" s="40">
        <v>0</v>
      </c>
      <c r="J417" s="67"/>
    </row>
    <row r="418" spans="1:10" x14ac:dyDescent="0.25">
      <c r="A418" s="49"/>
      <c r="B418" s="49" t="s">
        <v>36</v>
      </c>
      <c r="C418" s="40">
        <v>0</v>
      </c>
      <c r="D418" s="40">
        <v>0</v>
      </c>
      <c r="E418" s="40">
        <v>0</v>
      </c>
      <c r="F418" s="40">
        <v>0</v>
      </c>
      <c r="G418" s="40">
        <v>0</v>
      </c>
      <c r="H418" s="40"/>
      <c r="I418" s="40">
        <v>0</v>
      </c>
      <c r="J418" s="68"/>
    </row>
    <row r="419" spans="1:10" x14ac:dyDescent="0.25">
      <c r="A419" s="49"/>
      <c r="B419" s="49" t="s">
        <v>36</v>
      </c>
      <c r="C419" s="40">
        <v>0</v>
      </c>
      <c r="D419" s="40">
        <v>0</v>
      </c>
      <c r="E419" s="40">
        <v>0</v>
      </c>
      <c r="F419" s="40">
        <v>0</v>
      </c>
      <c r="G419" s="40">
        <v>0</v>
      </c>
      <c r="H419" s="40"/>
      <c r="I419" s="40">
        <v>0</v>
      </c>
      <c r="J419" s="68"/>
    </row>
    <row r="420" spans="1:10" x14ac:dyDescent="0.25">
      <c r="A420" s="49"/>
      <c r="B420" s="49" t="s">
        <v>36</v>
      </c>
      <c r="C420" s="40">
        <v>0</v>
      </c>
      <c r="D420" s="40">
        <v>0</v>
      </c>
      <c r="E420" s="40">
        <v>0</v>
      </c>
      <c r="F420" s="40">
        <v>0</v>
      </c>
      <c r="G420" s="40">
        <v>0</v>
      </c>
      <c r="H420" s="40"/>
      <c r="I420" s="40">
        <v>0</v>
      </c>
      <c r="J420" s="68"/>
    </row>
    <row r="421" spans="1:10" x14ac:dyDescent="0.25">
      <c r="A421" s="49"/>
      <c r="B421" s="49" t="s">
        <v>36</v>
      </c>
      <c r="C421" s="40">
        <v>0</v>
      </c>
      <c r="D421" s="40">
        <v>0</v>
      </c>
      <c r="E421" s="40">
        <v>0</v>
      </c>
      <c r="F421" s="40">
        <v>0</v>
      </c>
      <c r="G421" s="40">
        <v>0</v>
      </c>
      <c r="H421" s="40"/>
      <c r="I421" s="40">
        <v>0</v>
      </c>
      <c r="J421" s="68"/>
    </row>
    <row r="422" spans="1:10" x14ac:dyDescent="0.25">
      <c r="A422" s="49"/>
      <c r="B422" s="49" t="s">
        <v>36</v>
      </c>
      <c r="C422" s="40">
        <v>0</v>
      </c>
      <c r="D422" s="40">
        <v>0</v>
      </c>
      <c r="E422" s="40">
        <v>0</v>
      </c>
      <c r="F422" s="40">
        <v>0</v>
      </c>
      <c r="G422" s="40">
        <v>0</v>
      </c>
      <c r="H422" s="40"/>
      <c r="I422" s="40">
        <v>0</v>
      </c>
      <c r="J422" s="68"/>
    </row>
    <row r="423" spans="1:10" x14ac:dyDescent="0.25">
      <c r="A423" s="49"/>
      <c r="B423" s="49" t="s">
        <v>36</v>
      </c>
      <c r="C423" s="40">
        <v>0</v>
      </c>
      <c r="D423" s="40">
        <v>0</v>
      </c>
      <c r="E423" s="40">
        <v>0</v>
      </c>
      <c r="F423" s="40">
        <v>0</v>
      </c>
      <c r="G423" s="40">
        <v>0</v>
      </c>
      <c r="H423" s="40"/>
      <c r="I423" s="40">
        <v>0</v>
      </c>
      <c r="J423" s="68"/>
    </row>
    <row r="424" spans="1:10" x14ac:dyDescent="0.25">
      <c r="A424" s="49"/>
      <c r="B424" s="49" t="s">
        <v>36</v>
      </c>
      <c r="C424" s="40">
        <v>0</v>
      </c>
      <c r="D424" s="40">
        <v>0</v>
      </c>
      <c r="E424" s="40">
        <v>0</v>
      </c>
      <c r="F424" s="40">
        <v>0</v>
      </c>
      <c r="G424" s="40">
        <v>0</v>
      </c>
      <c r="H424" s="40"/>
      <c r="I424" s="40">
        <v>0</v>
      </c>
      <c r="J424" s="68"/>
    </row>
    <row r="425" spans="1:10" x14ac:dyDescent="0.25">
      <c r="A425" s="49"/>
      <c r="B425" s="49" t="s">
        <v>36</v>
      </c>
      <c r="C425" s="40">
        <v>0</v>
      </c>
      <c r="D425" s="40">
        <v>0</v>
      </c>
      <c r="E425" s="40">
        <v>0</v>
      </c>
      <c r="F425" s="40">
        <v>0</v>
      </c>
      <c r="G425" s="40">
        <v>0</v>
      </c>
      <c r="H425" s="40"/>
      <c r="I425" s="40">
        <v>0</v>
      </c>
      <c r="J425" s="68"/>
    </row>
    <row r="426" spans="1:10" x14ac:dyDescent="0.25">
      <c r="A426" s="49"/>
      <c r="B426" s="49" t="s">
        <v>36</v>
      </c>
      <c r="C426" s="40">
        <v>0</v>
      </c>
      <c r="D426" s="40">
        <v>0</v>
      </c>
      <c r="E426" s="40">
        <v>0</v>
      </c>
      <c r="F426" s="40">
        <v>0</v>
      </c>
      <c r="G426" s="40">
        <v>0</v>
      </c>
      <c r="H426" s="40"/>
      <c r="I426" s="40">
        <v>0</v>
      </c>
      <c r="J426" s="68"/>
    </row>
    <row r="427" spans="1:10" x14ac:dyDescent="0.25">
      <c r="A427" s="49"/>
      <c r="B427" s="49" t="s">
        <v>36</v>
      </c>
      <c r="C427" s="40">
        <v>0</v>
      </c>
      <c r="D427" s="40">
        <v>0</v>
      </c>
      <c r="E427" s="40">
        <v>0</v>
      </c>
      <c r="F427" s="40">
        <v>0</v>
      </c>
      <c r="G427" s="40">
        <v>0</v>
      </c>
      <c r="H427" s="40"/>
      <c r="I427" s="40">
        <v>0</v>
      </c>
      <c r="J427" s="68"/>
    </row>
    <row r="428" spans="1:10" x14ac:dyDescent="0.25">
      <c r="A428" s="49"/>
      <c r="B428" s="49" t="s">
        <v>36</v>
      </c>
      <c r="C428" s="40">
        <v>0</v>
      </c>
      <c r="D428" s="40">
        <v>0</v>
      </c>
      <c r="E428" s="40">
        <v>0</v>
      </c>
      <c r="F428" s="40">
        <v>0</v>
      </c>
      <c r="G428" s="40">
        <v>0</v>
      </c>
      <c r="H428" s="40"/>
      <c r="I428" s="40">
        <v>0</v>
      </c>
      <c r="J428" s="68"/>
    </row>
    <row r="429" spans="1:10" x14ac:dyDescent="0.25">
      <c r="A429" s="49"/>
      <c r="B429" s="49" t="s">
        <v>36</v>
      </c>
      <c r="C429" s="40">
        <v>0</v>
      </c>
      <c r="D429" s="40">
        <v>0</v>
      </c>
      <c r="E429" s="40">
        <v>0</v>
      </c>
      <c r="F429" s="40">
        <v>0</v>
      </c>
      <c r="G429" s="40">
        <v>0</v>
      </c>
      <c r="H429" s="40"/>
      <c r="I429" s="40">
        <v>0</v>
      </c>
      <c r="J429" s="68"/>
    </row>
    <row r="430" spans="1:10" x14ac:dyDescent="0.25">
      <c r="A430" s="49"/>
      <c r="B430" s="49" t="s">
        <v>36</v>
      </c>
      <c r="C430" s="40">
        <v>0</v>
      </c>
      <c r="D430" s="40">
        <v>0</v>
      </c>
      <c r="E430" s="40">
        <v>0</v>
      </c>
      <c r="F430" s="40">
        <v>0</v>
      </c>
      <c r="G430" s="40">
        <v>0</v>
      </c>
      <c r="H430" s="40"/>
      <c r="I430" s="40">
        <v>0</v>
      </c>
      <c r="J430" s="68"/>
    </row>
    <row r="431" spans="1:10" x14ac:dyDescent="0.25">
      <c r="A431" s="49"/>
      <c r="B431" s="49" t="s">
        <v>36</v>
      </c>
      <c r="C431" s="40">
        <v>0</v>
      </c>
      <c r="D431" s="40">
        <v>0</v>
      </c>
      <c r="E431" s="40">
        <v>0</v>
      </c>
      <c r="F431" s="40">
        <v>0</v>
      </c>
      <c r="G431" s="40">
        <v>0</v>
      </c>
      <c r="H431" s="40"/>
      <c r="I431" s="40">
        <v>0</v>
      </c>
      <c r="J431" s="68"/>
    </row>
    <row r="432" spans="1:10" x14ac:dyDescent="0.25">
      <c r="A432" s="49"/>
      <c r="B432" s="49" t="s">
        <v>36</v>
      </c>
      <c r="C432" s="40">
        <v>0</v>
      </c>
      <c r="D432" s="40">
        <v>0</v>
      </c>
      <c r="E432" s="40">
        <v>0</v>
      </c>
      <c r="F432" s="40">
        <v>0</v>
      </c>
      <c r="G432" s="40">
        <v>0</v>
      </c>
      <c r="H432" s="40"/>
      <c r="I432" s="40">
        <v>0</v>
      </c>
      <c r="J432" s="68"/>
    </row>
    <row r="433" spans="1:10" x14ac:dyDescent="0.25">
      <c r="A433" s="49"/>
      <c r="B433" s="49" t="s">
        <v>36</v>
      </c>
      <c r="C433" s="40">
        <v>0</v>
      </c>
      <c r="D433" s="40">
        <v>0</v>
      </c>
      <c r="E433" s="40">
        <v>0</v>
      </c>
      <c r="F433" s="40">
        <v>0</v>
      </c>
      <c r="G433" s="40">
        <v>0</v>
      </c>
      <c r="H433" s="40"/>
      <c r="I433" s="40">
        <v>0</v>
      </c>
      <c r="J433" s="68"/>
    </row>
    <row r="434" spans="1:10" x14ac:dyDescent="0.25">
      <c r="A434" s="49"/>
      <c r="B434" s="49" t="s">
        <v>36</v>
      </c>
      <c r="C434" s="40">
        <v>0</v>
      </c>
      <c r="D434" s="40">
        <v>0</v>
      </c>
      <c r="E434" s="40">
        <v>0</v>
      </c>
      <c r="F434" s="40">
        <v>0</v>
      </c>
      <c r="G434" s="40">
        <v>0</v>
      </c>
      <c r="H434" s="40"/>
      <c r="I434" s="40">
        <v>0</v>
      </c>
      <c r="J434" s="68"/>
    </row>
    <row r="435" spans="1:10" x14ac:dyDescent="0.25">
      <c r="A435" s="49"/>
      <c r="B435" s="49" t="s">
        <v>36</v>
      </c>
      <c r="C435" s="40">
        <v>0</v>
      </c>
      <c r="D435" s="40">
        <v>0</v>
      </c>
      <c r="E435" s="40">
        <v>0</v>
      </c>
      <c r="F435" s="40">
        <v>0</v>
      </c>
      <c r="G435" s="40">
        <v>0</v>
      </c>
      <c r="H435" s="40"/>
      <c r="I435" s="40">
        <v>0</v>
      </c>
      <c r="J435" s="68"/>
    </row>
    <row r="436" spans="1:10" x14ac:dyDescent="0.25">
      <c r="A436" s="49"/>
      <c r="B436" s="49" t="s">
        <v>36</v>
      </c>
      <c r="C436" s="40">
        <v>0</v>
      </c>
      <c r="D436" s="40">
        <v>0</v>
      </c>
      <c r="E436" s="40">
        <v>0</v>
      </c>
      <c r="F436" s="40">
        <v>0</v>
      </c>
      <c r="G436" s="40">
        <v>0</v>
      </c>
      <c r="H436" s="40"/>
      <c r="I436" s="40">
        <v>0</v>
      </c>
      <c r="J436" s="68"/>
    </row>
    <row r="437" spans="1:10" x14ac:dyDescent="0.25">
      <c r="A437" s="49"/>
      <c r="B437" s="49" t="s">
        <v>36</v>
      </c>
      <c r="C437" s="40">
        <v>0</v>
      </c>
      <c r="D437" s="40">
        <v>0</v>
      </c>
      <c r="E437" s="40">
        <v>0</v>
      </c>
      <c r="F437" s="40">
        <v>0</v>
      </c>
      <c r="G437" s="40">
        <v>0</v>
      </c>
      <c r="H437" s="40"/>
      <c r="I437" s="40">
        <v>0</v>
      </c>
      <c r="J437" s="68"/>
    </row>
    <row r="438" spans="1:10" x14ac:dyDescent="0.25">
      <c r="A438" s="49"/>
      <c r="B438" s="49" t="s">
        <v>36</v>
      </c>
      <c r="C438" s="40">
        <v>0</v>
      </c>
      <c r="D438" s="40">
        <v>0</v>
      </c>
      <c r="E438" s="40">
        <v>0</v>
      </c>
      <c r="F438" s="40">
        <v>0</v>
      </c>
      <c r="G438" s="40">
        <v>0</v>
      </c>
      <c r="H438" s="40"/>
      <c r="I438" s="40">
        <v>0</v>
      </c>
      <c r="J438" s="68"/>
    </row>
    <row r="439" spans="1:10" x14ac:dyDescent="0.25">
      <c r="A439" s="49"/>
      <c r="B439" s="49" t="s">
        <v>36</v>
      </c>
      <c r="C439" s="40">
        <v>0</v>
      </c>
      <c r="D439" s="40">
        <v>0</v>
      </c>
      <c r="E439" s="40">
        <v>0</v>
      </c>
      <c r="F439" s="40">
        <v>0</v>
      </c>
      <c r="G439" s="40">
        <v>0</v>
      </c>
      <c r="H439" s="40"/>
      <c r="I439" s="40">
        <v>0</v>
      </c>
      <c r="J439" s="68"/>
    </row>
    <row r="440" spans="1:10" x14ac:dyDescent="0.25">
      <c r="A440" s="49"/>
      <c r="B440" s="49" t="s">
        <v>36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/>
      <c r="I440" s="40">
        <v>0</v>
      </c>
      <c r="J440" s="68"/>
    </row>
    <row r="441" spans="1:10" x14ac:dyDescent="0.25">
      <c r="A441" s="49"/>
      <c r="B441" s="49" t="s">
        <v>36</v>
      </c>
      <c r="C441" s="40">
        <v>0</v>
      </c>
      <c r="D441" s="40">
        <v>0</v>
      </c>
      <c r="E441" s="40">
        <v>0</v>
      </c>
      <c r="F441" s="40">
        <v>0</v>
      </c>
      <c r="G441" s="40">
        <v>0</v>
      </c>
      <c r="H441" s="40"/>
      <c r="I441" s="40">
        <v>0</v>
      </c>
      <c r="J441" s="68"/>
    </row>
    <row r="442" spans="1:10" x14ac:dyDescent="0.25">
      <c r="A442" s="49"/>
      <c r="B442" s="49" t="s">
        <v>36</v>
      </c>
      <c r="C442" s="40">
        <v>0</v>
      </c>
      <c r="D442" s="40">
        <v>0</v>
      </c>
      <c r="E442" s="40">
        <v>0</v>
      </c>
      <c r="F442" s="40">
        <v>0</v>
      </c>
      <c r="G442" s="40">
        <v>0</v>
      </c>
      <c r="H442" s="40"/>
      <c r="I442" s="40">
        <v>0</v>
      </c>
      <c r="J442" s="68"/>
    </row>
    <row r="443" spans="1:10" x14ac:dyDescent="0.25">
      <c r="A443" s="49"/>
      <c r="B443" s="49" t="s">
        <v>36</v>
      </c>
      <c r="C443" s="40">
        <v>0</v>
      </c>
      <c r="D443" s="40">
        <v>0</v>
      </c>
      <c r="E443" s="40">
        <v>0</v>
      </c>
      <c r="F443" s="40">
        <v>0</v>
      </c>
      <c r="G443" s="40">
        <v>0</v>
      </c>
      <c r="H443" s="40"/>
      <c r="I443" s="40">
        <v>0</v>
      </c>
      <c r="J443" s="68"/>
    </row>
    <row r="444" spans="1:10" x14ac:dyDescent="0.25">
      <c r="A444" s="49"/>
      <c r="B444" s="49" t="s">
        <v>36</v>
      </c>
      <c r="C444" s="40">
        <v>0</v>
      </c>
      <c r="D444" s="40">
        <v>0</v>
      </c>
      <c r="E444" s="40">
        <v>0</v>
      </c>
      <c r="F444" s="40">
        <v>0</v>
      </c>
      <c r="G444" s="40">
        <v>0</v>
      </c>
      <c r="H444" s="40"/>
      <c r="I444" s="40">
        <v>0</v>
      </c>
      <c r="J444" s="68"/>
    </row>
    <row r="445" spans="1:10" x14ac:dyDescent="0.25">
      <c r="A445" s="49"/>
      <c r="B445" s="49" t="s">
        <v>36</v>
      </c>
      <c r="C445" s="40">
        <v>0</v>
      </c>
      <c r="D445" s="40">
        <v>0</v>
      </c>
      <c r="E445" s="40">
        <v>0</v>
      </c>
      <c r="F445" s="40">
        <v>0</v>
      </c>
      <c r="G445" s="40">
        <v>0</v>
      </c>
      <c r="H445" s="40"/>
      <c r="I445" s="40">
        <v>0</v>
      </c>
      <c r="J445" s="68"/>
    </row>
    <row r="446" spans="1:10" x14ac:dyDescent="0.25">
      <c r="A446" s="49"/>
      <c r="B446" s="49" t="s">
        <v>36</v>
      </c>
      <c r="C446" s="40">
        <v>0</v>
      </c>
      <c r="D446" s="40">
        <v>0</v>
      </c>
      <c r="E446" s="40">
        <v>0</v>
      </c>
      <c r="F446" s="40">
        <v>0</v>
      </c>
      <c r="G446" s="40">
        <v>0</v>
      </c>
      <c r="H446" s="40"/>
      <c r="I446" s="40">
        <v>0</v>
      </c>
      <c r="J446" s="68"/>
    </row>
    <row r="447" spans="1:10" x14ac:dyDescent="0.25">
      <c r="A447" s="49"/>
      <c r="B447" s="49" t="s">
        <v>36</v>
      </c>
      <c r="C447" s="40">
        <v>0</v>
      </c>
      <c r="D447" s="40">
        <v>0</v>
      </c>
      <c r="E447" s="40">
        <v>0</v>
      </c>
      <c r="F447" s="40">
        <v>0</v>
      </c>
      <c r="G447" s="40">
        <v>0</v>
      </c>
      <c r="H447" s="40"/>
      <c r="I447" s="40">
        <v>0</v>
      </c>
      <c r="J447" s="68"/>
    </row>
    <row r="448" spans="1:10" x14ac:dyDescent="0.25">
      <c r="A448" s="49"/>
      <c r="B448" s="49" t="s">
        <v>36</v>
      </c>
      <c r="C448" s="40">
        <v>0</v>
      </c>
      <c r="D448" s="40">
        <v>0</v>
      </c>
      <c r="E448" s="40">
        <v>0</v>
      </c>
      <c r="F448" s="40">
        <v>0</v>
      </c>
      <c r="G448" s="40">
        <v>0</v>
      </c>
      <c r="H448" s="40"/>
      <c r="I448" s="40">
        <v>0</v>
      </c>
      <c r="J448" s="68"/>
    </row>
    <row r="449" spans="1:10" x14ac:dyDescent="0.25">
      <c r="A449" s="49"/>
      <c r="B449" s="49" t="s">
        <v>36</v>
      </c>
      <c r="C449" s="40">
        <v>0</v>
      </c>
      <c r="D449" s="40">
        <v>0</v>
      </c>
      <c r="E449" s="40">
        <v>0</v>
      </c>
      <c r="F449" s="40">
        <v>0</v>
      </c>
      <c r="G449" s="40">
        <v>0</v>
      </c>
      <c r="H449" s="40"/>
      <c r="I449" s="40">
        <v>0</v>
      </c>
      <c r="J449" s="68"/>
    </row>
    <row r="450" spans="1:10" x14ac:dyDescent="0.25">
      <c r="A450" s="49"/>
      <c r="B450" s="49" t="s">
        <v>36</v>
      </c>
      <c r="C450" s="40">
        <v>0</v>
      </c>
      <c r="D450" s="40">
        <v>0</v>
      </c>
      <c r="E450" s="40">
        <v>0</v>
      </c>
      <c r="F450" s="40">
        <v>0</v>
      </c>
      <c r="G450" s="40">
        <v>0</v>
      </c>
      <c r="H450" s="40"/>
      <c r="I450" s="40">
        <v>0</v>
      </c>
      <c r="J450" s="68"/>
    </row>
    <row r="451" spans="1:10" x14ac:dyDescent="0.25">
      <c r="A451" s="49"/>
      <c r="B451" s="49" t="s">
        <v>36</v>
      </c>
      <c r="C451" s="40">
        <v>0</v>
      </c>
      <c r="D451" s="40">
        <v>0</v>
      </c>
      <c r="E451" s="40">
        <v>0</v>
      </c>
      <c r="F451" s="40">
        <v>0</v>
      </c>
      <c r="G451" s="40">
        <v>0</v>
      </c>
      <c r="H451" s="40"/>
      <c r="I451" s="40">
        <v>0</v>
      </c>
      <c r="J451" s="68"/>
    </row>
    <row r="452" spans="1:10" x14ac:dyDescent="0.25">
      <c r="A452" s="49"/>
      <c r="B452" s="49" t="s">
        <v>36</v>
      </c>
      <c r="C452" s="40">
        <v>0</v>
      </c>
      <c r="D452" s="40">
        <v>0</v>
      </c>
      <c r="E452" s="40">
        <v>0</v>
      </c>
      <c r="F452" s="40">
        <v>0</v>
      </c>
      <c r="G452" s="40">
        <v>0</v>
      </c>
      <c r="H452" s="40"/>
      <c r="I452" s="40">
        <v>0</v>
      </c>
      <c r="J452" s="68"/>
    </row>
    <row r="453" spans="1:10" x14ac:dyDescent="0.25">
      <c r="A453" s="49"/>
      <c r="B453" s="49" t="s">
        <v>36</v>
      </c>
      <c r="C453" s="40">
        <v>0</v>
      </c>
      <c r="D453" s="40">
        <v>0</v>
      </c>
      <c r="E453" s="40">
        <v>0</v>
      </c>
      <c r="F453" s="40">
        <v>0</v>
      </c>
      <c r="G453" s="40">
        <v>0</v>
      </c>
      <c r="H453" s="40"/>
      <c r="I453" s="40">
        <v>0</v>
      </c>
      <c r="J453" s="68"/>
    </row>
    <row r="454" spans="1:10" x14ac:dyDescent="0.25">
      <c r="A454" s="49"/>
      <c r="B454" s="49" t="s">
        <v>36</v>
      </c>
      <c r="C454" s="40">
        <v>0</v>
      </c>
      <c r="D454" s="40">
        <v>0</v>
      </c>
      <c r="E454" s="40">
        <v>0</v>
      </c>
      <c r="F454" s="40">
        <v>0</v>
      </c>
      <c r="G454" s="40">
        <v>0</v>
      </c>
      <c r="H454" s="40"/>
      <c r="I454" s="40">
        <v>0</v>
      </c>
      <c r="J454" s="68"/>
    </row>
    <row r="455" spans="1:10" x14ac:dyDescent="0.25">
      <c r="A455" s="49"/>
      <c r="B455" s="49" t="s">
        <v>36</v>
      </c>
      <c r="C455" s="40">
        <v>0</v>
      </c>
      <c r="D455" s="40">
        <v>0</v>
      </c>
      <c r="E455" s="40">
        <v>0</v>
      </c>
      <c r="F455" s="40">
        <v>0</v>
      </c>
      <c r="G455" s="40">
        <v>0</v>
      </c>
      <c r="H455" s="40"/>
      <c r="I455" s="40">
        <v>0</v>
      </c>
      <c r="J455" s="68"/>
    </row>
    <row r="456" spans="1:10" x14ac:dyDescent="0.25">
      <c r="A456" s="49"/>
      <c r="B456" s="49" t="s">
        <v>36</v>
      </c>
      <c r="C456" s="40">
        <v>0</v>
      </c>
      <c r="D456" s="40">
        <v>0</v>
      </c>
      <c r="E456" s="40">
        <v>0</v>
      </c>
      <c r="F456" s="40">
        <v>0</v>
      </c>
      <c r="G456" s="40">
        <v>0</v>
      </c>
      <c r="H456" s="40"/>
      <c r="I456" s="40">
        <v>0</v>
      </c>
      <c r="J456" s="68"/>
    </row>
    <row r="457" spans="1:10" x14ac:dyDescent="0.25">
      <c r="A457" s="49"/>
      <c r="B457" s="49" t="s">
        <v>36</v>
      </c>
      <c r="C457" s="40">
        <v>0</v>
      </c>
      <c r="D457" s="40">
        <v>0</v>
      </c>
      <c r="E457" s="40">
        <v>0</v>
      </c>
      <c r="F457" s="40">
        <v>0</v>
      </c>
      <c r="G457" s="40">
        <v>0</v>
      </c>
      <c r="H457" s="40"/>
      <c r="I457" s="40">
        <v>0</v>
      </c>
      <c r="J457" s="68"/>
    </row>
    <row r="458" spans="1:10" x14ac:dyDescent="0.25">
      <c r="A458" s="49"/>
      <c r="B458" s="49" t="s">
        <v>36</v>
      </c>
      <c r="C458" s="40">
        <v>0</v>
      </c>
      <c r="D458" s="40">
        <v>0</v>
      </c>
      <c r="E458" s="40">
        <v>0</v>
      </c>
      <c r="F458" s="40">
        <v>0</v>
      </c>
      <c r="G458" s="40">
        <v>0</v>
      </c>
      <c r="H458" s="40"/>
      <c r="I458" s="40">
        <v>0</v>
      </c>
      <c r="J458" s="68"/>
    </row>
    <row r="459" spans="1:10" x14ac:dyDescent="0.25">
      <c r="A459" s="49"/>
      <c r="B459" s="49" t="s">
        <v>36</v>
      </c>
      <c r="C459" s="40">
        <v>0</v>
      </c>
      <c r="D459" s="40">
        <v>0</v>
      </c>
      <c r="E459" s="40">
        <v>0</v>
      </c>
      <c r="F459" s="40">
        <v>0</v>
      </c>
      <c r="G459" s="40">
        <v>0</v>
      </c>
      <c r="H459" s="40"/>
      <c r="I459" s="40">
        <v>0</v>
      </c>
      <c r="J459" s="68"/>
    </row>
    <row r="460" spans="1:10" x14ac:dyDescent="0.25">
      <c r="A460" s="49"/>
      <c r="B460" s="49" t="s">
        <v>36</v>
      </c>
      <c r="C460" s="40">
        <v>0</v>
      </c>
      <c r="D460" s="40">
        <v>0</v>
      </c>
      <c r="E460" s="40">
        <v>0</v>
      </c>
      <c r="F460" s="40">
        <v>0</v>
      </c>
      <c r="G460" s="40">
        <v>0</v>
      </c>
      <c r="H460" s="40"/>
      <c r="I460" s="40">
        <v>0</v>
      </c>
      <c r="J460" s="68"/>
    </row>
    <row r="461" spans="1:10" x14ac:dyDescent="0.25">
      <c r="A461" s="49"/>
      <c r="B461" s="49" t="s">
        <v>36</v>
      </c>
      <c r="C461" s="40">
        <v>0</v>
      </c>
      <c r="D461" s="40">
        <v>0</v>
      </c>
      <c r="E461" s="40">
        <v>0</v>
      </c>
      <c r="F461" s="40">
        <v>0</v>
      </c>
      <c r="G461" s="40">
        <v>0</v>
      </c>
      <c r="H461" s="40"/>
      <c r="I461" s="40">
        <v>0</v>
      </c>
      <c r="J461" s="68"/>
    </row>
    <row r="462" spans="1:10" x14ac:dyDescent="0.25">
      <c r="A462" s="49"/>
      <c r="B462" s="49" t="s">
        <v>36</v>
      </c>
      <c r="C462" s="40">
        <v>0</v>
      </c>
      <c r="D462" s="40">
        <v>0</v>
      </c>
      <c r="E462" s="40">
        <v>0</v>
      </c>
      <c r="F462" s="40">
        <v>0</v>
      </c>
      <c r="G462" s="40">
        <v>0</v>
      </c>
      <c r="H462" s="40"/>
      <c r="I462" s="40">
        <v>0</v>
      </c>
      <c r="J462" s="68"/>
    </row>
    <row r="463" spans="1:10" x14ac:dyDescent="0.25">
      <c r="A463" s="49"/>
      <c r="B463" s="49" t="s">
        <v>36</v>
      </c>
      <c r="C463" s="40">
        <v>0</v>
      </c>
      <c r="D463" s="40">
        <v>0</v>
      </c>
      <c r="E463" s="40">
        <v>0</v>
      </c>
      <c r="F463" s="40">
        <v>0</v>
      </c>
      <c r="G463" s="40">
        <v>0</v>
      </c>
      <c r="H463" s="40"/>
      <c r="I463" s="40">
        <v>0</v>
      </c>
      <c r="J463" s="68"/>
    </row>
    <row r="464" spans="1:10" x14ac:dyDescent="0.25">
      <c r="A464" s="49"/>
      <c r="B464" s="49" t="s">
        <v>36</v>
      </c>
      <c r="C464" s="40">
        <v>0</v>
      </c>
      <c r="D464" s="40">
        <v>0</v>
      </c>
      <c r="E464" s="40">
        <v>0</v>
      </c>
      <c r="F464" s="40">
        <v>0</v>
      </c>
      <c r="G464" s="40">
        <v>0</v>
      </c>
      <c r="H464" s="40"/>
      <c r="I464" s="40">
        <v>0</v>
      </c>
      <c r="J464" s="68"/>
    </row>
    <row r="465" spans="1:10" x14ac:dyDescent="0.25">
      <c r="A465" s="49"/>
      <c r="B465" s="49" t="s">
        <v>36</v>
      </c>
      <c r="C465" s="40">
        <v>0</v>
      </c>
      <c r="D465" s="40">
        <v>0</v>
      </c>
      <c r="E465" s="40">
        <v>0</v>
      </c>
      <c r="F465" s="40">
        <v>0</v>
      </c>
      <c r="G465" s="40">
        <v>0</v>
      </c>
      <c r="H465" s="40"/>
      <c r="I465" s="40">
        <v>0</v>
      </c>
      <c r="J465" s="68"/>
    </row>
    <row r="466" spans="1:10" x14ac:dyDescent="0.25">
      <c r="A466" s="49"/>
      <c r="B466" s="49" t="s">
        <v>36</v>
      </c>
      <c r="C466" s="40">
        <v>0</v>
      </c>
      <c r="D466" s="40">
        <v>0</v>
      </c>
      <c r="E466" s="40">
        <v>0</v>
      </c>
      <c r="F466" s="40">
        <v>0</v>
      </c>
      <c r="G466" s="40">
        <v>0</v>
      </c>
      <c r="H466" s="40"/>
      <c r="I466" s="40">
        <v>0</v>
      </c>
      <c r="J466" s="68"/>
    </row>
    <row r="467" spans="1:10" x14ac:dyDescent="0.25">
      <c r="A467" s="49"/>
      <c r="B467" s="49" t="s">
        <v>36</v>
      </c>
      <c r="C467" s="40">
        <v>0</v>
      </c>
      <c r="D467" s="40">
        <v>0</v>
      </c>
      <c r="E467" s="40">
        <v>0</v>
      </c>
      <c r="F467" s="40">
        <v>0</v>
      </c>
      <c r="G467" s="40">
        <v>0</v>
      </c>
      <c r="H467" s="40"/>
      <c r="I467" s="40">
        <v>0</v>
      </c>
      <c r="J467" s="68"/>
    </row>
    <row r="468" spans="1:10" x14ac:dyDescent="0.25">
      <c r="A468" s="49"/>
      <c r="B468" s="49" t="s">
        <v>36</v>
      </c>
      <c r="C468" s="40">
        <v>0</v>
      </c>
      <c r="D468" s="40">
        <v>0</v>
      </c>
      <c r="E468" s="40">
        <v>0</v>
      </c>
      <c r="F468" s="40">
        <v>0</v>
      </c>
      <c r="G468" s="40">
        <v>0</v>
      </c>
      <c r="H468" s="40"/>
      <c r="I468" s="40">
        <v>0</v>
      </c>
      <c r="J468" s="68"/>
    </row>
    <row r="469" spans="1:10" x14ac:dyDescent="0.25">
      <c r="A469" s="49"/>
      <c r="B469" s="49" t="s">
        <v>36</v>
      </c>
      <c r="C469" s="40">
        <v>0</v>
      </c>
      <c r="D469" s="40">
        <v>0</v>
      </c>
      <c r="E469" s="40">
        <v>0</v>
      </c>
      <c r="F469" s="40">
        <v>0</v>
      </c>
      <c r="G469" s="40">
        <v>0</v>
      </c>
      <c r="H469" s="40"/>
      <c r="I469" s="40">
        <v>0</v>
      </c>
      <c r="J469" s="68"/>
    </row>
    <row r="470" spans="1:10" x14ac:dyDescent="0.25">
      <c r="A470" s="49"/>
      <c r="B470" s="49" t="s">
        <v>36</v>
      </c>
      <c r="C470" s="40">
        <v>0</v>
      </c>
      <c r="D470" s="40">
        <v>0</v>
      </c>
      <c r="E470" s="40">
        <v>0</v>
      </c>
      <c r="F470" s="40">
        <v>0</v>
      </c>
      <c r="G470" s="40">
        <v>0</v>
      </c>
      <c r="H470" s="40"/>
      <c r="I470" s="40">
        <v>0</v>
      </c>
      <c r="J470" s="68"/>
    </row>
    <row r="471" spans="1:10" x14ac:dyDescent="0.25">
      <c r="A471" s="49"/>
      <c r="B471" s="49" t="s">
        <v>36</v>
      </c>
      <c r="C471" s="40">
        <v>0</v>
      </c>
      <c r="D471" s="40">
        <v>0</v>
      </c>
      <c r="E471" s="40">
        <v>0</v>
      </c>
      <c r="F471" s="40">
        <v>0</v>
      </c>
      <c r="G471" s="40">
        <v>0</v>
      </c>
      <c r="H471" s="40"/>
      <c r="I471" s="40">
        <v>0</v>
      </c>
      <c r="J471" s="68"/>
    </row>
    <row r="472" spans="1:10" x14ac:dyDescent="0.25">
      <c r="A472" s="49"/>
      <c r="B472" s="49" t="s">
        <v>36</v>
      </c>
      <c r="C472" s="40">
        <v>0</v>
      </c>
      <c r="D472" s="40">
        <v>0</v>
      </c>
      <c r="E472" s="40">
        <v>0</v>
      </c>
      <c r="F472" s="40">
        <v>0</v>
      </c>
      <c r="G472" s="40">
        <v>0</v>
      </c>
      <c r="H472" s="40"/>
      <c r="I472" s="40">
        <v>0</v>
      </c>
      <c r="J472" s="68"/>
    </row>
    <row r="473" spans="1:10" x14ac:dyDescent="0.25">
      <c r="A473" s="49"/>
      <c r="B473" s="49" t="s">
        <v>36</v>
      </c>
      <c r="C473" s="40">
        <v>0</v>
      </c>
      <c r="D473" s="40">
        <v>0</v>
      </c>
      <c r="E473" s="40">
        <v>0</v>
      </c>
      <c r="F473" s="40">
        <v>0</v>
      </c>
      <c r="G473" s="40">
        <v>0</v>
      </c>
      <c r="H473" s="40"/>
      <c r="I473" s="40">
        <v>0</v>
      </c>
      <c r="J473" s="68"/>
    </row>
    <row r="474" spans="1:10" x14ac:dyDescent="0.25">
      <c r="A474" s="49"/>
      <c r="B474" s="49" t="s">
        <v>36</v>
      </c>
      <c r="C474" s="40">
        <v>0</v>
      </c>
      <c r="D474" s="40">
        <v>0</v>
      </c>
      <c r="E474" s="40">
        <v>0</v>
      </c>
      <c r="F474" s="40">
        <v>0</v>
      </c>
      <c r="G474" s="40">
        <v>0</v>
      </c>
      <c r="H474" s="40"/>
      <c r="I474" s="40">
        <v>0</v>
      </c>
      <c r="J474" s="68"/>
    </row>
    <row r="475" spans="1:10" x14ac:dyDescent="0.25">
      <c r="A475" s="49"/>
      <c r="B475" s="49" t="s">
        <v>36</v>
      </c>
      <c r="C475" s="40">
        <v>0</v>
      </c>
      <c r="D475" s="40">
        <v>0</v>
      </c>
      <c r="E475" s="40">
        <v>0</v>
      </c>
      <c r="F475" s="40">
        <v>0</v>
      </c>
      <c r="G475" s="40">
        <v>0</v>
      </c>
      <c r="H475" s="40"/>
      <c r="I475" s="40">
        <v>0</v>
      </c>
      <c r="J475" s="68"/>
    </row>
    <row r="476" spans="1:10" x14ac:dyDescent="0.25">
      <c r="A476" s="49"/>
      <c r="B476" s="49" t="s">
        <v>36</v>
      </c>
      <c r="C476" s="40">
        <v>0</v>
      </c>
      <c r="D476" s="40">
        <v>0</v>
      </c>
      <c r="E476" s="40">
        <v>0</v>
      </c>
      <c r="F476" s="40">
        <v>0</v>
      </c>
      <c r="G476" s="40">
        <v>0</v>
      </c>
      <c r="H476" s="40"/>
      <c r="I476" s="40">
        <v>0</v>
      </c>
      <c r="J476" s="68"/>
    </row>
    <row r="477" spans="1:10" x14ac:dyDescent="0.25">
      <c r="A477" s="49"/>
      <c r="B477" s="49" t="s">
        <v>36</v>
      </c>
      <c r="C477" s="40">
        <v>0</v>
      </c>
      <c r="D477" s="40">
        <v>0</v>
      </c>
      <c r="E477" s="40">
        <v>0</v>
      </c>
      <c r="F477" s="40">
        <v>0</v>
      </c>
      <c r="G477" s="40">
        <v>0</v>
      </c>
      <c r="H477" s="40"/>
      <c r="I477" s="40">
        <v>0</v>
      </c>
      <c r="J477" s="68"/>
    </row>
    <row r="478" spans="1:10" x14ac:dyDescent="0.25">
      <c r="A478" s="49"/>
      <c r="B478" s="49" t="s">
        <v>36</v>
      </c>
      <c r="C478" s="40">
        <v>0</v>
      </c>
      <c r="D478" s="40">
        <v>0</v>
      </c>
      <c r="E478" s="40">
        <v>0</v>
      </c>
      <c r="F478" s="40">
        <v>0</v>
      </c>
      <c r="G478" s="40">
        <v>0</v>
      </c>
      <c r="H478" s="40"/>
      <c r="I478" s="40">
        <v>0</v>
      </c>
      <c r="J478" s="68"/>
    </row>
    <row r="479" spans="1:10" x14ac:dyDescent="0.25">
      <c r="A479" s="49"/>
      <c r="B479" s="49" t="s">
        <v>36</v>
      </c>
      <c r="C479" s="40">
        <v>0</v>
      </c>
      <c r="D479" s="40">
        <v>0</v>
      </c>
      <c r="E479" s="40">
        <v>0</v>
      </c>
      <c r="F479" s="40">
        <v>0</v>
      </c>
      <c r="G479" s="40">
        <v>0</v>
      </c>
      <c r="H479" s="40"/>
      <c r="I479" s="40">
        <v>0</v>
      </c>
      <c r="J479" s="68"/>
    </row>
    <row r="480" spans="1:10" x14ac:dyDescent="0.25">
      <c r="A480" s="49"/>
      <c r="B480" s="49" t="s">
        <v>36</v>
      </c>
      <c r="C480" s="40">
        <v>0</v>
      </c>
      <c r="D480" s="40">
        <v>0</v>
      </c>
      <c r="E480" s="40">
        <v>0</v>
      </c>
      <c r="F480" s="40">
        <v>0</v>
      </c>
      <c r="G480" s="40">
        <v>0</v>
      </c>
      <c r="H480" s="40"/>
      <c r="I480" s="40">
        <v>0</v>
      </c>
      <c r="J480" s="68"/>
    </row>
    <row r="481" spans="1:10" x14ac:dyDescent="0.25">
      <c r="A481" s="49"/>
      <c r="B481" s="49" t="s">
        <v>36</v>
      </c>
      <c r="C481" s="40">
        <v>0</v>
      </c>
      <c r="D481" s="40">
        <v>0</v>
      </c>
      <c r="E481" s="40">
        <v>0</v>
      </c>
      <c r="F481" s="40">
        <v>0</v>
      </c>
      <c r="G481" s="40">
        <v>0</v>
      </c>
      <c r="H481" s="40"/>
      <c r="I481" s="40">
        <v>0</v>
      </c>
      <c r="J481" s="68"/>
    </row>
    <row r="482" spans="1:10" x14ac:dyDescent="0.25">
      <c r="A482" s="49"/>
      <c r="B482" s="49" t="s">
        <v>36</v>
      </c>
      <c r="C482" s="40">
        <v>0</v>
      </c>
      <c r="D482" s="40">
        <v>0</v>
      </c>
      <c r="E482" s="40">
        <v>0</v>
      </c>
      <c r="F482" s="40">
        <v>0</v>
      </c>
      <c r="G482" s="40">
        <v>0</v>
      </c>
      <c r="H482" s="40"/>
      <c r="I482" s="40">
        <v>0</v>
      </c>
      <c r="J482" s="68"/>
    </row>
    <row r="483" spans="1:10" x14ac:dyDescent="0.25">
      <c r="A483" s="49"/>
      <c r="B483" s="49" t="s">
        <v>36</v>
      </c>
      <c r="C483" s="40">
        <v>0</v>
      </c>
      <c r="D483" s="40">
        <v>0</v>
      </c>
      <c r="E483" s="40">
        <v>0</v>
      </c>
      <c r="F483" s="40">
        <v>0</v>
      </c>
      <c r="G483" s="40">
        <v>0</v>
      </c>
      <c r="H483" s="40"/>
      <c r="I483" s="40">
        <v>0</v>
      </c>
      <c r="J483" s="68"/>
    </row>
    <row r="484" spans="1:10" x14ac:dyDescent="0.25">
      <c r="A484" s="49"/>
      <c r="B484" s="49" t="s">
        <v>36</v>
      </c>
      <c r="C484" s="40">
        <v>0</v>
      </c>
      <c r="D484" s="40">
        <v>0</v>
      </c>
      <c r="E484" s="40">
        <v>0</v>
      </c>
      <c r="F484" s="40">
        <v>0</v>
      </c>
      <c r="G484" s="40">
        <v>0</v>
      </c>
      <c r="H484" s="40"/>
      <c r="I484" s="40">
        <v>0</v>
      </c>
      <c r="J484" s="68"/>
    </row>
    <row r="485" spans="1:10" x14ac:dyDescent="0.25">
      <c r="A485" s="49"/>
      <c r="B485" s="49" t="s">
        <v>36</v>
      </c>
      <c r="C485" s="40">
        <v>0</v>
      </c>
      <c r="D485" s="40">
        <v>0</v>
      </c>
      <c r="E485" s="40">
        <v>0</v>
      </c>
      <c r="F485" s="40">
        <v>0</v>
      </c>
      <c r="G485" s="40">
        <v>0</v>
      </c>
      <c r="H485" s="40"/>
      <c r="I485" s="40">
        <v>0</v>
      </c>
      <c r="J485" s="68"/>
    </row>
    <row r="486" spans="1:10" x14ac:dyDescent="0.25">
      <c r="A486" s="49"/>
      <c r="B486" s="49" t="s">
        <v>36</v>
      </c>
      <c r="C486" s="40">
        <v>0</v>
      </c>
      <c r="D486" s="40">
        <v>0</v>
      </c>
      <c r="E486" s="40">
        <v>0</v>
      </c>
      <c r="F486" s="40">
        <v>0</v>
      </c>
      <c r="G486" s="40">
        <v>0</v>
      </c>
      <c r="H486" s="40"/>
      <c r="I486" s="40">
        <v>0</v>
      </c>
      <c r="J486" s="68"/>
    </row>
    <row r="487" spans="1:10" x14ac:dyDescent="0.25">
      <c r="A487" s="49"/>
      <c r="B487" s="49" t="s">
        <v>36</v>
      </c>
      <c r="C487" s="40">
        <v>0</v>
      </c>
      <c r="D487" s="40">
        <v>0</v>
      </c>
      <c r="E487" s="40">
        <v>0</v>
      </c>
      <c r="F487" s="40">
        <v>0</v>
      </c>
      <c r="G487" s="40">
        <v>0</v>
      </c>
      <c r="H487" s="40"/>
      <c r="I487" s="40">
        <v>0</v>
      </c>
      <c r="J487" s="68"/>
    </row>
    <row r="488" spans="1:10" x14ac:dyDescent="0.25">
      <c r="A488" s="49"/>
      <c r="B488" s="49" t="s">
        <v>36</v>
      </c>
      <c r="C488" s="40">
        <v>0</v>
      </c>
      <c r="D488" s="40">
        <v>0</v>
      </c>
      <c r="E488" s="40">
        <v>0</v>
      </c>
      <c r="F488" s="40">
        <v>0</v>
      </c>
      <c r="G488" s="40">
        <v>0</v>
      </c>
      <c r="H488" s="40"/>
      <c r="I488" s="40">
        <v>0</v>
      </c>
      <c r="J488" s="68"/>
    </row>
    <row r="489" spans="1:10" x14ac:dyDescent="0.25">
      <c r="A489" s="49"/>
      <c r="B489" s="49" t="s">
        <v>36</v>
      </c>
      <c r="C489" s="40">
        <v>0</v>
      </c>
      <c r="D489" s="40">
        <v>0</v>
      </c>
      <c r="E489" s="40">
        <v>0</v>
      </c>
      <c r="F489" s="40">
        <v>0</v>
      </c>
      <c r="G489" s="40">
        <v>0</v>
      </c>
      <c r="H489" s="40"/>
      <c r="I489" s="40">
        <v>0</v>
      </c>
      <c r="J489" s="68"/>
    </row>
    <row r="490" spans="1:10" x14ac:dyDescent="0.25">
      <c r="A490" s="49"/>
      <c r="B490" s="49" t="s">
        <v>36</v>
      </c>
      <c r="C490" s="40">
        <v>0</v>
      </c>
      <c r="D490" s="40">
        <v>0</v>
      </c>
      <c r="E490" s="40">
        <v>0</v>
      </c>
      <c r="F490" s="40">
        <v>0</v>
      </c>
      <c r="G490" s="40">
        <v>0</v>
      </c>
      <c r="H490" s="40"/>
      <c r="I490" s="40">
        <v>0</v>
      </c>
      <c r="J490" s="68"/>
    </row>
    <row r="491" spans="1:10" x14ac:dyDescent="0.25">
      <c r="A491" s="49"/>
      <c r="B491" s="49" t="s">
        <v>36</v>
      </c>
      <c r="C491" s="40">
        <v>0</v>
      </c>
      <c r="D491" s="40">
        <v>0</v>
      </c>
      <c r="E491" s="40">
        <v>0</v>
      </c>
      <c r="F491" s="40">
        <v>0</v>
      </c>
      <c r="G491" s="40">
        <v>0</v>
      </c>
      <c r="H491" s="40"/>
      <c r="I491" s="40">
        <v>0</v>
      </c>
      <c r="J491" s="68"/>
    </row>
    <row r="492" spans="1:10" x14ac:dyDescent="0.25">
      <c r="A492" s="49"/>
      <c r="B492" s="49" t="s">
        <v>36</v>
      </c>
      <c r="C492" s="40">
        <v>0</v>
      </c>
      <c r="D492" s="40">
        <v>0</v>
      </c>
      <c r="E492" s="40">
        <v>0</v>
      </c>
      <c r="F492" s="40">
        <v>0</v>
      </c>
      <c r="G492" s="40">
        <v>0</v>
      </c>
      <c r="H492" s="40"/>
      <c r="I492" s="40">
        <v>0</v>
      </c>
      <c r="J492" s="68"/>
    </row>
    <row r="493" spans="1:10" x14ac:dyDescent="0.25">
      <c r="A493" s="49"/>
      <c r="B493" s="49" t="s">
        <v>36</v>
      </c>
      <c r="C493" s="40">
        <v>0</v>
      </c>
      <c r="D493" s="40">
        <v>0</v>
      </c>
      <c r="E493" s="40">
        <v>0</v>
      </c>
      <c r="F493" s="40">
        <v>0</v>
      </c>
      <c r="G493" s="40">
        <v>0</v>
      </c>
      <c r="H493" s="40"/>
      <c r="I493" s="40">
        <v>0</v>
      </c>
      <c r="J493" s="68"/>
    </row>
    <row r="494" spans="1:10" x14ac:dyDescent="0.25">
      <c r="A494" s="49"/>
      <c r="B494" s="49" t="s">
        <v>36</v>
      </c>
      <c r="C494" s="40">
        <v>0</v>
      </c>
      <c r="D494" s="40">
        <v>0</v>
      </c>
      <c r="E494" s="40">
        <v>0</v>
      </c>
      <c r="F494" s="40">
        <v>0</v>
      </c>
      <c r="G494" s="40">
        <v>0</v>
      </c>
      <c r="H494" s="40"/>
      <c r="I494" s="40">
        <v>0</v>
      </c>
      <c r="J494" s="68"/>
    </row>
    <row r="495" spans="1:10" x14ac:dyDescent="0.25">
      <c r="A495" s="49"/>
      <c r="B495" s="49" t="s">
        <v>36</v>
      </c>
      <c r="C495" s="40">
        <v>0</v>
      </c>
      <c r="D495" s="40">
        <v>0</v>
      </c>
      <c r="E495" s="40">
        <v>0</v>
      </c>
      <c r="F495" s="40">
        <v>0</v>
      </c>
      <c r="G495" s="40">
        <v>0</v>
      </c>
      <c r="H495" s="40"/>
      <c r="I495" s="40">
        <v>0</v>
      </c>
      <c r="J495" s="68"/>
    </row>
    <row r="496" spans="1:10" x14ac:dyDescent="0.25">
      <c r="A496" s="49"/>
      <c r="B496" s="49" t="s">
        <v>36</v>
      </c>
      <c r="C496" s="40">
        <v>0</v>
      </c>
      <c r="D496" s="40">
        <v>0</v>
      </c>
      <c r="E496" s="40">
        <v>0</v>
      </c>
      <c r="F496" s="40">
        <v>0</v>
      </c>
      <c r="G496" s="40">
        <v>0</v>
      </c>
      <c r="H496" s="40"/>
      <c r="I496" s="40">
        <v>0</v>
      </c>
      <c r="J496" s="68"/>
    </row>
    <row r="497" spans="1:10" x14ac:dyDescent="0.25">
      <c r="A497" s="49"/>
      <c r="B497" s="49" t="s">
        <v>36</v>
      </c>
      <c r="C497" s="40">
        <v>0</v>
      </c>
      <c r="D497" s="40">
        <v>0</v>
      </c>
      <c r="E497" s="40">
        <v>0</v>
      </c>
      <c r="F497" s="40">
        <v>0</v>
      </c>
      <c r="G497" s="40">
        <v>0</v>
      </c>
      <c r="H497" s="40"/>
      <c r="I497" s="40">
        <v>0</v>
      </c>
      <c r="J497" s="68"/>
    </row>
    <row r="498" spans="1:10" x14ac:dyDescent="0.25">
      <c r="A498" s="49"/>
      <c r="B498" s="49" t="s">
        <v>36</v>
      </c>
      <c r="C498" s="40">
        <v>0</v>
      </c>
      <c r="D498" s="40">
        <v>0</v>
      </c>
      <c r="E498" s="40">
        <v>0</v>
      </c>
      <c r="F498" s="40">
        <v>0</v>
      </c>
      <c r="G498" s="40">
        <v>0</v>
      </c>
      <c r="H498" s="40"/>
      <c r="I498" s="40">
        <v>0</v>
      </c>
      <c r="J498" s="68"/>
    </row>
    <row r="499" spans="1:10" x14ac:dyDescent="0.25">
      <c r="A499" s="49"/>
      <c r="B499" s="49" t="s">
        <v>36</v>
      </c>
      <c r="C499" s="40">
        <v>0</v>
      </c>
      <c r="D499" s="40">
        <v>0</v>
      </c>
      <c r="E499" s="40">
        <v>0</v>
      </c>
      <c r="F499" s="40">
        <v>0</v>
      </c>
      <c r="G499" s="40">
        <v>0</v>
      </c>
      <c r="H499" s="40"/>
      <c r="I499" s="40">
        <v>0</v>
      </c>
      <c r="J499" s="68"/>
    </row>
    <row r="500" spans="1:10" x14ac:dyDescent="0.25">
      <c r="A500" s="49"/>
      <c r="B500" s="49" t="s">
        <v>36</v>
      </c>
      <c r="C500" s="40">
        <v>0</v>
      </c>
      <c r="D500" s="40">
        <v>0</v>
      </c>
      <c r="E500" s="40">
        <v>0</v>
      </c>
      <c r="F500" s="40">
        <v>0</v>
      </c>
      <c r="G500" s="40">
        <v>0</v>
      </c>
      <c r="H500" s="40"/>
      <c r="I500" s="40">
        <v>0</v>
      </c>
      <c r="J500" s="68"/>
    </row>
    <row r="501" spans="1:10" x14ac:dyDescent="0.25">
      <c r="A501" s="49"/>
      <c r="B501" s="49" t="s">
        <v>36</v>
      </c>
      <c r="C501" s="40">
        <v>0</v>
      </c>
      <c r="D501" s="40">
        <v>0</v>
      </c>
      <c r="E501" s="40">
        <v>0</v>
      </c>
      <c r="F501" s="40">
        <v>0</v>
      </c>
      <c r="G501" s="40">
        <v>0</v>
      </c>
      <c r="H501" s="40"/>
      <c r="I501" s="40">
        <v>0</v>
      </c>
      <c r="J501" s="68"/>
    </row>
    <row r="502" spans="1:10" x14ac:dyDescent="0.25">
      <c r="A502" s="49"/>
      <c r="B502" s="49" t="s">
        <v>36</v>
      </c>
      <c r="C502" s="40">
        <v>0</v>
      </c>
      <c r="D502" s="40">
        <v>0</v>
      </c>
      <c r="E502" s="40">
        <v>0</v>
      </c>
      <c r="F502" s="40">
        <v>0</v>
      </c>
      <c r="G502" s="40">
        <v>0</v>
      </c>
      <c r="H502" s="40"/>
      <c r="I502" s="40">
        <v>0</v>
      </c>
      <c r="J502" s="68"/>
    </row>
    <row r="503" spans="1:10" x14ac:dyDescent="0.25">
      <c r="A503" s="49"/>
      <c r="B503" s="49" t="s">
        <v>36</v>
      </c>
      <c r="C503" s="40">
        <v>0</v>
      </c>
      <c r="D503" s="40">
        <v>0</v>
      </c>
      <c r="E503" s="40">
        <v>0</v>
      </c>
      <c r="F503" s="40">
        <v>0</v>
      </c>
      <c r="G503" s="40">
        <v>0</v>
      </c>
      <c r="H503" s="40"/>
      <c r="I503" s="40">
        <v>0</v>
      </c>
      <c r="J503" s="68"/>
    </row>
    <row r="504" spans="1:10" x14ac:dyDescent="0.25">
      <c r="A504" s="49"/>
      <c r="B504" s="49" t="s">
        <v>36</v>
      </c>
      <c r="C504" s="40">
        <v>0</v>
      </c>
      <c r="D504" s="40">
        <v>0</v>
      </c>
      <c r="E504" s="40">
        <v>0</v>
      </c>
      <c r="F504" s="40">
        <v>0</v>
      </c>
      <c r="G504" s="40">
        <v>0</v>
      </c>
      <c r="H504" s="40"/>
      <c r="I504" s="40">
        <v>0</v>
      </c>
      <c r="J504" s="68"/>
    </row>
    <row r="505" spans="1:10" x14ac:dyDescent="0.25">
      <c r="A505" s="49"/>
      <c r="B505" s="49" t="s">
        <v>36</v>
      </c>
      <c r="C505" s="40">
        <v>0</v>
      </c>
      <c r="D505" s="40">
        <v>0</v>
      </c>
      <c r="E505" s="40">
        <v>0</v>
      </c>
      <c r="F505" s="40">
        <v>0</v>
      </c>
      <c r="G505" s="40">
        <v>0</v>
      </c>
      <c r="H505" s="40"/>
      <c r="I505" s="40">
        <v>0</v>
      </c>
      <c r="J505" s="68"/>
    </row>
    <row r="506" spans="1:10" x14ac:dyDescent="0.25">
      <c r="A506" s="49"/>
      <c r="B506" s="49" t="s">
        <v>36</v>
      </c>
      <c r="C506" s="40">
        <v>0</v>
      </c>
      <c r="D506" s="40">
        <v>0</v>
      </c>
      <c r="E506" s="40">
        <v>0</v>
      </c>
      <c r="F506" s="40">
        <v>0</v>
      </c>
      <c r="G506" s="40">
        <v>0</v>
      </c>
      <c r="H506" s="40"/>
      <c r="I506" s="40">
        <v>0</v>
      </c>
      <c r="J506" s="68"/>
    </row>
    <row r="507" spans="1:10" x14ac:dyDescent="0.25">
      <c r="A507" s="49"/>
      <c r="B507" s="49" t="s">
        <v>36</v>
      </c>
      <c r="C507" s="40">
        <v>0</v>
      </c>
      <c r="D507" s="40">
        <v>0</v>
      </c>
      <c r="E507" s="40">
        <v>0</v>
      </c>
      <c r="F507" s="40">
        <v>0</v>
      </c>
      <c r="G507" s="40">
        <v>0</v>
      </c>
      <c r="H507" s="40"/>
      <c r="I507" s="40">
        <v>0</v>
      </c>
      <c r="J507" s="68"/>
    </row>
    <row r="508" spans="1:10" x14ac:dyDescent="0.25">
      <c r="A508" s="49"/>
      <c r="B508" s="49" t="s">
        <v>36</v>
      </c>
      <c r="C508" s="40">
        <v>0</v>
      </c>
      <c r="D508" s="40">
        <v>0</v>
      </c>
      <c r="E508" s="40">
        <v>0</v>
      </c>
      <c r="F508" s="40">
        <v>0</v>
      </c>
      <c r="G508" s="40">
        <v>0</v>
      </c>
      <c r="H508" s="40"/>
      <c r="I508" s="40">
        <v>0</v>
      </c>
      <c r="J508" s="68"/>
    </row>
    <row r="509" spans="1:10" x14ac:dyDescent="0.25">
      <c r="A509" s="49"/>
      <c r="B509" s="49" t="s">
        <v>36</v>
      </c>
      <c r="C509" s="40">
        <v>0</v>
      </c>
      <c r="D509" s="40">
        <v>0</v>
      </c>
      <c r="E509" s="40">
        <v>0</v>
      </c>
      <c r="F509" s="40">
        <v>0</v>
      </c>
      <c r="G509" s="40">
        <v>0</v>
      </c>
      <c r="H509" s="40"/>
      <c r="I509" s="40">
        <v>0</v>
      </c>
      <c r="J509" s="68"/>
    </row>
    <row r="510" spans="1:10" x14ac:dyDescent="0.25">
      <c r="A510" s="49"/>
      <c r="B510" s="49" t="s">
        <v>36</v>
      </c>
      <c r="C510" s="40">
        <v>0</v>
      </c>
      <c r="D510" s="40">
        <v>0</v>
      </c>
      <c r="E510" s="40">
        <v>0</v>
      </c>
      <c r="F510" s="40">
        <v>0</v>
      </c>
      <c r="G510" s="40">
        <v>0</v>
      </c>
      <c r="H510" s="40"/>
      <c r="I510" s="40">
        <v>0</v>
      </c>
      <c r="J510" s="68"/>
    </row>
    <row r="511" spans="1:10" x14ac:dyDescent="0.25">
      <c r="A511" s="49"/>
      <c r="B511" s="49" t="s">
        <v>36</v>
      </c>
      <c r="C511" s="40">
        <v>0</v>
      </c>
      <c r="D511" s="40">
        <v>0</v>
      </c>
      <c r="E511" s="40">
        <v>0</v>
      </c>
      <c r="F511" s="40">
        <v>0</v>
      </c>
      <c r="G511" s="40">
        <v>0</v>
      </c>
      <c r="H511" s="40"/>
      <c r="I511" s="40">
        <v>0</v>
      </c>
      <c r="J511" s="68"/>
    </row>
    <row r="512" spans="1:10" x14ac:dyDescent="0.25">
      <c r="A512" s="49"/>
      <c r="B512" s="49" t="s">
        <v>36</v>
      </c>
      <c r="C512" s="40">
        <v>0</v>
      </c>
      <c r="D512" s="40">
        <v>0</v>
      </c>
      <c r="E512" s="40">
        <v>0</v>
      </c>
      <c r="F512" s="40">
        <v>0</v>
      </c>
      <c r="G512" s="40">
        <v>0</v>
      </c>
      <c r="H512" s="40"/>
      <c r="I512" s="40">
        <v>0</v>
      </c>
      <c r="J512" s="68"/>
    </row>
    <row r="513" spans="1:10" x14ac:dyDescent="0.25">
      <c r="A513" s="49"/>
      <c r="B513" s="49" t="s">
        <v>36</v>
      </c>
      <c r="C513" s="40">
        <v>0</v>
      </c>
      <c r="D513" s="40">
        <v>0</v>
      </c>
      <c r="E513" s="40">
        <v>0</v>
      </c>
      <c r="F513" s="40">
        <v>0</v>
      </c>
      <c r="G513" s="40">
        <v>0</v>
      </c>
      <c r="H513" s="40"/>
      <c r="I513" s="40">
        <v>0</v>
      </c>
      <c r="J513" s="68"/>
    </row>
    <row r="514" spans="1:10" x14ac:dyDescent="0.25">
      <c r="A514" s="49"/>
      <c r="B514" s="49" t="s">
        <v>36</v>
      </c>
      <c r="C514" s="40">
        <v>0</v>
      </c>
      <c r="D514" s="40">
        <v>0</v>
      </c>
      <c r="E514" s="40">
        <v>0</v>
      </c>
      <c r="F514" s="40">
        <v>0</v>
      </c>
      <c r="G514" s="40">
        <v>0</v>
      </c>
      <c r="H514" s="40"/>
      <c r="I514" s="40">
        <v>0</v>
      </c>
      <c r="J514" s="68"/>
    </row>
    <row r="515" spans="1:10" x14ac:dyDescent="0.25">
      <c r="A515" s="49"/>
      <c r="B515" s="49" t="s">
        <v>36</v>
      </c>
      <c r="C515" s="40">
        <v>0</v>
      </c>
      <c r="D515" s="40">
        <v>0</v>
      </c>
      <c r="E515" s="40">
        <v>0</v>
      </c>
      <c r="F515" s="40">
        <v>0</v>
      </c>
      <c r="G515" s="40">
        <v>0</v>
      </c>
      <c r="H515" s="40"/>
      <c r="I515" s="40">
        <v>0</v>
      </c>
      <c r="J515" s="68"/>
    </row>
    <row r="516" spans="1:10" x14ac:dyDescent="0.25">
      <c r="A516" s="49"/>
      <c r="B516" s="49" t="s">
        <v>36</v>
      </c>
      <c r="C516" s="40">
        <v>0</v>
      </c>
      <c r="D516" s="40">
        <v>0</v>
      </c>
      <c r="E516" s="40">
        <v>0</v>
      </c>
      <c r="F516" s="40">
        <v>0</v>
      </c>
      <c r="G516" s="40">
        <v>0</v>
      </c>
      <c r="H516" s="40"/>
      <c r="I516" s="40">
        <v>0</v>
      </c>
      <c r="J516" s="68"/>
    </row>
    <row r="517" spans="1:10" x14ac:dyDescent="0.25">
      <c r="A517" s="49"/>
      <c r="B517" s="49" t="s">
        <v>36</v>
      </c>
      <c r="C517" s="40">
        <v>0</v>
      </c>
      <c r="D517" s="40">
        <v>0</v>
      </c>
      <c r="E517" s="40">
        <v>0</v>
      </c>
      <c r="F517" s="40">
        <v>0</v>
      </c>
      <c r="G517" s="40">
        <v>0</v>
      </c>
      <c r="H517" s="40"/>
      <c r="I517" s="40">
        <v>0</v>
      </c>
      <c r="J517" s="68"/>
    </row>
    <row r="518" spans="1:10" x14ac:dyDescent="0.25">
      <c r="A518" s="49"/>
      <c r="B518" s="49" t="s">
        <v>36</v>
      </c>
      <c r="C518" s="40">
        <v>0</v>
      </c>
      <c r="D518" s="40">
        <v>0</v>
      </c>
      <c r="E518" s="40">
        <v>0</v>
      </c>
      <c r="F518" s="40">
        <v>0</v>
      </c>
      <c r="G518" s="40">
        <v>0</v>
      </c>
      <c r="H518" s="40"/>
      <c r="I518" s="40">
        <v>0</v>
      </c>
      <c r="J518" s="68"/>
    </row>
    <row r="519" spans="1:10" x14ac:dyDescent="0.25">
      <c r="A519" s="49"/>
      <c r="B519" s="49" t="s">
        <v>36</v>
      </c>
      <c r="C519" s="40">
        <v>0</v>
      </c>
      <c r="D519" s="40">
        <v>0</v>
      </c>
      <c r="E519" s="40">
        <v>0</v>
      </c>
      <c r="F519" s="40">
        <v>0</v>
      </c>
      <c r="G519" s="40">
        <v>0</v>
      </c>
      <c r="H519" s="40"/>
      <c r="I519" s="40">
        <v>0</v>
      </c>
      <c r="J519" s="68"/>
    </row>
    <row r="520" spans="1:10" x14ac:dyDescent="0.25">
      <c r="A520" s="49"/>
      <c r="B520" s="49" t="s">
        <v>36</v>
      </c>
      <c r="C520" s="40">
        <v>0</v>
      </c>
      <c r="D520" s="40">
        <v>0</v>
      </c>
      <c r="E520" s="40">
        <v>0</v>
      </c>
      <c r="F520" s="40">
        <v>0</v>
      </c>
      <c r="G520" s="40">
        <v>0</v>
      </c>
      <c r="H520" s="40"/>
      <c r="I520" s="40">
        <v>0</v>
      </c>
      <c r="J520" s="68"/>
    </row>
    <row r="521" spans="1:10" x14ac:dyDescent="0.25">
      <c r="A521" s="49"/>
      <c r="B521" s="49" t="s">
        <v>36</v>
      </c>
      <c r="C521" s="40">
        <v>0</v>
      </c>
      <c r="D521" s="40">
        <v>0</v>
      </c>
      <c r="E521" s="40">
        <v>0</v>
      </c>
      <c r="F521" s="40">
        <v>0</v>
      </c>
      <c r="G521" s="40">
        <v>0</v>
      </c>
      <c r="H521" s="40"/>
      <c r="I521" s="40">
        <v>0</v>
      </c>
      <c r="J521" s="68"/>
    </row>
    <row r="522" spans="1:10" x14ac:dyDescent="0.25">
      <c r="A522" s="49"/>
      <c r="B522" s="49" t="s">
        <v>36</v>
      </c>
      <c r="C522" s="40">
        <v>0</v>
      </c>
      <c r="D522" s="40">
        <v>0</v>
      </c>
      <c r="E522" s="40">
        <v>0</v>
      </c>
      <c r="F522" s="40">
        <v>0</v>
      </c>
      <c r="G522" s="40">
        <v>0</v>
      </c>
      <c r="H522" s="40"/>
      <c r="I522" s="40">
        <v>0</v>
      </c>
      <c r="J522" s="68"/>
    </row>
    <row r="523" spans="1:10" x14ac:dyDescent="0.25">
      <c r="A523" s="49"/>
      <c r="B523" s="49" t="s">
        <v>36</v>
      </c>
      <c r="C523" s="40">
        <v>0</v>
      </c>
      <c r="D523" s="40">
        <v>0</v>
      </c>
      <c r="E523" s="40">
        <v>0</v>
      </c>
      <c r="F523" s="40">
        <v>0</v>
      </c>
      <c r="G523" s="40">
        <v>0</v>
      </c>
      <c r="H523" s="40"/>
      <c r="I523" s="40">
        <v>0</v>
      </c>
      <c r="J523" s="68"/>
    </row>
    <row r="524" spans="1:10" x14ac:dyDescent="0.25">
      <c r="A524" s="49"/>
      <c r="B524" s="49" t="s">
        <v>36</v>
      </c>
      <c r="C524" s="40">
        <v>0</v>
      </c>
      <c r="D524" s="40">
        <v>0</v>
      </c>
      <c r="E524" s="40">
        <v>0</v>
      </c>
      <c r="F524" s="40">
        <v>0</v>
      </c>
      <c r="G524" s="40">
        <v>0</v>
      </c>
      <c r="H524" s="40"/>
      <c r="I524" s="40">
        <v>0</v>
      </c>
      <c r="J524" s="68"/>
    </row>
    <row r="525" spans="1:10" x14ac:dyDescent="0.25">
      <c r="A525" s="49"/>
      <c r="B525" s="49" t="s">
        <v>36</v>
      </c>
      <c r="C525" s="40">
        <v>0</v>
      </c>
      <c r="D525" s="40">
        <v>0</v>
      </c>
      <c r="E525" s="40">
        <v>0</v>
      </c>
      <c r="F525" s="40">
        <v>0</v>
      </c>
      <c r="G525" s="40">
        <v>0</v>
      </c>
      <c r="H525" s="40"/>
      <c r="I525" s="40">
        <v>0</v>
      </c>
      <c r="J525" s="68"/>
    </row>
    <row r="526" spans="1:10" x14ac:dyDescent="0.25">
      <c r="A526" s="49"/>
      <c r="B526" s="49" t="s">
        <v>36</v>
      </c>
      <c r="C526" s="40">
        <v>0</v>
      </c>
      <c r="D526" s="40">
        <v>0</v>
      </c>
      <c r="E526" s="40">
        <v>0</v>
      </c>
      <c r="F526" s="40">
        <v>0</v>
      </c>
      <c r="G526" s="40">
        <v>0</v>
      </c>
      <c r="H526" s="40"/>
      <c r="I526" s="40">
        <v>0</v>
      </c>
      <c r="J526" s="68"/>
    </row>
    <row r="527" spans="1:10" x14ac:dyDescent="0.25">
      <c r="A527" s="49"/>
      <c r="B527" s="49" t="s">
        <v>36</v>
      </c>
      <c r="C527" s="40">
        <v>0</v>
      </c>
      <c r="D527" s="40">
        <v>0</v>
      </c>
      <c r="E527" s="40">
        <v>0</v>
      </c>
      <c r="F527" s="40">
        <v>0</v>
      </c>
      <c r="G527" s="40">
        <v>0</v>
      </c>
      <c r="H527" s="40"/>
      <c r="I527" s="40">
        <v>0</v>
      </c>
      <c r="J527" s="68"/>
    </row>
    <row r="528" spans="1:10" x14ac:dyDescent="0.25">
      <c r="A528" s="49"/>
      <c r="B528" s="49" t="s">
        <v>36</v>
      </c>
      <c r="C528" s="40">
        <v>0</v>
      </c>
      <c r="D528" s="40">
        <v>0</v>
      </c>
      <c r="E528" s="40">
        <v>0</v>
      </c>
      <c r="F528" s="40">
        <v>0</v>
      </c>
      <c r="G528" s="40">
        <v>0</v>
      </c>
      <c r="H528" s="40"/>
      <c r="I528" s="40">
        <v>0</v>
      </c>
      <c r="J528" s="68"/>
    </row>
    <row r="529" spans="1:10" x14ac:dyDescent="0.25">
      <c r="A529" s="49"/>
      <c r="B529" s="49" t="s">
        <v>36</v>
      </c>
      <c r="C529" s="40">
        <v>0</v>
      </c>
      <c r="D529" s="40">
        <v>0</v>
      </c>
      <c r="E529" s="40">
        <v>0</v>
      </c>
      <c r="F529" s="40">
        <v>0</v>
      </c>
      <c r="G529" s="40">
        <v>0</v>
      </c>
      <c r="H529" s="40"/>
      <c r="I529" s="40">
        <v>0</v>
      </c>
      <c r="J529" s="68"/>
    </row>
    <row r="530" spans="1:10" x14ac:dyDescent="0.25">
      <c r="A530" s="49"/>
      <c r="B530" s="49" t="s">
        <v>36</v>
      </c>
      <c r="C530" s="40">
        <v>0</v>
      </c>
      <c r="D530" s="40">
        <v>0</v>
      </c>
      <c r="E530" s="40">
        <v>0</v>
      </c>
      <c r="F530" s="40">
        <v>0</v>
      </c>
      <c r="G530" s="40">
        <v>0</v>
      </c>
      <c r="H530" s="40"/>
      <c r="I530" s="40">
        <v>0</v>
      </c>
      <c r="J530" s="68"/>
    </row>
    <row r="531" spans="1:10" x14ac:dyDescent="0.25">
      <c r="A531" s="49"/>
      <c r="B531" s="49" t="s">
        <v>36</v>
      </c>
      <c r="C531" s="40">
        <v>0</v>
      </c>
      <c r="D531" s="40">
        <v>0</v>
      </c>
      <c r="E531" s="40">
        <v>0</v>
      </c>
      <c r="F531" s="40">
        <v>0</v>
      </c>
      <c r="G531" s="40">
        <v>0</v>
      </c>
      <c r="H531" s="40"/>
      <c r="I531" s="40">
        <v>0</v>
      </c>
      <c r="J531" s="68"/>
    </row>
    <row r="532" spans="1:10" x14ac:dyDescent="0.25">
      <c r="A532" s="49"/>
      <c r="B532" s="49" t="s">
        <v>36</v>
      </c>
      <c r="C532" s="40">
        <v>0</v>
      </c>
      <c r="D532" s="40">
        <v>0</v>
      </c>
      <c r="E532" s="40">
        <v>0</v>
      </c>
      <c r="F532" s="40">
        <v>0</v>
      </c>
      <c r="G532" s="40">
        <v>0</v>
      </c>
      <c r="H532" s="40"/>
      <c r="I532" s="40">
        <v>0</v>
      </c>
      <c r="J532" s="68"/>
    </row>
    <row r="533" spans="1:10" x14ac:dyDescent="0.25">
      <c r="A533" s="49"/>
      <c r="B533" s="49" t="s">
        <v>36</v>
      </c>
      <c r="C533" s="40">
        <v>0</v>
      </c>
      <c r="D533" s="40">
        <v>0</v>
      </c>
      <c r="E533" s="40">
        <v>0</v>
      </c>
      <c r="F533" s="40">
        <v>0</v>
      </c>
      <c r="G533" s="40">
        <v>0</v>
      </c>
      <c r="H533" s="40"/>
      <c r="I533" s="40">
        <v>0</v>
      </c>
      <c r="J533" s="68"/>
    </row>
    <row r="534" spans="1:10" x14ac:dyDescent="0.25">
      <c r="A534" s="49"/>
      <c r="B534" s="49" t="s">
        <v>36</v>
      </c>
      <c r="C534" s="40">
        <v>0</v>
      </c>
      <c r="D534" s="40">
        <v>0</v>
      </c>
      <c r="E534" s="40">
        <v>0</v>
      </c>
      <c r="F534" s="40">
        <v>0</v>
      </c>
      <c r="G534" s="40">
        <v>0</v>
      </c>
      <c r="H534" s="40"/>
      <c r="I534" s="40">
        <v>0</v>
      </c>
      <c r="J534" s="68"/>
    </row>
    <row r="535" spans="1:10" x14ac:dyDescent="0.25">
      <c r="A535" s="49"/>
      <c r="B535" s="49" t="s">
        <v>36</v>
      </c>
      <c r="C535" s="40">
        <v>0</v>
      </c>
      <c r="D535" s="40">
        <v>0</v>
      </c>
      <c r="E535" s="40">
        <v>0</v>
      </c>
      <c r="F535" s="40">
        <v>0</v>
      </c>
      <c r="G535" s="40">
        <v>0</v>
      </c>
      <c r="H535" s="40"/>
      <c r="I535" s="40">
        <v>0</v>
      </c>
      <c r="J535" s="68"/>
    </row>
    <row r="536" spans="1:10" x14ac:dyDescent="0.25">
      <c r="A536" s="49"/>
      <c r="B536" s="49" t="s">
        <v>36</v>
      </c>
      <c r="C536" s="40">
        <v>0</v>
      </c>
      <c r="D536" s="40">
        <v>0</v>
      </c>
      <c r="E536" s="40">
        <v>0</v>
      </c>
      <c r="F536" s="40">
        <v>0</v>
      </c>
      <c r="G536" s="40">
        <v>0</v>
      </c>
      <c r="H536" s="40"/>
      <c r="I536" s="40">
        <v>0</v>
      </c>
      <c r="J536" s="68"/>
    </row>
    <row r="537" spans="1:10" x14ac:dyDescent="0.25">
      <c r="A537" s="49"/>
      <c r="B537" s="49" t="s">
        <v>36</v>
      </c>
      <c r="C537" s="40">
        <v>0</v>
      </c>
      <c r="D537" s="40">
        <v>0</v>
      </c>
      <c r="E537" s="40">
        <v>0</v>
      </c>
      <c r="F537" s="40">
        <v>0</v>
      </c>
      <c r="G537" s="40">
        <v>0</v>
      </c>
      <c r="H537" s="40"/>
      <c r="I537" s="40">
        <v>0</v>
      </c>
      <c r="J537" s="68"/>
    </row>
    <row r="538" spans="1:10" x14ac:dyDescent="0.25">
      <c r="A538" s="49"/>
      <c r="B538" s="49" t="s">
        <v>36</v>
      </c>
      <c r="C538" s="40">
        <v>0</v>
      </c>
      <c r="D538" s="40">
        <v>0</v>
      </c>
      <c r="E538" s="40">
        <v>0</v>
      </c>
      <c r="F538" s="40">
        <v>0</v>
      </c>
      <c r="G538" s="40">
        <v>0</v>
      </c>
      <c r="H538" s="40"/>
      <c r="I538" s="40">
        <v>0</v>
      </c>
      <c r="J538" s="68"/>
    </row>
    <row r="539" spans="1:10" x14ac:dyDescent="0.25">
      <c r="A539" s="49"/>
      <c r="B539" s="49" t="s">
        <v>36</v>
      </c>
      <c r="C539" s="40">
        <v>0</v>
      </c>
      <c r="D539" s="40">
        <v>0</v>
      </c>
      <c r="E539" s="40">
        <v>0</v>
      </c>
      <c r="F539" s="40">
        <v>0</v>
      </c>
      <c r="G539" s="40">
        <v>0</v>
      </c>
      <c r="H539" s="40"/>
      <c r="I539" s="40">
        <v>0</v>
      </c>
      <c r="J539" s="68"/>
    </row>
    <row r="540" spans="1:10" x14ac:dyDescent="0.25">
      <c r="A540" s="49"/>
      <c r="B540" s="49" t="s">
        <v>36</v>
      </c>
      <c r="C540" s="40">
        <v>0</v>
      </c>
      <c r="D540" s="40">
        <v>0</v>
      </c>
      <c r="E540" s="40">
        <v>0</v>
      </c>
      <c r="F540" s="40">
        <v>0</v>
      </c>
      <c r="G540" s="40">
        <v>0</v>
      </c>
      <c r="H540" s="40"/>
      <c r="I540" s="40">
        <v>0</v>
      </c>
      <c r="J540" s="68"/>
    </row>
    <row r="541" spans="1:10" x14ac:dyDescent="0.25">
      <c r="A541" s="49"/>
      <c r="B541" s="49" t="s">
        <v>36</v>
      </c>
      <c r="C541" s="40">
        <v>0</v>
      </c>
      <c r="D541" s="40">
        <v>0</v>
      </c>
      <c r="E541" s="40">
        <v>0</v>
      </c>
      <c r="F541" s="40">
        <v>0</v>
      </c>
      <c r="G541" s="40">
        <v>0</v>
      </c>
      <c r="H541" s="40"/>
      <c r="I541" s="40">
        <v>0</v>
      </c>
      <c r="J541" s="68"/>
    </row>
    <row r="542" spans="1:10" x14ac:dyDescent="0.25">
      <c r="A542" s="49"/>
      <c r="B542" s="49" t="s">
        <v>36</v>
      </c>
      <c r="C542" s="40">
        <v>0</v>
      </c>
      <c r="D542" s="40">
        <v>0</v>
      </c>
      <c r="E542" s="40">
        <v>0</v>
      </c>
      <c r="F542" s="40">
        <v>0</v>
      </c>
      <c r="G542" s="40">
        <v>0</v>
      </c>
      <c r="H542" s="40"/>
      <c r="I542" s="40">
        <v>0</v>
      </c>
      <c r="J542" s="68"/>
    </row>
    <row r="543" spans="1:10" x14ac:dyDescent="0.25">
      <c r="A543" s="49"/>
      <c r="B543" s="49" t="s">
        <v>36</v>
      </c>
      <c r="C543" s="40">
        <v>0</v>
      </c>
      <c r="D543" s="40">
        <v>0</v>
      </c>
      <c r="E543" s="40">
        <v>0</v>
      </c>
      <c r="F543" s="40">
        <v>0</v>
      </c>
      <c r="G543" s="40">
        <v>0</v>
      </c>
      <c r="H543" s="40"/>
      <c r="I543" s="40">
        <v>0</v>
      </c>
      <c r="J543" s="68"/>
    </row>
    <row r="544" spans="1:10" x14ac:dyDescent="0.25">
      <c r="A544" s="49"/>
      <c r="B544" s="49" t="s">
        <v>36</v>
      </c>
      <c r="C544" s="40">
        <v>0</v>
      </c>
      <c r="D544" s="40">
        <v>0</v>
      </c>
      <c r="E544" s="40">
        <v>0</v>
      </c>
      <c r="F544" s="40">
        <v>0</v>
      </c>
      <c r="G544" s="40">
        <v>0</v>
      </c>
      <c r="H544" s="40"/>
      <c r="I544" s="40">
        <v>0</v>
      </c>
      <c r="J544" s="68"/>
    </row>
    <row r="545" spans="1:10" x14ac:dyDescent="0.25">
      <c r="A545" s="49"/>
      <c r="B545" s="49" t="s">
        <v>36</v>
      </c>
      <c r="C545" s="40">
        <v>0</v>
      </c>
      <c r="D545" s="40">
        <v>0</v>
      </c>
      <c r="E545" s="40">
        <v>0</v>
      </c>
      <c r="F545" s="40">
        <v>0</v>
      </c>
      <c r="G545" s="40">
        <v>0</v>
      </c>
      <c r="H545" s="40"/>
      <c r="I545" s="40">
        <v>0</v>
      </c>
      <c r="J545" s="68"/>
    </row>
    <row r="546" spans="1:10" x14ac:dyDescent="0.25">
      <c r="A546" s="49"/>
      <c r="B546" s="49" t="s">
        <v>36</v>
      </c>
      <c r="C546" s="40">
        <v>0</v>
      </c>
      <c r="D546" s="40">
        <v>0</v>
      </c>
      <c r="E546" s="40">
        <v>0</v>
      </c>
      <c r="F546" s="40">
        <v>0</v>
      </c>
      <c r="G546" s="40">
        <v>0</v>
      </c>
      <c r="H546" s="40"/>
      <c r="I546" s="40">
        <v>0</v>
      </c>
      <c r="J546" s="68"/>
    </row>
    <row r="547" spans="1:10" x14ac:dyDescent="0.25">
      <c r="A547" s="49"/>
      <c r="B547" s="49" t="s">
        <v>36</v>
      </c>
      <c r="C547" s="40">
        <v>0</v>
      </c>
      <c r="D547" s="40">
        <v>0</v>
      </c>
      <c r="E547" s="40">
        <v>0</v>
      </c>
      <c r="F547" s="40">
        <v>0</v>
      </c>
      <c r="G547" s="40">
        <v>0</v>
      </c>
      <c r="H547" s="40"/>
      <c r="I547" s="40">
        <v>0</v>
      </c>
      <c r="J547" s="68"/>
    </row>
    <row r="548" spans="1:10" x14ac:dyDescent="0.25">
      <c r="A548" s="49"/>
      <c r="B548" s="49" t="s">
        <v>36</v>
      </c>
      <c r="C548" s="40">
        <v>0</v>
      </c>
      <c r="D548" s="40">
        <v>0</v>
      </c>
      <c r="E548" s="40">
        <v>0</v>
      </c>
      <c r="F548" s="40">
        <v>0</v>
      </c>
      <c r="G548" s="40">
        <v>0</v>
      </c>
      <c r="H548" s="40"/>
      <c r="I548" s="40">
        <v>0</v>
      </c>
      <c r="J548" s="68"/>
    </row>
    <row r="549" spans="1:10" x14ac:dyDescent="0.25">
      <c r="A549" s="49"/>
      <c r="B549" s="49" t="s">
        <v>36</v>
      </c>
      <c r="C549" s="40">
        <v>0</v>
      </c>
      <c r="D549" s="40">
        <v>0</v>
      </c>
      <c r="E549" s="40">
        <v>0</v>
      </c>
      <c r="F549" s="40">
        <v>0</v>
      </c>
      <c r="G549" s="40">
        <v>0</v>
      </c>
      <c r="H549" s="40"/>
      <c r="I549" s="40">
        <v>0</v>
      </c>
      <c r="J549" s="68"/>
    </row>
    <row r="550" spans="1:10" x14ac:dyDescent="0.25">
      <c r="A550" s="49"/>
      <c r="B550" s="49" t="s">
        <v>36</v>
      </c>
      <c r="C550" s="40">
        <v>0</v>
      </c>
      <c r="D550" s="40">
        <v>0</v>
      </c>
      <c r="E550" s="40">
        <v>0</v>
      </c>
      <c r="F550" s="40">
        <v>0</v>
      </c>
      <c r="G550" s="40">
        <v>0</v>
      </c>
      <c r="H550" s="40"/>
      <c r="I550" s="40">
        <v>0</v>
      </c>
      <c r="J550" s="68"/>
    </row>
    <row r="551" spans="1:10" x14ac:dyDescent="0.25">
      <c r="A551" s="49"/>
      <c r="B551" s="49" t="s">
        <v>36</v>
      </c>
      <c r="C551" s="40">
        <v>0</v>
      </c>
      <c r="D551" s="40">
        <v>0</v>
      </c>
      <c r="E551" s="40">
        <v>0</v>
      </c>
      <c r="F551" s="40">
        <v>0</v>
      </c>
      <c r="G551" s="40">
        <v>0</v>
      </c>
      <c r="H551" s="40"/>
      <c r="I551" s="40">
        <v>0</v>
      </c>
      <c r="J551" s="68"/>
    </row>
    <row r="552" spans="1:10" x14ac:dyDescent="0.25">
      <c r="A552" s="49"/>
      <c r="B552" s="49" t="s">
        <v>36</v>
      </c>
      <c r="C552" s="40">
        <v>0</v>
      </c>
      <c r="D552" s="40">
        <v>0</v>
      </c>
      <c r="E552" s="40">
        <v>0</v>
      </c>
      <c r="F552" s="40">
        <v>0</v>
      </c>
      <c r="G552" s="40">
        <v>0</v>
      </c>
      <c r="H552" s="40"/>
      <c r="I552" s="40">
        <v>0</v>
      </c>
      <c r="J552" s="68"/>
    </row>
    <row r="553" spans="1:10" x14ac:dyDescent="0.25">
      <c r="A553" s="49"/>
      <c r="B553" s="49" t="s">
        <v>36</v>
      </c>
      <c r="C553" s="40">
        <v>0</v>
      </c>
      <c r="D553" s="40">
        <v>0</v>
      </c>
      <c r="E553" s="40">
        <v>0</v>
      </c>
      <c r="F553" s="40">
        <v>0</v>
      </c>
      <c r="G553" s="40">
        <v>0</v>
      </c>
      <c r="H553" s="40"/>
      <c r="I553" s="40">
        <v>0</v>
      </c>
      <c r="J553" s="68"/>
    </row>
    <row r="554" spans="1:10" x14ac:dyDescent="0.25">
      <c r="A554" s="49"/>
      <c r="B554" s="49" t="s">
        <v>36</v>
      </c>
      <c r="C554" s="40">
        <v>0</v>
      </c>
      <c r="D554" s="40">
        <v>0</v>
      </c>
      <c r="E554" s="40">
        <v>0</v>
      </c>
      <c r="F554" s="40">
        <v>0</v>
      </c>
      <c r="G554" s="40">
        <v>0</v>
      </c>
      <c r="H554" s="40"/>
      <c r="I554" s="40">
        <v>0</v>
      </c>
      <c r="J554" s="68"/>
    </row>
    <row r="555" spans="1:10" x14ac:dyDescent="0.25">
      <c r="A555" s="49"/>
      <c r="B555" s="49" t="s">
        <v>36</v>
      </c>
      <c r="C555" s="40">
        <v>0</v>
      </c>
      <c r="D555" s="40">
        <v>0</v>
      </c>
      <c r="E555" s="40">
        <v>0</v>
      </c>
      <c r="F555" s="40">
        <v>0</v>
      </c>
      <c r="G555" s="40">
        <v>0</v>
      </c>
      <c r="H555" s="40"/>
      <c r="I555" s="40">
        <v>0</v>
      </c>
      <c r="J555" s="68"/>
    </row>
    <row r="556" spans="1:10" x14ac:dyDescent="0.25">
      <c r="A556" s="49"/>
      <c r="B556" s="49" t="s">
        <v>36</v>
      </c>
      <c r="C556" s="40">
        <v>0</v>
      </c>
      <c r="D556" s="40">
        <v>0</v>
      </c>
      <c r="E556" s="40">
        <v>0</v>
      </c>
      <c r="F556" s="40">
        <v>0</v>
      </c>
      <c r="G556" s="40">
        <v>0</v>
      </c>
      <c r="H556" s="40"/>
      <c r="I556" s="40">
        <v>0</v>
      </c>
      <c r="J556" s="68"/>
    </row>
    <row r="557" spans="1:10" x14ac:dyDescent="0.25">
      <c r="A557" s="49"/>
      <c r="B557" s="49" t="s">
        <v>36</v>
      </c>
      <c r="C557" s="40">
        <v>0</v>
      </c>
      <c r="D557" s="40">
        <v>0</v>
      </c>
      <c r="E557" s="40">
        <v>0</v>
      </c>
      <c r="F557" s="40">
        <v>0</v>
      </c>
      <c r="G557" s="40">
        <v>0</v>
      </c>
      <c r="H557" s="40"/>
      <c r="I557" s="40">
        <v>0</v>
      </c>
      <c r="J557" s="68"/>
    </row>
    <row r="558" spans="1:10" x14ac:dyDescent="0.25">
      <c r="A558" s="49"/>
      <c r="B558" s="49" t="s">
        <v>36</v>
      </c>
      <c r="C558" s="40">
        <v>0</v>
      </c>
      <c r="D558" s="40">
        <v>0</v>
      </c>
      <c r="E558" s="40">
        <v>0</v>
      </c>
      <c r="F558" s="40">
        <v>0</v>
      </c>
      <c r="G558" s="40">
        <v>0</v>
      </c>
      <c r="H558" s="40"/>
      <c r="I558" s="40">
        <v>0</v>
      </c>
      <c r="J558" s="68"/>
    </row>
    <row r="559" spans="1:10" x14ac:dyDescent="0.25">
      <c r="A559" s="49"/>
      <c r="B559" s="49" t="s">
        <v>36</v>
      </c>
      <c r="C559" s="40">
        <v>0</v>
      </c>
      <c r="D559" s="40">
        <v>0</v>
      </c>
      <c r="E559" s="40">
        <v>0</v>
      </c>
      <c r="F559" s="40">
        <v>0</v>
      </c>
      <c r="G559" s="40">
        <v>0</v>
      </c>
      <c r="H559" s="40"/>
      <c r="I559" s="40">
        <v>0</v>
      </c>
      <c r="J559" s="68"/>
    </row>
    <row r="560" spans="1:10" x14ac:dyDescent="0.25">
      <c r="A560" s="49"/>
      <c r="B560" s="49" t="s">
        <v>36</v>
      </c>
      <c r="C560" s="40">
        <v>0</v>
      </c>
      <c r="D560" s="40">
        <v>0</v>
      </c>
      <c r="E560" s="40">
        <v>0</v>
      </c>
      <c r="F560" s="40">
        <v>0</v>
      </c>
      <c r="G560" s="40">
        <v>0</v>
      </c>
      <c r="H560" s="40"/>
      <c r="I560" s="40">
        <v>0</v>
      </c>
      <c r="J560" s="68"/>
    </row>
    <row r="561" spans="1:10" x14ac:dyDescent="0.25">
      <c r="A561" s="49"/>
      <c r="B561" s="49" t="s">
        <v>36</v>
      </c>
      <c r="C561" s="40">
        <v>0</v>
      </c>
      <c r="D561" s="40">
        <v>0</v>
      </c>
      <c r="E561" s="40">
        <v>0</v>
      </c>
      <c r="F561" s="40">
        <v>0</v>
      </c>
      <c r="G561" s="40">
        <v>0</v>
      </c>
      <c r="H561" s="40"/>
      <c r="I561" s="40">
        <v>0</v>
      </c>
      <c r="J561" s="68"/>
    </row>
    <row r="562" spans="1:10" x14ac:dyDescent="0.25">
      <c r="A562" s="49"/>
      <c r="B562" s="49" t="s">
        <v>36</v>
      </c>
      <c r="C562" s="40">
        <v>0</v>
      </c>
      <c r="D562" s="40">
        <v>0</v>
      </c>
      <c r="E562" s="40">
        <v>0</v>
      </c>
      <c r="F562" s="40">
        <v>0</v>
      </c>
      <c r="G562" s="40">
        <v>0</v>
      </c>
      <c r="H562" s="40"/>
      <c r="I562" s="40">
        <v>0</v>
      </c>
      <c r="J562" s="68"/>
    </row>
    <row r="563" spans="1:10" x14ac:dyDescent="0.25">
      <c r="A563" s="49"/>
      <c r="B563" s="49" t="s">
        <v>36</v>
      </c>
      <c r="C563" s="40">
        <v>0</v>
      </c>
      <c r="D563" s="40">
        <v>0</v>
      </c>
      <c r="E563" s="40">
        <v>0</v>
      </c>
      <c r="F563" s="40">
        <v>0</v>
      </c>
      <c r="G563" s="40">
        <v>0</v>
      </c>
      <c r="H563" s="40"/>
      <c r="I563" s="40">
        <v>0</v>
      </c>
      <c r="J563" s="68"/>
    </row>
    <row r="564" spans="1:10" x14ac:dyDescent="0.25">
      <c r="A564" s="49"/>
      <c r="B564" s="49" t="s">
        <v>36</v>
      </c>
      <c r="C564" s="40">
        <v>0</v>
      </c>
      <c r="D564" s="40">
        <v>0</v>
      </c>
      <c r="E564" s="40">
        <v>0</v>
      </c>
      <c r="F564" s="40">
        <v>0</v>
      </c>
      <c r="G564" s="40">
        <v>0</v>
      </c>
      <c r="H564" s="40"/>
      <c r="I564" s="40">
        <v>0</v>
      </c>
      <c r="J564" s="68"/>
    </row>
    <row r="565" spans="1:10" x14ac:dyDescent="0.25">
      <c r="A565" s="49"/>
      <c r="B565" s="49" t="s">
        <v>36</v>
      </c>
      <c r="C565" s="40">
        <v>0</v>
      </c>
      <c r="D565" s="40">
        <v>0</v>
      </c>
      <c r="E565" s="40">
        <v>0</v>
      </c>
      <c r="F565" s="40">
        <v>0</v>
      </c>
      <c r="G565" s="40">
        <v>0</v>
      </c>
      <c r="H565" s="40"/>
      <c r="I565" s="40">
        <v>0</v>
      </c>
      <c r="J565" s="68"/>
    </row>
    <row r="566" spans="1:10" x14ac:dyDescent="0.25">
      <c r="A566" s="49"/>
      <c r="B566" s="49" t="s">
        <v>36</v>
      </c>
      <c r="C566" s="40">
        <v>0</v>
      </c>
      <c r="D566" s="40">
        <v>0</v>
      </c>
      <c r="E566" s="40">
        <v>0</v>
      </c>
      <c r="F566" s="40">
        <v>0</v>
      </c>
      <c r="G566" s="40">
        <v>0</v>
      </c>
      <c r="H566" s="40"/>
      <c r="I566" s="40">
        <v>0</v>
      </c>
      <c r="J566" s="68"/>
    </row>
    <row r="567" spans="1:10" x14ac:dyDescent="0.25">
      <c r="A567" s="49"/>
      <c r="B567" s="49" t="s">
        <v>36</v>
      </c>
      <c r="C567" s="40">
        <v>0</v>
      </c>
      <c r="D567" s="40">
        <v>0</v>
      </c>
      <c r="E567" s="40">
        <v>0</v>
      </c>
      <c r="F567" s="40">
        <v>0</v>
      </c>
      <c r="G567" s="40">
        <v>0</v>
      </c>
      <c r="H567" s="40"/>
      <c r="I567" s="40">
        <v>0</v>
      </c>
      <c r="J567" s="68"/>
    </row>
    <row r="568" spans="1:10" x14ac:dyDescent="0.25">
      <c r="A568" s="49"/>
      <c r="B568" s="49" t="s">
        <v>36</v>
      </c>
      <c r="C568" s="40">
        <v>0</v>
      </c>
      <c r="D568" s="40">
        <v>0</v>
      </c>
      <c r="E568" s="40">
        <v>0</v>
      </c>
      <c r="F568" s="40">
        <v>0</v>
      </c>
      <c r="G568" s="40">
        <v>0</v>
      </c>
      <c r="H568" s="40"/>
      <c r="I568" s="40">
        <v>0</v>
      </c>
      <c r="J568" s="68"/>
    </row>
    <row r="569" spans="1:10" x14ac:dyDescent="0.25">
      <c r="A569" s="49"/>
      <c r="B569" s="49" t="s">
        <v>36</v>
      </c>
      <c r="C569" s="40">
        <v>0</v>
      </c>
      <c r="D569" s="40">
        <v>0</v>
      </c>
      <c r="E569" s="40">
        <v>0</v>
      </c>
      <c r="F569" s="40">
        <v>0</v>
      </c>
      <c r="G569" s="40">
        <v>0</v>
      </c>
      <c r="H569" s="40"/>
      <c r="I569" s="40">
        <v>0</v>
      </c>
      <c r="J569" s="68"/>
    </row>
    <row r="570" spans="1:10" x14ac:dyDescent="0.25">
      <c r="A570" s="49"/>
      <c r="B570" s="49" t="s">
        <v>36</v>
      </c>
      <c r="C570" s="40">
        <v>0</v>
      </c>
      <c r="D570" s="40">
        <v>0</v>
      </c>
      <c r="E570" s="40">
        <v>0</v>
      </c>
      <c r="F570" s="40">
        <v>0</v>
      </c>
      <c r="G570" s="40">
        <v>0</v>
      </c>
      <c r="H570" s="40"/>
      <c r="I570" s="40">
        <v>0</v>
      </c>
      <c r="J570" s="68"/>
    </row>
    <row r="571" spans="1:10" x14ac:dyDescent="0.25">
      <c r="A571" s="49"/>
      <c r="B571" s="49" t="s">
        <v>36</v>
      </c>
      <c r="C571" s="40">
        <v>0</v>
      </c>
      <c r="D571" s="40">
        <v>0</v>
      </c>
      <c r="E571" s="40">
        <v>0</v>
      </c>
      <c r="F571" s="40">
        <v>0</v>
      </c>
      <c r="G571" s="40">
        <v>0</v>
      </c>
      <c r="H571" s="40"/>
      <c r="I571" s="40">
        <v>0</v>
      </c>
      <c r="J571" s="68"/>
    </row>
    <row r="572" spans="1:10" x14ac:dyDescent="0.25">
      <c r="A572" s="49"/>
      <c r="B572" s="49" t="s">
        <v>36</v>
      </c>
      <c r="C572" s="40">
        <v>0</v>
      </c>
      <c r="D572" s="40">
        <v>0</v>
      </c>
      <c r="E572" s="40">
        <v>0</v>
      </c>
      <c r="F572" s="40">
        <v>0</v>
      </c>
      <c r="G572" s="40">
        <v>0</v>
      </c>
      <c r="H572" s="40"/>
      <c r="I572" s="40">
        <v>0</v>
      </c>
      <c r="J572" s="68"/>
    </row>
    <row r="573" spans="1:10" x14ac:dyDescent="0.25">
      <c r="A573" s="49"/>
      <c r="B573" s="49"/>
      <c r="C573" s="40"/>
      <c r="D573" s="40"/>
      <c r="E573" s="40"/>
      <c r="F573" s="40"/>
      <c r="G573" s="40"/>
      <c r="H573" s="40"/>
      <c r="I573" s="40"/>
      <c r="J573" s="68"/>
    </row>
    <row r="574" spans="1:10" x14ac:dyDescent="0.25">
      <c r="A574" s="49"/>
      <c r="B574" s="49"/>
      <c r="C574" s="40"/>
      <c r="D574" s="40"/>
      <c r="E574" s="40"/>
      <c r="F574" s="40"/>
      <c r="G574" s="40"/>
      <c r="H574" s="40"/>
      <c r="I574" s="40"/>
      <c r="J574" s="68"/>
    </row>
    <row r="575" spans="1:10" x14ac:dyDescent="0.25">
      <c r="A575" s="49"/>
      <c r="B575" s="49"/>
      <c r="C575" s="40"/>
      <c r="D575" s="40"/>
      <c r="E575" s="40"/>
      <c r="F575" s="40"/>
      <c r="G575" s="40"/>
      <c r="H575" s="40"/>
      <c r="I575" s="40"/>
      <c r="J575" s="68"/>
    </row>
    <row r="576" spans="1:10" x14ac:dyDescent="0.25">
      <c r="A576" s="49"/>
      <c r="B576" s="49"/>
      <c r="C576" s="40"/>
      <c r="D576" s="40"/>
      <c r="E576" s="40"/>
      <c r="F576" s="40"/>
      <c r="G576" s="40"/>
      <c r="H576" s="40"/>
      <c r="I576" s="40"/>
      <c r="J576" s="68"/>
    </row>
    <row r="577" spans="1:10" x14ac:dyDescent="0.25">
      <c r="A577" s="49"/>
      <c r="B577" s="49"/>
      <c r="C577" s="40"/>
      <c r="D577" s="40"/>
      <c r="E577" s="40"/>
      <c r="F577" s="40"/>
      <c r="G577" s="40"/>
      <c r="H577" s="40"/>
      <c r="I577" s="40"/>
      <c r="J577" s="68"/>
    </row>
    <row r="578" spans="1:10" x14ac:dyDescent="0.25">
      <c r="A578" s="49"/>
      <c r="B578" s="49"/>
      <c r="C578" s="40"/>
      <c r="D578" s="40"/>
      <c r="E578" s="40"/>
      <c r="F578" s="40"/>
      <c r="G578" s="40"/>
      <c r="H578" s="40"/>
      <c r="I578" s="40"/>
      <c r="J578" s="68"/>
    </row>
    <row r="579" spans="1:10" x14ac:dyDescent="0.25">
      <c r="A579" s="49"/>
      <c r="B579" s="49"/>
      <c r="C579" s="40"/>
      <c r="D579" s="40"/>
      <c r="E579" s="40"/>
      <c r="F579" s="40"/>
      <c r="G579" s="40"/>
      <c r="H579" s="40"/>
      <c r="I579" s="40"/>
      <c r="J579" s="68"/>
    </row>
    <row r="580" spans="1:10" x14ac:dyDescent="0.25">
      <c r="A580" s="49"/>
      <c r="B580" s="49"/>
      <c r="C580" s="40"/>
      <c r="D580" s="40"/>
      <c r="E580" s="40"/>
      <c r="F580" s="40"/>
      <c r="G580" s="40"/>
      <c r="H580" s="40"/>
      <c r="I580" s="40"/>
      <c r="J580" s="68"/>
    </row>
    <row r="581" spans="1:10" x14ac:dyDescent="0.25">
      <c r="A581" s="49"/>
      <c r="B581" s="49"/>
      <c r="C581" s="40"/>
      <c r="D581" s="40"/>
      <c r="E581" s="40"/>
      <c r="F581" s="40"/>
      <c r="G581" s="40"/>
      <c r="H581" s="40"/>
      <c r="I581" s="40"/>
      <c r="J581" s="68"/>
    </row>
    <row r="582" spans="1:10" x14ac:dyDescent="0.25">
      <c r="A582" s="49"/>
      <c r="B582" s="49"/>
      <c r="C582" s="40"/>
      <c r="D582" s="40"/>
      <c r="E582" s="40"/>
      <c r="F582" s="40"/>
      <c r="G582" s="40"/>
      <c r="H582" s="40"/>
      <c r="I582" s="40"/>
      <c r="J582" s="68"/>
    </row>
    <row r="583" spans="1:10" x14ac:dyDescent="0.25">
      <c r="A583" s="49"/>
      <c r="B583" s="49"/>
      <c r="C583" s="40"/>
      <c r="D583" s="40"/>
      <c r="E583" s="40"/>
      <c r="F583" s="40"/>
      <c r="G583" s="40"/>
      <c r="H583" s="40"/>
      <c r="I583" s="40"/>
      <c r="J583" s="68"/>
    </row>
    <row r="584" spans="1:10" x14ac:dyDescent="0.25">
      <c r="A584" s="49"/>
      <c r="B584" s="49"/>
      <c r="C584" s="40"/>
      <c r="D584" s="40"/>
      <c r="E584" s="40"/>
      <c r="F584" s="40"/>
      <c r="G584" s="40"/>
      <c r="H584" s="40"/>
      <c r="I584" s="40"/>
      <c r="J584" s="68"/>
    </row>
    <row r="585" spans="1:10" x14ac:dyDescent="0.25">
      <c r="A585" s="49"/>
      <c r="B585" s="49"/>
      <c r="C585" s="40"/>
      <c r="D585" s="40"/>
      <c r="E585" s="40"/>
      <c r="F585" s="40"/>
      <c r="G585" s="40"/>
      <c r="H585" s="40"/>
      <c r="I585" s="40"/>
      <c r="J585" s="68"/>
    </row>
    <row r="586" spans="1:10" x14ac:dyDescent="0.25">
      <c r="A586" s="49"/>
      <c r="B586" s="49"/>
      <c r="C586" s="40"/>
      <c r="D586" s="40"/>
      <c r="E586" s="40"/>
      <c r="F586" s="40"/>
      <c r="G586" s="40"/>
      <c r="H586" s="40"/>
      <c r="I586" s="40"/>
      <c r="J586" s="68"/>
    </row>
    <row r="587" spans="1:10" x14ac:dyDescent="0.25">
      <c r="A587" s="49"/>
      <c r="B587" s="49"/>
      <c r="C587" s="40"/>
      <c r="D587" s="40"/>
      <c r="E587" s="40"/>
      <c r="F587" s="40"/>
      <c r="G587" s="40"/>
      <c r="H587" s="40"/>
      <c r="I587" s="40"/>
      <c r="J587" s="68"/>
    </row>
    <row r="588" spans="1:10" x14ac:dyDescent="0.25">
      <c r="A588" s="49"/>
      <c r="B588" s="49"/>
      <c r="C588" s="40"/>
      <c r="D588" s="40"/>
      <c r="E588" s="40"/>
      <c r="F588" s="40"/>
      <c r="G588" s="40"/>
      <c r="H588" s="40"/>
      <c r="I588" s="40"/>
      <c r="J588" s="68"/>
    </row>
    <row r="589" spans="1:10" x14ac:dyDescent="0.25">
      <c r="A589" s="49"/>
      <c r="B589" s="49"/>
      <c r="C589" s="40"/>
      <c r="D589" s="40"/>
      <c r="E589" s="40"/>
      <c r="F589" s="40"/>
      <c r="G589" s="40"/>
      <c r="H589" s="40"/>
      <c r="I589" s="40"/>
      <c r="J589" s="68"/>
    </row>
    <row r="590" spans="1:10" x14ac:dyDescent="0.25">
      <c r="A590" s="49"/>
      <c r="B590" s="49"/>
      <c r="C590" s="40"/>
      <c r="D590" s="40"/>
      <c r="E590" s="40"/>
      <c r="F590" s="40"/>
      <c r="G590" s="40"/>
      <c r="H590" s="40"/>
      <c r="I590" s="40"/>
      <c r="J590" s="68"/>
    </row>
    <row r="591" spans="1:10" x14ac:dyDescent="0.25">
      <c r="A591" s="49"/>
      <c r="B591" s="49"/>
      <c r="C591" s="40"/>
      <c r="D591" s="40"/>
      <c r="E591" s="40"/>
      <c r="F591" s="40"/>
      <c r="G591" s="40"/>
      <c r="H591" s="40"/>
      <c r="I591" s="40"/>
      <c r="J591" s="68"/>
    </row>
    <row r="592" spans="1:10" x14ac:dyDescent="0.25">
      <c r="A592" s="49"/>
      <c r="B592" s="49"/>
      <c r="C592" s="40"/>
      <c r="D592" s="40"/>
      <c r="E592" s="40"/>
      <c r="F592" s="40"/>
      <c r="G592" s="40"/>
      <c r="H592" s="40"/>
      <c r="I592" s="40"/>
      <c r="J592" s="68"/>
    </row>
    <row r="593" spans="1:10" x14ac:dyDescent="0.25">
      <c r="A593" s="49"/>
      <c r="B593" s="49"/>
      <c r="C593" s="40"/>
      <c r="D593" s="40"/>
      <c r="E593" s="40"/>
      <c r="F593" s="40"/>
      <c r="G593" s="40"/>
      <c r="H593" s="40"/>
      <c r="I593" s="40"/>
      <c r="J593" s="68"/>
    </row>
    <row r="594" spans="1:10" x14ac:dyDescent="0.25">
      <c r="A594" s="49"/>
      <c r="B594" s="49"/>
      <c r="C594" s="40"/>
      <c r="D594" s="40"/>
      <c r="E594" s="40"/>
      <c r="F594" s="40"/>
      <c r="G594" s="40"/>
      <c r="H594" s="40"/>
      <c r="I594" s="40"/>
      <c r="J594" s="68"/>
    </row>
    <row r="595" spans="1:10" x14ac:dyDescent="0.25">
      <c r="A595" s="49"/>
      <c r="B595" s="49"/>
      <c r="C595" s="40"/>
      <c r="D595" s="40"/>
      <c r="E595" s="40"/>
      <c r="F595" s="40"/>
      <c r="G595" s="40"/>
      <c r="H595" s="40"/>
      <c r="I595" s="40"/>
      <c r="J595" s="68"/>
    </row>
    <row r="596" spans="1:10" x14ac:dyDescent="0.25">
      <c r="A596" s="49"/>
      <c r="B596" s="49"/>
      <c r="C596" s="40"/>
      <c r="D596" s="40"/>
      <c r="E596" s="40"/>
      <c r="F596" s="40"/>
      <c r="G596" s="40"/>
      <c r="H596" s="40"/>
      <c r="I596" s="40"/>
      <c r="J596" s="68"/>
    </row>
    <row r="597" spans="1:10" x14ac:dyDescent="0.25">
      <c r="A597" s="49"/>
      <c r="B597" s="49"/>
      <c r="C597" s="40"/>
      <c r="D597" s="40"/>
      <c r="E597" s="40"/>
      <c r="F597" s="40"/>
      <c r="G597" s="40"/>
      <c r="H597" s="40"/>
      <c r="I597" s="40"/>
      <c r="J597" s="68"/>
    </row>
    <row r="598" spans="1:10" x14ac:dyDescent="0.25">
      <c r="A598" s="49"/>
      <c r="B598" s="49"/>
      <c r="C598" s="40"/>
      <c r="D598" s="40"/>
      <c r="E598" s="40"/>
      <c r="F598" s="40"/>
      <c r="G598" s="40"/>
      <c r="H598" s="40"/>
      <c r="I598" s="40"/>
      <c r="J598" s="68"/>
    </row>
    <row r="599" spans="1:10" x14ac:dyDescent="0.25">
      <c r="A599" s="49"/>
      <c r="B599" s="49"/>
      <c r="C599" s="40"/>
      <c r="D599" s="40"/>
      <c r="E599" s="40"/>
      <c r="F599" s="40"/>
      <c r="G599" s="40"/>
      <c r="H599" s="40"/>
      <c r="I599" s="40"/>
      <c r="J599" s="68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28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28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28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28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28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28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28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28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28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28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28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28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28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28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28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28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28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28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28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28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28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28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28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28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28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28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28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28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28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28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28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28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28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28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28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28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28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28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28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28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28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28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28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28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28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28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28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28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28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28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28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28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28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28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28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28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28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28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28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28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28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28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28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28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28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28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28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28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28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28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28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28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28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28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28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28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28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28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28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28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28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28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28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28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28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28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28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28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28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28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28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28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28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28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28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28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28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28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28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28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28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28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28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28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28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28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28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28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28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28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28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28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28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28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28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28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28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28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28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28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28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28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28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28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28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28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28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28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28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28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28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28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28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28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28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28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28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28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28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28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28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28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28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28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28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28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28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28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28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28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28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28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28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28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28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28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28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28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28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28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28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28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28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28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28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28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28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28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28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28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28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28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28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28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28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28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28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28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28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28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28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28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28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28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28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28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28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28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28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28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28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28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28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28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28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28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28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28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28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28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28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28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28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28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28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28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28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28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28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28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28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28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28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28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28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28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28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28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28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28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28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28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28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28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28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28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28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28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28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28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28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28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28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28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28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28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28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28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28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28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28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28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28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28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28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28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28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28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28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28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28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28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28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28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28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28"/>
    </row>
    <row r="856" spans="1:1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28"/>
    </row>
    <row r="857" spans="1:1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28"/>
    </row>
    <row r="858" spans="1:1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28"/>
    </row>
    <row r="859" spans="1:1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28"/>
    </row>
    <row r="860" spans="1:1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28"/>
    </row>
    <row r="861" spans="1:1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28"/>
    </row>
    <row r="862" spans="1:1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28"/>
    </row>
    <row r="863" spans="1:1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28"/>
    </row>
    <row r="864" spans="1:1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28"/>
    </row>
    <row r="865" spans="1:1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28"/>
    </row>
    <row r="866" spans="1:1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28"/>
    </row>
    <row r="867" spans="1:1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28"/>
    </row>
    <row r="868" spans="1:1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28"/>
    </row>
    <row r="869" spans="1:1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28"/>
    </row>
    <row r="870" spans="1:1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28"/>
    </row>
    <row r="871" spans="1:1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28"/>
    </row>
    <row r="872" spans="1:1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28"/>
    </row>
    <row r="873" spans="1:1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28"/>
    </row>
    <row r="874" spans="1:1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28"/>
    </row>
    <row r="875" spans="1:1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28"/>
    </row>
    <row r="876" spans="1:1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28"/>
    </row>
    <row r="877" spans="1:1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28"/>
    </row>
    <row r="878" spans="1:1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28"/>
    </row>
    <row r="879" spans="1:1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28"/>
    </row>
    <row r="880" spans="1:1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28"/>
    </row>
    <row r="881" spans="1:1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28"/>
    </row>
    <row r="882" spans="1:1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28"/>
    </row>
    <row r="883" spans="1:1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28"/>
    </row>
    <row r="884" spans="1:1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28"/>
    </row>
    <row r="885" spans="1:1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28"/>
    </row>
    <row r="886" spans="1:1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28"/>
    </row>
    <row r="887" spans="1:1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28"/>
    </row>
    <row r="888" spans="1:1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28"/>
    </row>
    <row r="889" spans="1:1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28"/>
    </row>
    <row r="890" spans="1:1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28"/>
    </row>
    <row r="891" spans="1:1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28"/>
    </row>
    <row r="892" spans="1:1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28"/>
    </row>
    <row r="893" spans="1:1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28"/>
    </row>
    <row r="894" spans="1:1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28"/>
    </row>
    <row r="895" spans="1:1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28"/>
    </row>
    <row r="896" spans="1:1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28"/>
    </row>
    <row r="897" spans="1:1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28"/>
    </row>
    <row r="898" spans="1:1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28"/>
    </row>
    <row r="899" spans="1:1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28"/>
    </row>
    <row r="900" spans="1:1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28"/>
    </row>
    <row r="901" spans="1:1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28"/>
    </row>
    <row r="902" spans="1:1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28"/>
    </row>
    <row r="903" spans="1:1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28"/>
    </row>
    <row r="904" spans="1:1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28"/>
    </row>
    <row r="905" spans="1:1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28"/>
    </row>
    <row r="906" spans="1:1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28"/>
    </row>
    <row r="907" spans="1:1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28"/>
    </row>
    <row r="908" spans="1:1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28"/>
    </row>
    <row r="909" spans="1:1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28"/>
    </row>
    <row r="910" spans="1:1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28"/>
    </row>
    <row r="911" spans="1:1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28"/>
    </row>
    <row r="912" spans="1:1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28"/>
    </row>
    <row r="913" spans="1:1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28"/>
    </row>
    <row r="914" spans="1:1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28"/>
    </row>
    <row r="915" spans="1:1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28"/>
    </row>
    <row r="916" spans="1:1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28"/>
    </row>
    <row r="917" spans="1:1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28"/>
    </row>
    <row r="918" spans="1:1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28"/>
    </row>
    <row r="919" spans="1:1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28"/>
    </row>
    <row r="920" spans="1:1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28"/>
    </row>
    <row r="921" spans="1:1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28"/>
    </row>
    <row r="922" spans="1:1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28"/>
    </row>
    <row r="923" spans="1:1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28"/>
    </row>
    <row r="924" spans="1:1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28"/>
    </row>
    <row r="925" spans="1:1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28"/>
    </row>
    <row r="926" spans="1:1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28"/>
    </row>
    <row r="927" spans="1:1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28"/>
    </row>
    <row r="928" spans="1:1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28"/>
    </row>
    <row r="929" spans="1:1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28"/>
    </row>
    <row r="930" spans="1:1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28"/>
    </row>
    <row r="931" spans="1:1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28"/>
    </row>
    <row r="932" spans="1:1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28"/>
    </row>
    <row r="933" spans="1:1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28"/>
    </row>
    <row r="934" spans="1:1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28"/>
    </row>
    <row r="935" spans="1:1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28"/>
    </row>
    <row r="936" spans="1:1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28"/>
    </row>
    <row r="937" spans="1:1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28"/>
    </row>
    <row r="938" spans="1:1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28"/>
    </row>
    <row r="939" spans="1:1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28"/>
    </row>
    <row r="940" spans="1:1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28"/>
    </row>
    <row r="941" spans="1:1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28"/>
    </row>
    <row r="942" spans="1:1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28"/>
    </row>
    <row r="943" spans="1:1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28"/>
    </row>
    <row r="944" spans="1:1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28"/>
    </row>
    <row r="945" spans="1:1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28"/>
    </row>
    <row r="946" spans="1:1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28"/>
    </row>
    <row r="947" spans="1:1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28"/>
    </row>
    <row r="948" spans="1:1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28"/>
    </row>
    <row r="949" spans="1:1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28"/>
    </row>
    <row r="950" spans="1:1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28"/>
    </row>
    <row r="951" spans="1:1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28"/>
    </row>
    <row r="952" spans="1:1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28"/>
    </row>
    <row r="953" spans="1:1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28"/>
    </row>
    <row r="954" spans="1:1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28"/>
    </row>
    <row r="955" spans="1:1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28"/>
    </row>
    <row r="956" spans="1:1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28"/>
    </row>
    <row r="957" spans="1:1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28"/>
    </row>
    <row r="958" spans="1:1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28"/>
    </row>
    <row r="959" spans="1:1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28"/>
    </row>
    <row r="960" spans="1:1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28"/>
    </row>
    <row r="961" spans="1:1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28"/>
    </row>
    <row r="962" spans="1:1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28"/>
    </row>
    <row r="963" spans="1:1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28"/>
    </row>
    <row r="964" spans="1:1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28"/>
    </row>
    <row r="965" spans="1:1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28"/>
    </row>
    <row r="966" spans="1:1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28"/>
    </row>
    <row r="967" spans="1:1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28"/>
    </row>
    <row r="968" spans="1:1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28"/>
    </row>
    <row r="969" spans="1:1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28"/>
    </row>
    <row r="970" spans="1:1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28"/>
    </row>
    <row r="971" spans="1:1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28"/>
    </row>
    <row r="972" spans="1:1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28"/>
    </row>
    <row r="973" spans="1:1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28"/>
    </row>
    <row r="974" spans="1:1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28"/>
    </row>
    <row r="975" spans="1:1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28"/>
    </row>
    <row r="976" spans="1:1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28"/>
    </row>
    <row r="977" spans="1:1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28"/>
    </row>
    <row r="978" spans="1:1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28"/>
    </row>
    <row r="979" spans="1:1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28"/>
    </row>
    <row r="980" spans="1:1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28"/>
    </row>
    <row r="981" spans="1:1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28"/>
    </row>
    <row r="982" spans="1:1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28"/>
    </row>
    <row r="983" spans="1:1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28"/>
    </row>
    <row r="984" spans="1:1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28"/>
    </row>
    <row r="985" spans="1:1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28"/>
    </row>
    <row r="986" spans="1:1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28"/>
    </row>
    <row r="987" spans="1:1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28"/>
    </row>
    <row r="988" spans="1:1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28"/>
    </row>
    <row r="989" spans="1:1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28"/>
    </row>
    <row r="990" spans="1:1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28"/>
    </row>
    <row r="991" spans="1:1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28"/>
    </row>
    <row r="992" spans="1:1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28"/>
    </row>
    <row r="993" spans="1:1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28"/>
    </row>
    <row r="994" spans="1:1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28"/>
    </row>
    <row r="995" spans="1:1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28"/>
    </row>
    <row r="996" spans="1:1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28"/>
    </row>
    <row r="997" spans="1:1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28"/>
    </row>
    <row r="998" spans="1:1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28"/>
    </row>
    <row r="999" spans="1:1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28"/>
    </row>
    <row r="1000" spans="1:1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28"/>
    </row>
  </sheetData>
  <autoFilter ref="A6:B6" xr:uid="{00000000-0009-0000-0000-000002000000}"/>
  <sortState xmlns:xlrd2="http://schemas.microsoft.com/office/spreadsheetml/2017/richdata2" ref="C233:L236">
    <sortCondition ref="C233:C236"/>
  </sortState>
  <mergeCells count="1">
    <mergeCell ref="C5:J5"/>
  </mergeCells>
  <conditionalFormatting sqref="A7:B1000">
    <cfRule type="expression" dxfId="52" priority="7">
      <formula>IF($B7="total",TRUE,FALSE)</formula>
    </cfRule>
    <cfRule type="expression" dxfId="51" priority="8">
      <formula>IF(AND($A7&gt;0,ISEVEN($A7)),TRUE,FALSE)</formula>
    </cfRule>
    <cfRule type="expression" dxfId="50" priority="9">
      <formula>IF(AND($A7&gt;0,ISODD($A7)),TRUE,FALSE)</formula>
    </cfRule>
  </conditionalFormatting>
  <conditionalFormatting sqref="A7:C1000">
    <cfRule type="cellIs" dxfId="49" priority="1" operator="equal">
      <formula>0</formula>
    </cfRule>
    <cfRule type="expression" dxfId="48" priority="2">
      <formula>IF($B7="total",TRUE,FALSE)</formula>
    </cfRule>
  </conditionalFormatting>
  <conditionalFormatting sqref="C7:C1000">
    <cfRule type="cellIs" dxfId="47" priority="3" operator="between">
      <formula>0.0000000000001</formula>
      <formula>0.499999999999</formula>
    </cfRule>
    <cfRule type="cellIs" dxfId="46" priority="4" operator="between">
      <formula>-0.0000000000000001</formula>
      <formula>-0.49999999999999</formula>
    </cfRule>
  </conditionalFormatting>
  <conditionalFormatting sqref="C144:I599">
    <cfRule type="cellIs" dxfId="45" priority="33" operator="between">
      <formula>0.00000000000001</formula>
      <formula>0.4999999999999</formula>
    </cfRule>
  </conditionalFormatting>
  <conditionalFormatting sqref="D7:I143">
    <cfRule type="cellIs" dxfId="44" priority="10" operator="equal">
      <formula>0</formula>
    </cfRule>
    <cfRule type="cellIs" dxfId="43" priority="11" operator="between">
      <formula>-0.0000000000000001</formula>
      <formula>-0.49999999999999</formula>
    </cfRule>
    <cfRule type="cellIs" dxfId="42" priority="12" operator="between">
      <formula>0.0000000000001</formula>
      <formula>0.499999999999</formula>
    </cfRule>
    <cfRule type="expression" dxfId="41" priority="13">
      <formula>IF($B7="total",TRUE,FALSE)</formula>
    </cfRule>
  </conditionalFormatting>
  <conditionalFormatting sqref="J7:J1000">
    <cfRule type="cellIs" dxfId="40" priority="14" operator="equal">
      <formula>0</formula>
    </cfRule>
    <cfRule type="expression" dxfId="39" priority="15">
      <formula>IF($B7="total",TRUE,FALSE)</formula>
    </cfRule>
    <cfRule type="expression" dxfId="38" priority="16">
      <formula>IF(AND($A7&gt;0,ISEVEN($A7)),TRUE,FALSE)</formula>
    </cfRule>
    <cfRule type="expression" dxfId="37" priority="17">
      <formula>IF(AND($A7&gt;0,ISODD($A7)),TRUE,FALSE)</formula>
    </cfRule>
    <cfRule type="cellIs" dxfId="36" priority="18" operator="between">
      <formula>0.0000000000001</formula>
      <formula>0.499999999999</formula>
    </cfRule>
    <cfRule type="cellIs" dxfId="35" priority="19" operator="between">
      <formula>-0.0000000000000001</formula>
      <formula>-0.49999999999999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ignoredErrors>
    <ignoredError sqref="C58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3"/>
  </sheetPr>
  <dimension ref="A1:AF1000"/>
  <sheetViews>
    <sheetView zoomScaleNormal="100" workbookViewId="0">
      <pane xSplit="2" ySplit="6" topLeftCell="C190" activePane="bottomRight" state="frozen"/>
      <selection activeCell="A189" sqref="A189:XFD201"/>
      <selection pane="topRight" activeCell="A189" sqref="A189:XFD201"/>
      <selection pane="bottomLeft" activeCell="A189" sqref="A189:XFD201"/>
      <selection pane="bottomRight" activeCell="A215" sqref="A215"/>
    </sheetView>
  </sheetViews>
  <sheetFormatPr baseColWidth="10" defaultColWidth="10.7109375" defaultRowHeight="12.75" x14ac:dyDescent="0.2"/>
  <cols>
    <col min="1" max="2" width="10.7109375" style="1" customWidth="1"/>
    <col min="3" max="9" width="9.5703125" style="1" customWidth="1"/>
    <col min="10" max="10" width="15.5703125" style="1" bestFit="1" customWidth="1"/>
    <col min="11" max="11" width="1.7109375" style="1" customWidth="1"/>
    <col min="12" max="18" width="11" style="1" customWidth="1"/>
    <col min="19" max="19" width="16" style="1" bestFit="1" customWidth="1"/>
    <col min="20" max="20" width="1.7109375" style="1" customWidth="1"/>
    <col min="21" max="21" width="11.42578125" style="1" bestFit="1" customWidth="1"/>
    <col min="22" max="22" width="1.7109375" style="1" customWidth="1"/>
    <col min="23" max="23" width="9.7109375" style="1" customWidth="1"/>
    <col min="24" max="24" width="11.42578125" style="1" bestFit="1" customWidth="1"/>
    <col min="25" max="26" width="10.7109375" style="1"/>
    <col min="27" max="27" width="11.42578125" style="1" bestFit="1" customWidth="1"/>
    <col min="28" max="28" width="9.28515625" style="1" customWidth="1"/>
    <col min="29" max="16384" width="10.7109375" style="1"/>
  </cols>
  <sheetData>
    <row r="1" spans="1:32" ht="22.5" customHeight="1" x14ac:dyDescent="0.2"/>
    <row r="2" spans="1:32" ht="22.5" customHeight="1" x14ac:dyDescent="0.2">
      <c r="G2" s="11"/>
    </row>
    <row r="3" spans="1:32" ht="24.6" customHeight="1" x14ac:dyDescent="0.2">
      <c r="A3" s="5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36"/>
      <c r="K3" s="6"/>
      <c r="L3" s="36"/>
      <c r="M3" s="36"/>
      <c r="N3" s="36"/>
      <c r="O3" s="36"/>
      <c r="P3" s="36"/>
      <c r="Q3" s="36"/>
      <c r="R3" s="36"/>
      <c r="S3" s="36"/>
      <c r="T3" s="6"/>
      <c r="V3" s="6"/>
      <c r="W3" s="6"/>
    </row>
    <row r="4" spans="1:32" ht="15" customHeight="1" x14ac:dyDescent="0.2">
      <c r="A4" s="20" t="str">
        <f>Inicio!$A$17</f>
        <v>Actualizado el 13-07-2026</v>
      </c>
      <c r="B4" s="5"/>
      <c r="C4" s="5"/>
      <c r="D4" s="5"/>
      <c r="E4" s="5"/>
      <c r="F4" s="5"/>
      <c r="G4" s="5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X4" s="5"/>
      <c r="Y4" s="12" t="s">
        <v>16</v>
      </c>
    </row>
    <row r="5" spans="1:32" ht="18.75" customHeight="1" thickBot="1" x14ac:dyDescent="0.25">
      <c r="A5" s="17"/>
      <c r="B5" s="16"/>
      <c r="C5" s="105" t="str">
        <f>'Conexiones Internacionales'!C5:L5</f>
        <v>Conexiones Internacionales</v>
      </c>
      <c r="D5" s="105"/>
      <c r="E5" s="105"/>
      <c r="F5" s="105"/>
      <c r="G5" s="105"/>
      <c r="H5" s="105"/>
      <c r="I5" s="105"/>
      <c r="J5" s="105"/>
      <c r="K5" s="39"/>
      <c r="L5" s="106" t="str">
        <f>'Plantas de regasificación'!C5</f>
        <v>Plantas de regasificación*</v>
      </c>
      <c r="M5" s="106"/>
      <c r="N5" s="106"/>
      <c r="O5" s="106"/>
      <c r="P5" s="106"/>
      <c r="Q5" s="106"/>
      <c r="R5" s="106"/>
      <c r="S5" s="106"/>
      <c r="T5" s="9"/>
      <c r="U5" s="78"/>
      <c r="V5" s="9"/>
      <c r="W5" s="107" t="s">
        <v>0</v>
      </c>
      <c r="X5" s="109" t="s">
        <v>17</v>
      </c>
      <c r="Y5" s="109" t="s">
        <v>18</v>
      </c>
    </row>
    <row r="6" spans="1:32" ht="37.5" customHeight="1" thickTop="1" x14ac:dyDescent="0.2">
      <c r="A6" s="18" t="s">
        <v>1</v>
      </c>
      <c r="B6" s="19" t="s">
        <v>2</v>
      </c>
      <c r="C6" s="13" t="str">
        <f>'Conexiones Internacionales'!C6</f>
        <v>Badajoz</v>
      </c>
      <c r="D6" s="13" t="str">
        <f>'Conexiones Internacionales'!D6</f>
        <v>Irún</v>
      </c>
      <c r="E6" s="13" t="str">
        <f>'Conexiones Internacionales'!E6</f>
        <v>Larrau</v>
      </c>
      <c r="F6" s="13" t="str">
        <f>'Conexiones Internacionales'!F6</f>
        <v>Tuy</v>
      </c>
      <c r="G6" s="13" t="s">
        <v>46</v>
      </c>
      <c r="H6" s="13" t="str">
        <f>'Conexiones Internacionales'!H6</f>
        <v>VIP Ibérico</v>
      </c>
      <c r="I6" s="13" t="str">
        <f>'Conexiones Internacionales'!I6</f>
        <v>VIP Pirineos</v>
      </c>
      <c r="J6" s="10" t="str">
        <f>'Conexiones Internacionales'!J6</f>
        <v>Total Conexiones internacionales</v>
      </c>
      <c r="K6" s="15"/>
      <c r="L6" s="14" t="str">
        <f>'Plantas de regasificación'!C6</f>
        <v>Barcelona</v>
      </c>
      <c r="M6" s="14" t="str">
        <f>'Plantas de regasificación'!D6</f>
        <v>Bilbao</v>
      </c>
      <c r="N6" s="14" t="str">
        <f>'Plantas de regasificación'!E6</f>
        <v>Cartagena</v>
      </c>
      <c r="O6" s="14" t="str">
        <f>'Plantas de regasificación'!F6</f>
        <v>Huelva</v>
      </c>
      <c r="P6" s="14" t="str">
        <f>'Plantas de regasificación'!G6</f>
        <v>Mugardos</v>
      </c>
      <c r="Q6" s="14" t="s">
        <v>49</v>
      </c>
      <c r="R6" s="14" t="str">
        <f>'Plantas de regasificación'!I6</f>
        <v>Sagunto</v>
      </c>
      <c r="S6" s="10" t="str">
        <f>'Plantas de regasificación'!J6</f>
        <v>Total Plantas de regasificación</v>
      </c>
      <c r="T6" s="10"/>
      <c r="U6" s="10" t="s">
        <v>44</v>
      </c>
      <c r="V6" s="10"/>
      <c r="W6" s="108"/>
      <c r="X6" s="110"/>
      <c r="Y6" s="110"/>
    </row>
    <row r="7" spans="1:32" ht="12" customHeight="1" x14ac:dyDescent="0.2">
      <c r="A7" s="49">
        <v>2010</v>
      </c>
      <c r="B7" s="49" t="s">
        <v>3</v>
      </c>
      <c r="C7" s="65">
        <v>270.76522999999997</v>
      </c>
      <c r="D7" s="60">
        <v>60.59545</v>
      </c>
      <c r="E7" s="60">
        <v>781.19584000000009</v>
      </c>
      <c r="F7" s="60">
        <v>30.340689999999999</v>
      </c>
      <c r="G7" s="60"/>
      <c r="H7" s="60">
        <v>0</v>
      </c>
      <c r="I7" s="60">
        <v>0</v>
      </c>
      <c r="J7" s="65">
        <v>1142.8972100000001</v>
      </c>
      <c r="K7" s="42"/>
      <c r="L7" s="65">
        <v>0</v>
      </c>
      <c r="M7" s="60">
        <v>0</v>
      </c>
      <c r="N7" s="60">
        <v>0</v>
      </c>
      <c r="O7" s="60">
        <v>0</v>
      </c>
      <c r="P7" s="60">
        <v>0</v>
      </c>
      <c r="Q7" s="60"/>
      <c r="R7" s="60">
        <v>0</v>
      </c>
      <c r="S7" s="65">
        <v>0</v>
      </c>
      <c r="T7" s="41"/>
      <c r="U7" s="85"/>
      <c r="V7" s="41"/>
      <c r="W7" s="65">
        <v>1142.8972100000001</v>
      </c>
      <c r="X7" s="44">
        <v>0</v>
      </c>
      <c r="Y7" s="44">
        <v>1142.8972100000001</v>
      </c>
      <c r="Z7" s="51"/>
      <c r="AA7" s="52"/>
      <c r="AB7" s="52"/>
      <c r="AC7" s="53"/>
      <c r="AD7" s="48"/>
    </row>
    <row r="8" spans="1:32" ht="12" customHeight="1" x14ac:dyDescent="0.2">
      <c r="A8" s="49">
        <v>2010</v>
      </c>
      <c r="B8" s="49" t="s">
        <v>4</v>
      </c>
      <c r="C8" s="60">
        <v>308.13616000000002</v>
      </c>
      <c r="D8" s="60">
        <v>55.20149</v>
      </c>
      <c r="E8" s="60">
        <v>692.55597999999998</v>
      </c>
      <c r="F8" s="60">
        <v>18.119989999999998</v>
      </c>
      <c r="G8" s="60"/>
      <c r="H8" s="60">
        <v>0</v>
      </c>
      <c r="I8" s="60">
        <v>0</v>
      </c>
      <c r="J8" s="65">
        <v>1074.0136199999999</v>
      </c>
      <c r="K8" s="42"/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/>
      <c r="R8" s="60">
        <v>0</v>
      </c>
      <c r="S8" s="65">
        <v>0</v>
      </c>
      <c r="T8" s="41"/>
      <c r="U8" s="85"/>
      <c r="V8" s="41"/>
      <c r="W8" s="65">
        <v>1074.0136199999999</v>
      </c>
      <c r="X8" s="44">
        <v>0</v>
      </c>
      <c r="Y8" s="44">
        <v>1074.0136199999999</v>
      </c>
      <c r="Z8" s="51"/>
      <c r="AA8" s="52"/>
      <c r="AB8" s="52"/>
      <c r="AC8" s="53"/>
      <c r="AD8" s="48"/>
    </row>
    <row r="9" spans="1:32" ht="12" customHeight="1" x14ac:dyDescent="0.2">
      <c r="A9" s="49">
        <v>2010</v>
      </c>
      <c r="B9" s="49" t="s">
        <v>5</v>
      </c>
      <c r="C9" s="60">
        <v>253.3749</v>
      </c>
      <c r="D9" s="60">
        <v>59.67474</v>
      </c>
      <c r="E9" s="60">
        <v>766.75840000000005</v>
      </c>
      <c r="F9" s="60">
        <v>37.682410000000004</v>
      </c>
      <c r="G9" s="60"/>
      <c r="H9" s="60">
        <v>0</v>
      </c>
      <c r="I9" s="60">
        <v>0</v>
      </c>
      <c r="J9" s="65">
        <v>1117.4904500000002</v>
      </c>
      <c r="K9" s="42"/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/>
      <c r="R9" s="60">
        <v>0</v>
      </c>
      <c r="S9" s="65">
        <v>0</v>
      </c>
      <c r="T9" s="41"/>
      <c r="U9" s="85"/>
      <c r="V9" s="41"/>
      <c r="W9" s="65">
        <v>1117.4904500000002</v>
      </c>
      <c r="X9" s="44">
        <v>0</v>
      </c>
      <c r="Y9" s="44">
        <v>1117.4904500000002</v>
      </c>
      <c r="Z9" s="51"/>
      <c r="AA9" s="52"/>
      <c r="AB9" s="52"/>
      <c r="AC9" s="53"/>
      <c r="AD9" s="48"/>
      <c r="AE9" s="45"/>
      <c r="AF9" s="45"/>
    </row>
    <row r="10" spans="1:32" ht="12" customHeight="1" x14ac:dyDescent="0.2">
      <c r="A10" s="49">
        <v>2010</v>
      </c>
      <c r="B10" s="49" t="s">
        <v>6</v>
      </c>
      <c r="C10" s="60">
        <v>459.09389999999996</v>
      </c>
      <c r="D10" s="60">
        <v>19.350169999999999</v>
      </c>
      <c r="E10" s="60">
        <v>453.09243999999995</v>
      </c>
      <c r="F10" s="60">
        <v>51.771320000000003</v>
      </c>
      <c r="G10" s="60"/>
      <c r="H10" s="60">
        <v>0</v>
      </c>
      <c r="I10" s="60">
        <v>0</v>
      </c>
      <c r="J10" s="65">
        <v>983.30782999999997</v>
      </c>
      <c r="K10" s="42"/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/>
      <c r="R10" s="60">
        <v>0</v>
      </c>
      <c r="S10" s="65">
        <v>0</v>
      </c>
      <c r="T10" s="41"/>
      <c r="U10" s="85"/>
      <c r="V10" s="41"/>
      <c r="W10" s="65">
        <v>983.30782999999997</v>
      </c>
      <c r="X10" s="44">
        <v>0</v>
      </c>
      <c r="Y10" s="44">
        <v>983.30782999999997</v>
      </c>
      <c r="Z10" s="51"/>
      <c r="AA10" s="52"/>
      <c r="AB10" s="52"/>
      <c r="AC10" s="53"/>
      <c r="AD10" s="48"/>
      <c r="AE10" s="45"/>
      <c r="AF10" s="45"/>
    </row>
    <row r="11" spans="1:32" ht="12" customHeight="1" x14ac:dyDescent="0.2">
      <c r="A11" s="49">
        <v>2010</v>
      </c>
      <c r="B11" s="49" t="s">
        <v>7</v>
      </c>
      <c r="C11" s="60">
        <v>323.11178999999998</v>
      </c>
      <c r="D11" s="60">
        <v>75.520839999999993</v>
      </c>
      <c r="E11" s="60">
        <v>609.43590000000006</v>
      </c>
      <c r="F11" s="60">
        <v>41.384730000000005</v>
      </c>
      <c r="G11" s="60"/>
      <c r="H11" s="60">
        <v>0</v>
      </c>
      <c r="I11" s="60">
        <v>0</v>
      </c>
      <c r="J11" s="65">
        <v>1049.45326</v>
      </c>
      <c r="K11" s="42"/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/>
      <c r="R11" s="60">
        <v>0</v>
      </c>
      <c r="S11" s="65">
        <v>0</v>
      </c>
      <c r="T11" s="41"/>
      <c r="U11" s="85"/>
      <c r="V11" s="41"/>
      <c r="W11" s="65">
        <v>1049.45326</v>
      </c>
      <c r="X11" s="44">
        <v>0</v>
      </c>
      <c r="Y11" s="44">
        <v>1049.45326</v>
      </c>
      <c r="Z11" s="51"/>
      <c r="AA11" s="52"/>
      <c r="AB11" s="52"/>
      <c r="AC11" s="53"/>
      <c r="AD11" s="48"/>
      <c r="AE11" s="45"/>
      <c r="AF11" s="45"/>
    </row>
    <row r="12" spans="1:32" ht="12" customHeight="1" x14ac:dyDescent="0.2">
      <c r="A12" s="49">
        <v>2010</v>
      </c>
      <c r="B12" s="49" t="s">
        <v>8</v>
      </c>
      <c r="C12" s="60">
        <v>224.18412000000001</v>
      </c>
      <c r="D12" s="60">
        <v>12.77312</v>
      </c>
      <c r="E12" s="60">
        <v>518.81646999999998</v>
      </c>
      <c r="F12" s="60">
        <v>42.422449999999998</v>
      </c>
      <c r="G12" s="60"/>
      <c r="H12" s="60">
        <v>0</v>
      </c>
      <c r="I12" s="60">
        <v>0</v>
      </c>
      <c r="J12" s="65">
        <v>798.19615999999996</v>
      </c>
      <c r="K12" s="42"/>
      <c r="L12" s="60">
        <v>0.215</v>
      </c>
      <c r="M12" s="60">
        <v>0</v>
      </c>
      <c r="N12" s="60">
        <v>0</v>
      </c>
      <c r="O12" s="60">
        <v>0</v>
      </c>
      <c r="P12" s="60">
        <v>0</v>
      </c>
      <c r="Q12" s="60"/>
      <c r="R12" s="60">
        <v>0</v>
      </c>
      <c r="S12" s="65">
        <v>0.215</v>
      </c>
      <c r="T12" s="41"/>
      <c r="U12" s="86"/>
      <c r="V12" s="41"/>
      <c r="W12" s="65">
        <v>798.41116</v>
      </c>
      <c r="X12" s="44">
        <v>0.215</v>
      </c>
      <c r="Y12" s="44">
        <v>798.19615999999996</v>
      </c>
      <c r="Z12" s="51"/>
      <c r="AA12" s="52"/>
      <c r="AB12" s="52"/>
      <c r="AC12" s="53"/>
      <c r="AD12" s="48"/>
      <c r="AE12" s="45"/>
      <c r="AF12" s="45"/>
    </row>
    <row r="13" spans="1:32" ht="12" customHeight="1" x14ac:dyDescent="0.2">
      <c r="A13" s="49">
        <v>2010</v>
      </c>
      <c r="B13" s="49" t="s">
        <v>9</v>
      </c>
      <c r="C13" s="60">
        <v>573.78631999999993</v>
      </c>
      <c r="D13" s="60">
        <v>37.296709999999997</v>
      </c>
      <c r="E13" s="60">
        <v>458.54158999999999</v>
      </c>
      <c r="F13" s="60">
        <v>51.457370000000004</v>
      </c>
      <c r="G13" s="60"/>
      <c r="H13" s="60">
        <v>0</v>
      </c>
      <c r="I13" s="60">
        <v>0</v>
      </c>
      <c r="J13" s="65">
        <v>1121.0819899999999</v>
      </c>
      <c r="K13" s="42"/>
      <c r="L13" s="60">
        <v>0.60939999999999994</v>
      </c>
      <c r="M13" s="60">
        <v>0</v>
      </c>
      <c r="N13" s="60">
        <v>0</v>
      </c>
      <c r="O13" s="60">
        <v>0</v>
      </c>
      <c r="P13" s="60">
        <v>0</v>
      </c>
      <c r="Q13" s="60"/>
      <c r="R13" s="60">
        <v>0</v>
      </c>
      <c r="S13" s="65">
        <v>0.60939999999999994</v>
      </c>
      <c r="T13" s="41"/>
      <c r="U13" s="86"/>
      <c r="V13" s="41"/>
      <c r="W13" s="65">
        <v>1121.69139</v>
      </c>
      <c r="X13" s="44">
        <v>0.60939999999999994</v>
      </c>
      <c r="Y13" s="44">
        <v>1121.0819899999999</v>
      </c>
      <c r="Z13" s="51"/>
      <c r="AA13" s="52"/>
      <c r="AB13" s="52"/>
      <c r="AC13" s="53"/>
      <c r="AD13" s="48"/>
      <c r="AE13" s="45"/>
      <c r="AF13" s="45"/>
    </row>
    <row r="14" spans="1:32" ht="12" customHeight="1" x14ac:dyDescent="0.2">
      <c r="A14" s="49">
        <v>2010</v>
      </c>
      <c r="B14" s="49" t="s">
        <v>10</v>
      </c>
      <c r="C14" s="60">
        <v>456.72356999999994</v>
      </c>
      <c r="D14" s="60">
        <v>63.681139999999999</v>
      </c>
      <c r="E14" s="60">
        <v>36.201920000000001</v>
      </c>
      <c r="F14" s="60">
        <v>36.428809999999999</v>
      </c>
      <c r="G14" s="60"/>
      <c r="H14" s="60">
        <v>0</v>
      </c>
      <c r="I14" s="60">
        <v>0</v>
      </c>
      <c r="J14" s="65">
        <v>593.03543999999988</v>
      </c>
      <c r="K14" s="42"/>
      <c r="L14" s="60">
        <v>0.51200000000000001</v>
      </c>
      <c r="M14" s="60">
        <v>0</v>
      </c>
      <c r="N14" s="60">
        <v>0</v>
      </c>
      <c r="O14" s="60">
        <v>49.29551</v>
      </c>
      <c r="P14" s="60">
        <v>0</v>
      </c>
      <c r="Q14" s="60"/>
      <c r="R14" s="60">
        <v>0</v>
      </c>
      <c r="S14" s="65">
        <v>49.807510000000001</v>
      </c>
      <c r="T14" s="41"/>
      <c r="U14" s="86"/>
      <c r="V14" s="41"/>
      <c r="W14" s="65">
        <v>642.84294999999986</v>
      </c>
      <c r="X14" s="44">
        <v>49.807510000000001</v>
      </c>
      <c r="Y14" s="44">
        <v>593.03543999999988</v>
      </c>
      <c r="Z14" s="51"/>
      <c r="AA14" s="52"/>
      <c r="AB14" s="52"/>
      <c r="AC14" s="53"/>
      <c r="AD14" s="48"/>
      <c r="AE14" s="45"/>
      <c r="AF14" s="45"/>
    </row>
    <row r="15" spans="1:32" ht="12" customHeight="1" x14ac:dyDescent="0.2">
      <c r="A15" s="49">
        <v>2010</v>
      </c>
      <c r="B15" s="49" t="s">
        <v>11</v>
      </c>
      <c r="C15" s="60">
        <v>543.16840999999999</v>
      </c>
      <c r="D15" s="60">
        <v>52.496699999999997</v>
      </c>
      <c r="E15" s="60">
        <v>516.56061999999997</v>
      </c>
      <c r="F15" s="60">
        <v>61.258290000000002</v>
      </c>
      <c r="G15" s="60"/>
      <c r="H15" s="60">
        <v>0</v>
      </c>
      <c r="I15" s="60">
        <v>0</v>
      </c>
      <c r="J15" s="65">
        <v>1173.4840200000001</v>
      </c>
      <c r="K15" s="42"/>
      <c r="L15" s="60">
        <v>0.42199999999999999</v>
      </c>
      <c r="M15" s="60">
        <v>0</v>
      </c>
      <c r="N15" s="60">
        <v>0</v>
      </c>
      <c r="O15" s="60">
        <v>0</v>
      </c>
      <c r="P15" s="60">
        <v>0</v>
      </c>
      <c r="Q15" s="60"/>
      <c r="R15" s="60">
        <v>0</v>
      </c>
      <c r="S15" s="65">
        <v>0.42199999999999999</v>
      </c>
      <c r="T15" s="41"/>
      <c r="U15" s="86"/>
      <c r="V15" s="41"/>
      <c r="W15" s="65">
        <v>1173.9060200000001</v>
      </c>
      <c r="X15" s="44">
        <v>0.42199999999999999</v>
      </c>
      <c r="Y15" s="44">
        <v>1173.4840200000001</v>
      </c>
      <c r="Z15" s="51"/>
      <c r="AA15" s="52"/>
      <c r="AB15" s="52"/>
      <c r="AC15" s="53"/>
      <c r="AD15" s="48"/>
      <c r="AE15" s="45"/>
      <c r="AF15" s="45"/>
    </row>
    <row r="16" spans="1:32" ht="12" customHeight="1" x14ac:dyDescent="0.2">
      <c r="A16" s="49">
        <v>2010</v>
      </c>
      <c r="B16" s="49" t="s">
        <v>12</v>
      </c>
      <c r="C16" s="60">
        <v>415.49789000000004</v>
      </c>
      <c r="D16" s="60">
        <v>9.8314800000000009</v>
      </c>
      <c r="E16" s="60">
        <v>527.29604999999992</v>
      </c>
      <c r="F16" s="60">
        <v>132.77558999999999</v>
      </c>
      <c r="G16" s="60"/>
      <c r="H16" s="60">
        <v>0</v>
      </c>
      <c r="I16" s="60">
        <v>0</v>
      </c>
      <c r="J16" s="65">
        <v>1085.40101</v>
      </c>
      <c r="K16" s="42"/>
      <c r="L16" s="60">
        <v>0.21199999999999999</v>
      </c>
      <c r="M16" s="60">
        <v>0</v>
      </c>
      <c r="N16" s="60">
        <v>0</v>
      </c>
      <c r="O16" s="60">
        <v>0</v>
      </c>
      <c r="P16" s="60">
        <v>0</v>
      </c>
      <c r="Q16" s="60"/>
      <c r="R16" s="60">
        <v>0</v>
      </c>
      <c r="S16" s="65">
        <v>0.21199999999999999</v>
      </c>
      <c r="T16" s="41"/>
      <c r="U16" s="86"/>
      <c r="V16" s="41"/>
      <c r="W16" s="65">
        <v>1085.61301</v>
      </c>
      <c r="X16" s="44">
        <v>0.21199999999999999</v>
      </c>
      <c r="Y16" s="44">
        <v>1085.40101</v>
      </c>
      <c r="Z16" s="51"/>
      <c r="AA16" s="52"/>
      <c r="AB16" s="52"/>
      <c r="AC16" s="53"/>
      <c r="AD16" s="48"/>
      <c r="AE16" s="45"/>
      <c r="AF16" s="45"/>
    </row>
    <row r="17" spans="1:32" ht="12" customHeight="1" x14ac:dyDescent="0.2">
      <c r="A17" s="49">
        <v>2010</v>
      </c>
      <c r="B17" s="49" t="s">
        <v>13</v>
      </c>
      <c r="C17" s="60">
        <v>492.70957999999996</v>
      </c>
      <c r="D17" s="60">
        <v>52.256070000000001</v>
      </c>
      <c r="E17" s="60">
        <v>570.93554999999992</v>
      </c>
      <c r="F17" s="60">
        <v>151.8486</v>
      </c>
      <c r="G17" s="60"/>
      <c r="H17" s="60">
        <v>0</v>
      </c>
      <c r="I17" s="60">
        <v>0</v>
      </c>
      <c r="J17" s="65">
        <v>1267.7497999999998</v>
      </c>
      <c r="K17" s="42"/>
      <c r="L17" s="60">
        <v>0.41499999999999998</v>
      </c>
      <c r="M17" s="60">
        <v>0</v>
      </c>
      <c r="N17" s="60">
        <v>0</v>
      </c>
      <c r="O17" s="60">
        <v>0</v>
      </c>
      <c r="P17" s="60">
        <v>0</v>
      </c>
      <c r="Q17" s="60"/>
      <c r="R17" s="60">
        <v>0</v>
      </c>
      <c r="S17" s="65">
        <v>0.41499999999999998</v>
      </c>
      <c r="T17" s="41"/>
      <c r="U17" s="86"/>
      <c r="V17" s="41"/>
      <c r="W17" s="65">
        <v>1268.1647999999998</v>
      </c>
      <c r="X17" s="44">
        <v>0.41499999999999998</v>
      </c>
      <c r="Y17" s="44">
        <v>1267.7497999999998</v>
      </c>
      <c r="Z17" s="51"/>
      <c r="AA17" s="52"/>
      <c r="AB17" s="52"/>
      <c r="AC17" s="53"/>
      <c r="AD17" s="48"/>
      <c r="AE17" s="45"/>
      <c r="AF17" s="45"/>
    </row>
    <row r="18" spans="1:32" ht="12" customHeight="1" x14ac:dyDescent="0.2">
      <c r="A18" s="49">
        <v>2010</v>
      </c>
      <c r="B18" s="49" t="s">
        <v>14</v>
      </c>
      <c r="C18" s="60">
        <v>688.90190999999993</v>
      </c>
      <c r="D18" s="60">
        <v>54.228949999999998</v>
      </c>
      <c r="E18" s="60">
        <v>648.55042000000003</v>
      </c>
      <c r="F18" s="60">
        <v>63.869</v>
      </c>
      <c r="G18" s="60"/>
      <c r="H18" s="60">
        <v>0</v>
      </c>
      <c r="I18" s="60">
        <v>0</v>
      </c>
      <c r="J18" s="65">
        <v>1455.5502799999999</v>
      </c>
      <c r="K18" s="42"/>
      <c r="L18" s="60">
        <v>0.41899999999999998</v>
      </c>
      <c r="M18" s="60">
        <v>0</v>
      </c>
      <c r="N18" s="60">
        <v>0</v>
      </c>
      <c r="O18" s="60">
        <v>0</v>
      </c>
      <c r="P18" s="60">
        <v>0</v>
      </c>
      <c r="Q18" s="60"/>
      <c r="R18" s="60">
        <v>0</v>
      </c>
      <c r="S18" s="65">
        <v>0.41899999999999998</v>
      </c>
      <c r="T18" s="41"/>
      <c r="U18" s="86"/>
      <c r="V18" s="41"/>
      <c r="W18" s="65">
        <v>1455.96928</v>
      </c>
      <c r="X18" s="44">
        <v>0.41899999999999998</v>
      </c>
      <c r="Y18" s="44">
        <v>1455.5502799999999</v>
      </c>
      <c r="Z18" s="51"/>
      <c r="AA18" s="52"/>
      <c r="AB18" s="52"/>
      <c r="AC18" s="53"/>
      <c r="AD18" s="48"/>
      <c r="AE18" s="45"/>
      <c r="AF18" s="45"/>
    </row>
    <row r="19" spans="1:32" ht="12" customHeight="1" x14ac:dyDescent="0.2">
      <c r="A19" s="49">
        <v>2010</v>
      </c>
      <c r="B19" s="49" t="s">
        <v>15</v>
      </c>
      <c r="C19" s="60">
        <v>5009.4537799999998</v>
      </c>
      <c r="D19" s="60">
        <v>552.90686000000005</v>
      </c>
      <c r="E19" s="60">
        <v>6579.9411799999998</v>
      </c>
      <c r="F19" s="60">
        <v>719.35925000000009</v>
      </c>
      <c r="G19" s="60"/>
      <c r="H19" s="60">
        <v>0</v>
      </c>
      <c r="I19" s="60">
        <v>0</v>
      </c>
      <c r="J19" s="65">
        <v>12861.66107</v>
      </c>
      <c r="K19" s="42"/>
      <c r="L19" s="60">
        <v>2.8043999999999998</v>
      </c>
      <c r="M19" s="60">
        <v>0</v>
      </c>
      <c r="N19" s="60">
        <v>0</v>
      </c>
      <c r="O19" s="60">
        <v>49.29551</v>
      </c>
      <c r="P19" s="60">
        <v>0</v>
      </c>
      <c r="Q19" s="60"/>
      <c r="R19" s="60">
        <v>0</v>
      </c>
      <c r="S19" s="65">
        <v>52.099910000000001</v>
      </c>
      <c r="T19" s="41"/>
      <c r="U19" s="84"/>
      <c r="V19" s="41"/>
      <c r="W19" s="65">
        <v>12913.760980000001</v>
      </c>
      <c r="X19" s="44">
        <v>52.099910000000001</v>
      </c>
      <c r="Y19" s="44">
        <v>12861.66107</v>
      </c>
      <c r="Z19" s="51"/>
      <c r="AA19" s="52"/>
      <c r="AB19" s="52"/>
      <c r="AC19" s="53"/>
      <c r="AD19" s="48"/>
      <c r="AE19" s="45"/>
      <c r="AF19" s="45"/>
    </row>
    <row r="20" spans="1:32" ht="12" customHeight="1" x14ac:dyDescent="0.2">
      <c r="A20" s="49">
        <v>2011</v>
      </c>
      <c r="B20" s="49" t="s">
        <v>3</v>
      </c>
      <c r="C20" s="60">
        <v>482.33768000000003</v>
      </c>
      <c r="D20" s="60">
        <v>58.275750000000002</v>
      </c>
      <c r="E20" s="60">
        <v>791.14683000000002</v>
      </c>
      <c r="F20" s="60">
        <v>63.524000000000001</v>
      </c>
      <c r="G20" s="60"/>
      <c r="H20" s="60">
        <v>0</v>
      </c>
      <c r="I20" s="60">
        <v>0</v>
      </c>
      <c r="J20" s="65">
        <v>1395.2842599999999</v>
      </c>
      <c r="K20" s="42"/>
      <c r="L20" s="60">
        <v>0.42399999999999999</v>
      </c>
      <c r="M20" s="60">
        <v>0</v>
      </c>
      <c r="N20" s="60">
        <v>0</v>
      </c>
      <c r="O20" s="60">
        <v>0</v>
      </c>
      <c r="P20" s="60">
        <v>0</v>
      </c>
      <c r="Q20" s="60"/>
      <c r="R20" s="60">
        <v>0</v>
      </c>
      <c r="S20" s="65">
        <v>0.42399999999999999</v>
      </c>
      <c r="T20" s="41"/>
      <c r="U20" s="87"/>
      <c r="V20" s="41"/>
      <c r="W20" s="65">
        <v>1395.7082599999999</v>
      </c>
      <c r="X20" s="44">
        <v>0.42399999999999999</v>
      </c>
      <c r="Y20" s="44">
        <v>1395.2842599999999</v>
      </c>
      <c r="Z20" s="51"/>
      <c r="AA20" s="52"/>
      <c r="AB20" s="52"/>
      <c r="AC20" s="53"/>
      <c r="AD20" s="48"/>
      <c r="AE20" s="45"/>
      <c r="AF20" s="45"/>
    </row>
    <row r="21" spans="1:32" ht="12" customHeight="1" x14ac:dyDescent="0.2">
      <c r="A21" s="49">
        <v>2011</v>
      </c>
      <c r="B21" s="49" t="s">
        <v>4</v>
      </c>
      <c r="C21" s="60">
        <v>677.18687999999997</v>
      </c>
      <c r="D21" s="60">
        <v>25.502089999999999</v>
      </c>
      <c r="E21" s="60">
        <v>448.73328000000004</v>
      </c>
      <c r="F21" s="60">
        <v>91.788040000000009</v>
      </c>
      <c r="G21" s="60"/>
      <c r="H21" s="60">
        <v>0</v>
      </c>
      <c r="I21" s="60">
        <v>0</v>
      </c>
      <c r="J21" s="65">
        <v>1243.21029</v>
      </c>
      <c r="K21" s="42"/>
      <c r="L21" s="60">
        <v>0.41199999999999998</v>
      </c>
      <c r="M21" s="60">
        <v>0</v>
      </c>
      <c r="N21" s="60">
        <v>0</v>
      </c>
      <c r="O21" s="60">
        <v>459.89139</v>
      </c>
      <c r="P21" s="60">
        <v>0</v>
      </c>
      <c r="Q21" s="60"/>
      <c r="R21" s="60">
        <v>0</v>
      </c>
      <c r="S21" s="65">
        <v>460.30338999999998</v>
      </c>
      <c r="T21" s="41"/>
      <c r="U21" s="85"/>
      <c r="V21" s="41"/>
      <c r="W21" s="65">
        <v>1703.51368</v>
      </c>
      <c r="X21" s="44">
        <v>460.30338999999998</v>
      </c>
      <c r="Y21" s="44">
        <v>1243.21029</v>
      </c>
      <c r="Z21" s="51"/>
      <c r="AA21" s="52"/>
      <c r="AB21" s="52"/>
      <c r="AC21" s="53"/>
      <c r="AD21" s="48"/>
      <c r="AE21" s="45"/>
      <c r="AF21" s="45"/>
    </row>
    <row r="22" spans="1:32" ht="12" customHeight="1" x14ac:dyDescent="0.2">
      <c r="A22" s="49">
        <v>2011</v>
      </c>
      <c r="B22" s="49" t="s">
        <v>5</v>
      </c>
      <c r="C22" s="60">
        <v>708.6417100000001</v>
      </c>
      <c r="D22" s="60">
        <v>112.48378</v>
      </c>
      <c r="E22" s="60">
        <v>547.80054000000007</v>
      </c>
      <c r="F22" s="60">
        <v>95.330669999999998</v>
      </c>
      <c r="G22" s="60"/>
      <c r="H22" s="60">
        <v>0</v>
      </c>
      <c r="I22" s="60">
        <v>0</v>
      </c>
      <c r="J22" s="65">
        <v>1464.2567000000001</v>
      </c>
      <c r="K22" s="42"/>
      <c r="L22" s="60">
        <v>0.33400000000000002</v>
      </c>
      <c r="M22" s="60">
        <v>0</v>
      </c>
      <c r="N22" s="60">
        <v>0</v>
      </c>
      <c r="O22" s="60">
        <v>469.37486999999999</v>
      </c>
      <c r="P22" s="60">
        <v>0</v>
      </c>
      <c r="Q22" s="60"/>
      <c r="R22" s="60">
        <v>0</v>
      </c>
      <c r="S22" s="65">
        <v>469.70886999999999</v>
      </c>
      <c r="T22" s="41"/>
      <c r="U22" s="85"/>
      <c r="V22" s="41"/>
      <c r="W22" s="65">
        <v>1933.9655700000001</v>
      </c>
      <c r="X22" s="44">
        <v>469.70886999999999</v>
      </c>
      <c r="Y22" s="44">
        <v>1464.2567000000001</v>
      </c>
      <c r="Z22" s="51"/>
      <c r="AA22" s="52"/>
      <c r="AB22" s="52"/>
      <c r="AC22" s="53"/>
      <c r="AD22" s="48"/>
      <c r="AE22" s="45"/>
      <c r="AF22" s="45"/>
    </row>
    <row r="23" spans="1:32" ht="12" customHeight="1" x14ac:dyDescent="0.2">
      <c r="A23" s="49">
        <v>2011</v>
      </c>
      <c r="B23" s="49" t="s">
        <v>6</v>
      </c>
      <c r="C23" s="60">
        <v>438.44445000000002</v>
      </c>
      <c r="D23" s="60">
        <v>44.998199999999997</v>
      </c>
      <c r="E23" s="60">
        <v>110.78866000000001</v>
      </c>
      <c r="F23" s="60">
        <v>127.25466</v>
      </c>
      <c r="G23" s="60"/>
      <c r="H23" s="60">
        <v>0</v>
      </c>
      <c r="I23" s="60">
        <v>0</v>
      </c>
      <c r="J23" s="65">
        <v>721.48596999999995</v>
      </c>
      <c r="K23" s="42"/>
      <c r="L23" s="60">
        <v>0.34300000000000003</v>
      </c>
      <c r="M23" s="60">
        <v>0</v>
      </c>
      <c r="N23" s="60">
        <v>0</v>
      </c>
      <c r="O23" s="60">
        <v>0</v>
      </c>
      <c r="P23" s="60">
        <v>5.19808</v>
      </c>
      <c r="Q23" s="60"/>
      <c r="R23" s="60">
        <v>0</v>
      </c>
      <c r="S23" s="65">
        <v>5.54108</v>
      </c>
      <c r="T23" s="41"/>
      <c r="U23" s="85"/>
      <c r="V23" s="41"/>
      <c r="W23" s="65">
        <v>727.02704999999992</v>
      </c>
      <c r="X23" s="44">
        <v>5.54108</v>
      </c>
      <c r="Y23" s="44">
        <v>721.48596999999995</v>
      </c>
      <c r="Z23" s="51"/>
      <c r="AA23" s="52"/>
      <c r="AB23" s="52"/>
      <c r="AC23" s="53"/>
      <c r="AD23" s="48"/>
      <c r="AE23" s="45"/>
      <c r="AF23" s="45"/>
    </row>
    <row r="24" spans="1:32" ht="12" customHeight="1" x14ac:dyDescent="0.2">
      <c r="A24" s="49">
        <v>2011</v>
      </c>
      <c r="B24" s="49" t="s">
        <v>7</v>
      </c>
      <c r="C24" s="60">
        <v>1095.2604100000001</v>
      </c>
      <c r="D24" s="60">
        <v>70.798749999999998</v>
      </c>
      <c r="E24" s="60">
        <v>213.23784000000003</v>
      </c>
      <c r="F24" s="60">
        <v>197.22278</v>
      </c>
      <c r="G24" s="60"/>
      <c r="H24" s="60">
        <v>0</v>
      </c>
      <c r="I24" s="60">
        <v>0</v>
      </c>
      <c r="J24" s="65">
        <v>1576.5197800000001</v>
      </c>
      <c r="K24" s="42"/>
      <c r="L24" s="60">
        <v>0.35099999999999998</v>
      </c>
      <c r="M24" s="60">
        <v>0</v>
      </c>
      <c r="N24" s="60">
        <v>0</v>
      </c>
      <c r="O24" s="60">
        <v>25.80237</v>
      </c>
      <c r="P24" s="60">
        <v>1007.4413899999998</v>
      </c>
      <c r="Q24" s="60"/>
      <c r="R24" s="60">
        <v>0</v>
      </c>
      <c r="S24" s="65">
        <v>1033.59476</v>
      </c>
      <c r="T24" s="41"/>
      <c r="U24" s="85"/>
      <c r="V24" s="41"/>
      <c r="W24" s="65">
        <v>2610.11454</v>
      </c>
      <c r="X24" s="44">
        <v>1033.59476</v>
      </c>
      <c r="Y24" s="44">
        <v>1576.5197800000001</v>
      </c>
      <c r="Z24" s="51"/>
      <c r="AA24" s="52"/>
      <c r="AB24" s="52"/>
      <c r="AC24" s="53"/>
      <c r="AD24" s="48"/>
      <c r="AE24" s="45"/>
      <c r="AF24" s="45"/>
    </row>
    <row r="25" spans="1:32" ht="12" customHeight="1" x14ac:dyDescent="0.2">
      <c r="A25" s="49">
        <v>2011</v>
      </c>
      <c r="B25" s="49" t="s">
        <v>8</v>
      </c>
      <c r="C25" s="60">
        <v>371.72588999999999</v>
      </c>
      <c r="D25" s="60">
        <v>0</v>
      </c>
      <c r="E25" s="60">
        <v>88.114020000000011</v>
      </c>
      <c r="F25" s="60">
        <v>144.10910999999999</v>
      </c>
      <c r="G25" s="60"/>
      <c r="H25" s="60">
        <v>0</v>
      </c>
      <c r="I25" s="60">
        <v>0</v>
      </c>
      <c r="J25" s="65">
        <v>603.94902000000002</v>
      </c>
      <c r="K25" s="42"/>
      <c r="L25" s="60">
        <v>0.35499999999999998</v>
      </c>
      <c r="M25" s="60">
        <v>0</v>
      </c>
      <c r="N25" s="60">
        <v>166.45517999999998</v>
      </c>
      <c r="O25" s="60">
        <v>0</v>
      </c>
      <c r="P25" s="60">
        <v>0</v>
      </c>
      <c r="Q25" s="60"/>
      <c r="R25" s="60">
        <v>0</v>
      </c>
      <c r="S25" s="65">
        <v>166.81017999999997</v>
      </c>
      <c r="T25" s="41"/>
      <c r="U25" s="85"/>
      <c r="V25" s="41"/>
      <c r="W25" s="65">
        <v>770.75919999999996</v>
      </c>
      <c r="X25" s="44">
        <v>166.81017999999997</v>
      </c>
      <c r="Y25" s="44">
        <v>603.94902000000002</v>
      </c>
      <c r="Z25" s="51"/>
      <c r="AA25" s="52"/>
      <c r="AB25" s="52"/>
      <c r="AC25" s="53"/>
      <c r="AD25" s="48"/>
      <c r="AE25" s="45"/>
      <c r="AF25" s="45"/>
    </row>
    <row r="26" spans="1:32" ht="12" customHeight="1" x14ac:dyDescent="0.2">
      <c r="A26" s="49">
        <v>2011</v>
      </c>
      <c r="B26" s="49" t="s">
        <v>9</v>
      </c>
      <c r="C26" s="60">
        <v>299.34699999999998</v>
      </c>
      <c r="D26" s="60">
        <v>0</v>
      </c>
      <c r="E26" s="60">
        <v>35.667000000000002</v>
      </c>
      <c r="F26" s="60">
        <v>304.714</v>
      </c>
      <c r="G26" s="60"/>
      <c r="H26" s="60">
        <v>0</v>
      </c>
      <c r="I26" s="60">
        <v>0</v>
      </c>
      <c r="J26" s="65">
        <v>639.72800000000007</v>
      </c>
      <c r="K26" s="42"/>
      <c r="L26" s="60">
        <v>0.36299999999999999</v>
      </c>
      <c r="M26" s="60">
        <v>0</v>
      </c>
      <c r="N26" s="60">
        <v>787.56272999999999</v>
      </c>
      <c r="O26" s="60">
        <v>0</v>
      </c>
      <c r="P26" s="60">
        <v>0</v>
      </c>
      <c r="Q26" s="60"/>
      <c r="R26" s="60">
        <v>0</v>
      </c>
      <c r="S26" s="65">
        <v>787.92573000000004</v>
      </c>
      <c r="T26" s="41"/>
      <c r="U26" s="85"/>
      <c r="V26" s="41"/>
      <c r="W26" s="65">
        <v>1427.65373</v>
      </c>
      <c r="X26" s="44">
        <v>787.92573000000004</v>
      </c>
      <c r="Y26" s="44">
        <v>639.72800000000007</v>
      </c>
      <c r="Z26" s="51"/>
      <c r="AA26" s="52"/>
      <c r="AB26" s="52"/>
      <c r="AC26" s="53"/>
      <c r="AD26" s="48"/>
      <c r="AE26" s="45"/>
      <c r="AF26" s="45"/>
    </row>
    <row r="27" spans="1:32" ht="12" customHeight="1" x14ac:dyDescent="0.2">
      <c r="A27" s="49">
        <v>2011</v>
      </c>
      <c r="B27" s="49" t="s">
        <v>10</v>
      </c>
      <c r="C27" s="60">
        <v>494.23203000000001</v>
      </c>
      <c r="D27" s="60">
        <v>0</v>
      </c>
      <c r="E27" s="60">
        <v>0.15039</v>
      </c>
      <c r="F27" s="60">
        <v>277.14168000000001</v>
      </c>
      <c r="G27" s="60"/>
      <c r="H27" s="60">
        <v>0</v>
      </c>
      <c r="I27" s="60">
        <v>0</v>
      </c>
      <c r="J27" s="65">
        <v>771.52410000000009</v>
      </c>
      <c r="K27" s="42"/>
      <c r="L27" s="60">
        <v>0.49374000000000001</v>
      </c>
      <c r="M27" s="60">
        <v>0</v>
      </c>
      <c r="N27" s="60">
        <v>0</v>
      </c>
      <c r="O27" s="60">
        <v>0</v>
      </c>
      <c r="P27" s="60">
        <v>0</v>
      </c>
      <c r="Q27" s="60"/>
      <c r="R27" s="60">
        <v>0</v>
      </c>
      <c r="S27" s="65">
        <v>0.49374000000000001</v>
      </c>
      <c r="T27" s="41"/>
      <c r="U27" s="85"/>
      <c r="V27" s="41"/>
      <c r="W27" s="65">
        <v>772.01784000000009</v>
      </c>
      <c r="X27" s="44">
        <v>0.49374000000000001</v>
      </c>
      <c r="Y27" s="44">
        <v>771.52410000000009</v>
      </c>
      <c r="Z27" s="51"/>
      <c r="AA27" s="52"/>
      <c r="AB27" s="52"/>
      <c r="AC27" s="53"/>
      <c r="AD27" s="48"/>
      <c r="AE27" s="45"/>
      <c r="AF27" s="45"/>
    </row>
    <row r="28" spans="1:32" ht="12" customHeight="1" x14ac:dyDescent="0.2">
      <c r="A28" s="49">
        <v>2011</v>
      </c>
      <c r="B28" s="49" t="s">
        <v>11</v>
      </c>
      <c r="C28" s="60">
        <v>559.94000000000005</v>
      </c>
      <c r="D28" s="60">
        <v>0</v>
      </c>
      <c r="E28" s="60">
        <v>0</v>
      </c>
      <c r="F28" s="60">
        <v>312.58299</v>
      </c>
      <c r="G28" s="60"/>
      <c r="H28" s="60">
        <v>0</v>
      </c>
      <c r="I28" s="60">
        <v>0</v>
      </c>
      <c r="J28" s="65">
        <v>872.52299000000005</v>
      </c>
      <c r="K28" s="42"/>
      <c r="L28" s="60">
        <v>0.29514999999999997</v>
      </c>
      <c r="M28" s="60">
        <v>0</v>
      </c>
      <c r="N28" s="60">
        <v>0</v>
      </c>
      <c r="O28" s="60">
        <v>473.93746000000004</v>
      </c>
      <c r="P28" s="60">
        <v>959.72182999999995</v>
      </c>
      <c r="Q28" s="60"/>
      <c r="R28" s="60">
        <v>0</v>
      </c>
      <c r="S28" s="65">
        <v>1433.95444</v>
      </c>
      <c r="T28" s="41"/>
      <c r="U28" s="85"/>
      <c r="V28" s="41"/>
      <c r="W28" s="65">
        <v>2306.4774299999999</v>
      </c>
      <c r="X28" s="44">
        <v>1433.95444</v>
      </c>
      <c r="Y28" s="44">
        <v>872.52299000000005</v>
      </c>
      <c r="Z28" s="51"/>
      <c r="AA28" s="52"/>
      <c r="AB28" s="52"/>
      <c r="AC28" s="53"/>
      <c r="AD28" s="48"/>
      <c r="AE28" s="45"/>
      <c r="AF28" s="45"/>
    </row>
    <row r="29" spans="1:32" ht="12" customHeight="1" x14ac:dyDescent="0.2">
      <c r="A29" s="49">
        <v>2011</v>
      </c>
      <c r="B29" s="49" t="s">
        <v>12</v>
      </c>
      <c r="C29" s="60">
        <v>379.67128000000002</v>
      </c>
      <c r="D29" s="60">
        <v>68.62227</v>
      </c>
      <c r="E29" s="60">
        <v>0</v>
      </c>
      <c r="F29" s="60">
        <v>329.33466999999996</v>
      </c>
      <c r="G29" s="60"/>
      <c r="H29" s="60">
        <v>0</v>
      </c>
      <c r="I29" s="60">
        <v>0</v>
      </c>
      <c r="J29" s="65">
        <v>777.62822000000006</v>
      </c>
      <c r="K29" s="42"/>
      <c r="L29" s="60">
        <v>0.154</v>
      </c>
      <c r="M29" s="60">
        <v>0</v>
      </c>
      <c r="N29" s="60">
        <v>255.10652999999999</v>
      </c>
      <c r="O29" s="60">
        <v>1123.38229</v>
      </c>
      <c r="P29" s="60">
        <v>468.88216999999997</v>
      </c>
      <c r="Q29" s="60"/>
      <c r="R29" s="60">
        <v>0</v>
      </c>
      <c r="S29" s="65">
        <v>1847.5249899999999</v>
      </c>
      <c r="T29" s="41"/>
      <c r="U29" s="85"/>
      <c r="V29" s="41"/>
      <c r="W29" s="65">
        <v>2625.1532099999999</v>
      </c>
      <c r="X29" s="44">
        <v>1847.5249899999999</v>
      </c>
      <c r="Y29" s="44">
        <v>777.62822000000006</v>
      </c>
      <c r="Z29" s="51"/>
      <c r="AA29" s="52"/>
      <c r="AB29" s="52"/>
      <c r="AC29" s="53"/>
      <c r="AD29" s="48"/>
      <c r="AE29" s="45"/>
      <c r="AF29" s="45"/>
    </row>
    <row r="30" spans="1:32" ht="12" customHeight="1" x14ac:dyDescent="0.2">
      <c r="A30" s="49">
        <v>2011</v>
      </c>
      <c r="B30" s="49" t="s">
        <v>13</v>
      </c>
      <c r="C30" s="60">
        <v>194.75835999999998</v>
      </c>
      <c r="D30" s="60">
        <v>0</v>
      </c>
      <c r="E30" s="60">
        <v>0</v>
      </c>
      <c r="F30" s="60">
        <v>298.22928000000002</v>
      </c>
      <c r="G30" s="60"/>
      <c r="H30" s="60">
        <v>0</v>
      </c>
      <c r="I30" s="60">
        <v>0</v>
      </c>
      <c r="J30" s="65">
        <v>492.98764</v>
      </c>
      <c r="K30" s="42"/>
      <c r="L30" s="60">
        <v>0.35422000000000003</v>
      </c>
      <c r="M30" s="60">
        <v>0</v>
      </c>
      <c r="N30" s="60">
        <v>463.04682000000003</v>
      </c>
      <c r="O30" s="60">
        <v>0</v>
      </c>
      <c r="P30" s="60">
        <v>924.74900000000002</v>
      </c>
      <c r="Q30" s="60"/>
      <c r="R30" s="60">
        <v>0</v>
      </c>
      <c r="S30" s="65">
        <v>1388.15004</v>
      </c>
      <c r="T30" s="41"/>
      <c r="U30" s="85"/>
      <c r="V30" s="41"/>
      <c r="W30" s="65">
        <v>1881.13768</v>
      </c>
      <c r="X30" s="44">
        <v>1388.15004</v>
      </c>
      <c r="Y30" s="44">
        <v>492.98764</v>
      </c>
      <c r="Z30" s="51"/>
      <c r="AA30" s="52"/>
      <c r="AB30" s="52"/>
      <c r="AC30" s="53"/>
      <c r="AD30" s="48"/>
      <c r="AE30" s="45"/>
      <c r="AF30" s="45"/>
    </row>
    <row r="31" spans="1:32" ht="12" customHeight="1" x14ac:dyDescent="0.2">
      <c r="A31" s="49">
        <v>2011</v>
      </c>
      <c r="B31" s="49" t="s">
        <v>14</v>
      </c>
      <c r="C31" s="60">
        <v>178.74948999999998</v>
      </c>
      <c r="D31" s="60">
        <v>0</v>
      </c>
      <c r="E31" s="60">
        <v>0</v>
      </c>
      <c r="F31" s="60">
        <v>318.75</v>
      </c>
      <c r="G31" s="60"/>
      <c r="H31" s="60">
        <v>0</v>
      </c>
      <c r="I31" s="60">
        <v>0</v>
      </c>
      <c r="J31" s="65">
        <v>497.49948999999998</v>
      </c>
      <c r="K31" s="42"/>
      <c r="L31" s="60">
        <v>0.157</v>
      </c>
      <c r="M31" s="60">
        <v>0</v>
      </c>
      <c r="N31" s="60">
        <v>464.97311999999999</v>
      </c>
      <c r="O31" s="60">
        <v>0</v>
      </c>
      <c r="P31" s="60">
        <v>0</v>
      </c>
      <c r="Q31" s="60"/>
      <c r="R31" s="60">
        <v>0</v>
      </c>
      <c r="S31" s="65">
        <v>465.13011999999998</v>
      </c>
      <c r="T31" s="41"/>
      <c r="U31" s="85"/>
      <c r="V31" s="41"/>
      <c r="W31" s="65">
        <v>962.62960999999996</v>
      </c>
      <c r="X31" s="44">
        <v>465.13011999999998</v>
      </c>
      <c r="Y31" s="44">
        <v>497.49948999999998</v>
      </c>
      <c r="Z31" s="51"/>
      <c r="AA31" s="52"/>
      <c r="AB31" s="52"/>
      <c r="AC31" s="53"/>
      <c r="AD31" s="48"/>
      <c r="AE31" s="45"/>
      <c r="AF31" s="45"/>
    </row>
    <row r="32" spans="1:32" ht="12" customHeight="1" x14ac:dyDescent="0.2">
      <c r="A32" s="49">
        <v>2011</v>
      </c>
      <c r="B32" s="49" t="s">
        <v>15</v>
      </c>
      <c r="C32" s="60">
        <v>5880.295180000001</v>
      </c>
      <c r="D32" s="60">
        <v>380.68083999999999</v>
      </c>
      <c r="E32" s="60">
        <v>2235.6385599999999</v>
      </c>
      <c r="F32" s="60">
        <v>2559.9818800000003</v>
      </c>
      <c r="G32" s="60"/>
      <c r="H32" s="60">
        <v>0</v>
      </c>
      <c r="I32" s="60">
        <v>0</v>
      </c>
      <c r="J32" s="65">
        <v>11056.596460000001</v>
      </c>
      <c r="K32" s="42"/>
      <c r="L32" s="60">
        <v>4.0361099999999999</v>
      </c>
      <c r="M32" s="60">
        <v>0</v>
      </c>
      <c r="N32" s="60">
        <v>2137.1443800000002</v>
      </c>
      <c r="O32" s="60">
        <v>2552.3883800000003</v>
      </c>
      <c r="P32" s="60">
        <v>3365.9924700000001</v>
      </c>
      <c r="Q32" s="60"/>
      <c r="R32" s="60">
        <v>0</v>
      </c>
      <c r="S32" s="65">
        <v>8059.5613400000011</v>
      </c>
      <c r="T32" s="41"/>
      <c r="U32" s="84"/>
      <c r="V32" s="41"/>
      <c r="W32" s="65">
        <v>19116.157800000001</v>
      </c>
      <c r="X32" s="44">
        <v>8059.5613400000011</v>
      </c>
      <c r="Y32" s="44">
        <v>11056.596460000001</v>
      </c>
      <c r="Z32" s="51"/>
      <c r="AA32" s="52"/>
      <c r="AB32" s="52"/>
      <c r="AC32" s="53"/>
      <c r="AD32" s="48"/>
      <c r="AE32" s="45"/>
      <c r="AF32" s="45"/>
    </row>
    <row r="33" spans="1:32" ht="12" customHeight="1" x14ac:dyDescent="0.2">
      <c r="A33" s="49">
        <v>2012</v>
      </c>
      <c r="B33" s="49" t="s">
        <v>3</v>
      </c>
      <c r="C33" s="60">
        <v>830.43385000000001</v>
      </c>
      <c r="D33" s="60">
        <v>0</v>
      </c>
      <c r="E33" s="60">
        <v>0</v>
      </c>
      <c r="F33" s="60">
        <v>341.80640999999997</v>
      </c>
      <c r="G33" s="60"/>
      <c r="H33" s="60">
        <v>0</v>
      </c>
      <c r="I33" s="60">
        <v>0</v>
      </c>
      <c r="J33" s="65">
        <v>1172.24026</v>
      </c>
      <c r="K33" s="42"/>
      <c r="L33" s="60">
        <v>0.52346999999999999</v>
      </c>
      <c r="M33" s="60">
        <v>0</v>
      </c>
      <c r="N33" s="60">
        <v>227.82550000000001</v>
      </c>
      <c r="O33" s="60">
        <v>777.15290000000005</v>
      </c>
      <c r="P33" s="60">
        <v>36.23733</v>
      </c>
      <c r="Q33" s="60"/>
      <c r="R33" s="60">
        <v>0</v>
      </c>
      <c r="S33" s="65">
        <v>1041.7392</v>
      </c>
      <c r="T33" s="41"/>
      <c r="U33" s="85"/>
      <c r="V33" s="41"/>
      <c r="W33" s="65">
        <v>2213.97946</v>
      </c>
      <c r="X33" s="44">
        <v>1041.7392</v>
      </c>
      <c r="Y33" s="44">
        <v>1172.24026</v>
      </c>
      <c r="Z33" s="51"/>
      <c r="AA33" s="52"/>
      <c r="AB33" s="52"/>
      <c r="AC33" s="53"/>
      <c r="AD33" s="48"/>
      <c r="AE33" s="45"/>
      <c r="AF33" s="45"/>
    </row>
    <row r="34" spans="1:32" ht="12" customHeight="1" x14ac:dyDescent="0.2">
      <c r="A34" s="49">
        <v>2012</v>
      </c>
      <c r="B34" s="49" t="s">
        <v>4</v>
      </c>
      <c r="C34" s="60">
        <v>707.3800500000001</v>
      </c>
      <c r="D34" s="60">
        <v>5.7498900000000006</v>
      </c>
      <c r="E34" s="60">
        <v>24.83972</v>
      </c>
      <c r="F34" s="60">
        <v>282.31511999999998</v>
      </c>
      <c r="G34" s="60"/>
      <c r="H34" s="60">
        <v>0</v>
      </c>
      <c r="I34" s="60">
        <v>0</v>
      </c>
      <c r="J34" s="65">
        <v>1020.2847800000002</v>
      </c>
      <c r="K34" s="42"/>
      <c r="L34" s="60">
        <v>0.29347000000000001</v>
      </c>
      <c r="M34" s="60">
        <v>0</v>
      </c>
      <c r="N34" s="60">
        <v>225.78379000000001</v>
      </c>
      <c r="O34" s="60">
        <v>1079.68433</v>
      </c>
      <c r="P34" s="60">
        <v>0</v>
      </c>
      <c r="Q34" s="60"/>
      <c r="R34" s="60">
        <v>0</v>
      </c>
      <c r="S34" s="65">
        <v>1305.7615900000001</v>
      </c>
      <c r="T34" s="41"/>
      <c r="U34" s="85"/>
      <c r="V34" s="41"/>
      <c r="W34" s="65">
        <v>2326.04637</v>
      </c>
      <c r="X34" s="44">
        <v>1305.7615900000001</v>
      </c>
      <c r="Y34" s="44">
        <v>1020.2847800000002</v>
      </c>
      <c r="Z34" s="51"/>
      <c r="AA34" s="52"/>
      <c r="AB34" s="52"/>
      <c r="AC34" s="53"/>
      <c r="AD34" s="48"/>
      <c r="AE34" s="45"/>
      <c r="AF34" s="45"/>
    </row>
    <row r="35" spans="1:32" ht="12" customHeight="1" x14ac:dyDescent="0.2">
      <c r="A35" s="49">
        <v>2012</v>
      </c>
      <c r="B35" s="49" t="s">
        <v>5</v>
      </c>
      <c r="C35" s="60">
        <v>310.69936000000001</v>
      </c>
      <c r="D35" s="60">
        <v>0</v>
      </c>
      <c r="E35" s="60">
        <v>0</v>
      </c>
      <c r="F35" s="60">
        <v>355.18083000000001</v>
      </c>
      <c r="G35" s="60"/>
      <c r="H35" s="60">
        <v>0</v>
      </c>
      <c r="I35" s="60">
        <v>0</v>
      </c>
      <c r="J35" s="65">
        <v>665.88019000000008</v>
      </c>
      <c r="K35" s="42"/>
      <c r="L35" s="60">
        <v>0.88942999999999983</v>
      </c>
      <c r="M35" s="60">
        <v>0</v>
      </c>
      <c r="N35" s="60">
        <v>913.13747999999998</v>
      </c>
      <c r="O35" s="60">
        <v>1118.1563699999999</v>
      </c>
      <c r="P35" s="60">
        <v>0</v>
      </c>
      <c r="Q35" s="60"/>
      <c r="R35" s="60">
        <v>0</v>
      </c>
      <c r="S35" s="65">
        <v>2032.1832799999997</v>
      </c>
      <c r="T35" s="41"/>
      <c r="U35" s="85"/>
      <c r="V35" s="41"/>
      <c r="W35" s="65">
        <v>2698.0634700000001</v>
      </c>
      <c r="X35" s="44">
        <v>2032.1832799999997</v>
      </c>
      <c r="Y35" s="44">
        <v>665.88019000000008</v>
      </c>
      <c r="Z35" s="51"/>
      <c r="AA35" s="52"/>
      <c r="AB35" s="52"/>
      <c r="AC35" s="53"/>
      <c r="AD35" s="48"/>
      <c r="AE35" s="45"/>
      <c r="AF35" s="45"/>
    </row>
    <row r="36" spans="1:32" ht="12" customHeight="1" x14ac:dyDescent="0.2">
      <c r="A36" s="49">
        <v>2012</v>
      </c>
      <c r="B36" s="49" t="s">
        <v>6</v>
      </c>
      <c r="C36" s="60">
        <v>280.35670999999996</v>
      </c>
      <c r="D36" s="60">
        <v>0</v>
      </c>
      <c r="E36" s="60">
        <v>0</v>
      </c>
      <c r="F36" s="60">
        <v>270.60000000000002</v>
      </c>
      <c r="G36" s="60"/>
      <c r="H36" s="60">
        <v>0</v>
      </c>
      <c r="I36" s="60">
        <v>0</v>
      </c>
      <c r="J36" s="65">
        <v>550.95670999999993</v>
      </c>
      <c r="K36" s="42"/>
      <c r="L36" s="60">
        <v>0.85207999999999995</v>
      </c>
      <c r="M36" s="60">
        <v>0</v>
      </c>
      <c r="N36" s="60">
        <v>1691.5741499999999</v>
      </c>
      <c r="O36" s="60">
        <v>0</v>
      </c>
      <c r="P36" s="60">
        <v>1324.6152500000001</v>
      </c>
      <c r="Q36" s="60"/>
      <c r="R36" s="60">
        <v>0</v>
      </c>
      <c r="S36" s="65">
        <v>3017.0414799999999</v>
      </c>
      <c r="T36" s="41"/>
      <c r="U36" s="85"/>
      <c r="V36" s="41"/>
      <c r="W36" s="65">
        <v>3567.9981899999998</v>
      </c>
      <c r="X36" s="44">
        <v>3017.0414799999999</v>
      </c>
      <c r="Y36" s="44">
        <v>550.95670999999993</v>
      </c>
      <c r="Z36" s="51"/>
      <c r="AA36" s="52"/>
      <c r="AB36" s="52"/>
      <c r="AC36" s="53"/>
      <c r="AD36" s="48"/>
      <c r="AE36" s="45"/>
      <c r="AF36" s="45"/>
    </row>
    <row r="37" spans="1:32" ht="12" customHeight="1" x14ac:dyDescent="0.2">
      <c r="A37" s="49">
        <v>2012</v>
      </c>
      <c r="B37" s="49" t="s">
        <v>7</v>
      </c>
      <c r="C37" s="60">
        <v>142.65173999999999</v>
      </c>
      <c r="D37" s="60">
        <v>0</v>
      </c>
      <c r="E37" s="60">
        <v>0</v>
      </c>
      <c r="F37" s="60">
        <v>291.11</v>
      </c>
      <c r="G37" s="60"/>
      <c r="H37" s="60">
        <v>0</v>
      </c>
      <c r="I37" s="60">
        <v>0</v>
      </c>
      <c r="J37" s="65">
        <v>433.76174000000003</v>
      </c>
      <c r="K37" s="42"/>
      <c r="L37" s="60">
        <v>1.11531</v>
      </c>
      <c r="M37" s="60">
        <v>0</v>
      </c>
      <c r="N37" s="60">
        <v>815.13475000000005</v>
      </c>
      <c r="O37" s="60">
        <v>2407.00279</v>
      </c>
      <c r="P37" s="60">
        <v>84.779990000000012</v>
      </c>
      <c r="Q37" s="60"/>
      <c r="R37" s="60">
        <v>0</v>
      </c>
      <c r="S37" s="65">
        <v>3308.0328399999999</v>
      </c>
      <c r="T37" s="41"/>
      <c r="U37" s="85"/>
      <c r="V37" s="41"/>
      <c r="W37" s="65">
        <v>3741.7945799999998</v>
      </c>
      <c r="X37" s="44">
        <v>3308.0328399999999</v>
      </c>
      <c r="Y37" s="44">
        <v>433.76174000000003</v>
      </c>
      <c r="Z37" s="51"/>
      <c r="AA37" s="52"/>
      <c r="AB37" s="52"/>
      <c r="AC37" s="53"/>
      <c r="AD37" s="48"/>
      <c r="AE37" s="45"/>
      <c r="AF37" s="45"/>
    </row>
    <row r="38" spans="1:32" x14ac:dyDescent="0.2">
      <c r="A38" s="49">
        <v>2012</v>
      </c>
      <c r="B38" s="49" t="s">
        <v>8</v>
      </c>
      <c r="C38" s="60">
        <v>253.34</v>
      </c>
      <c r="D38" s="60">
        <v>0</v>
      </c>
      <c r="E38" s="60">
        <v>0</v>
      </c>
      <c r="F38" s="60">
        <v>250.85</v>
      </c>
      <c r="G38" s="60"/>
      <c r="H38" s="60">
        <v>0</v>
      </c>
      <c r="I38" s="60">
        <v>0</v>
      </c>
      <c r="J38" s="65">
        <v>504.19</v>
      </c>
      <c r="K38" s="42"/>
      <c r="L38" s="60">
        <v>1.173</v>
      </c>
      <c r="M38" s="60">
        <v>0</v>
      </c>
      <c r="N38" s="60">
        <v>990.60974999999996</v>
      </c>
      <c r="O38" s="60">
        <v>1685.8825699999998</v>
      </c>
      <c r="P38" s="60">
        <v>70.574239999999989</v>
      </c>
      <c r="Q38" s="60"/>
      <c r="R38" s="60">
        <v>0</v>
      </c>
      <c r="S38" s="65">
        <v>2748.2395599999995</v>
      </c>
      <c r="T38" s="41"/>
      <c r="U38" s="85"/>
      <c r="V38" s="41"/>
      <c r="W38" s="65">
        <v>3252.4295599999996</v>
      </c>
      <c r="X38" s="44">
        <v>2748.2395599999995</v>
      </c>
      <c r="Y38" s="44">
        <v>504.19</v>
      </c>
      <c r="Z38" s="51"/>
      <c r="AA38" s="52"/>
      <c r="AB38" s="52"/>
      <c r="AC38" s="53"/>
      <c r="AD38" s="48"/>
      <c r="AE38" s="45"/>
      <c r="AF38" s="45"/>
    </row>
    <row r="39" spans="1:32" x14ac:dyDescent="0.2">
      <c r="A39" s="49">
        <v>2012</v>
      </c>
      <c r="B39" s="49" t="s">
        <v>9</v>
      </c>
      <c r="C39" s="60">
        <v>327.05399999999997</v>
      </c>
      <c r="D39" s="60">
        <v>0</v>
      </c>
      <c r="E39" s="60">
        <v>0</v>
      </c>
      <c r="F39" s="60">
        <v>346.8</v>
      </c>
      <c r="G39" s="60"/>
      <c r="H39" s="60">
        <v>0</v>
      </c>
      <c r="I39" s="60">
        <v>0</v>
      </c>
      <c r="J39" s="65">
        <v>673.85400000000004</v>
      </c>
      <c r="K39" s="42"/>
      <c r="L39" s="60">
        <v>1.1985599999999998</v>
      </c>
      <c r="M39" s="60">
        <v>0</v>
      </c>
      <c r="N39" s="60">
        <v>796.96443999999997</v>
      </c>
      <c r="O39" s="60">
        <v>895.005</v>
      </c>
      <c r="P39" s="60">
        <v>2.6446399999999999</v>
      </c>
      <c r="Q39" s="60"/>
      <c r="R39" s="60">
        <v>0</v>
      </c>
      <c r="S39" s="65">
        <v>1695.8126400000001</v>
      </c>
      <c r="T39" s="41"/>
      <c r="U39" s="85"/>
      <c r="V39" s="41"/>
      <c r="W39" s="65">
        <v>2369.6666400000004</v>
      </c>
      <c r="X39" s="44">
        <v>1695.8126400000001</v>
      </c>
      <c r="Y39" s="44">
        <v>673.85400000000004</v>
      </c>
      <c r="Z39" s="51"/>
      <c r="AA39" s="52"/>
      <c r="AB39" s="52"/>
      <c r="AC39" s="53"/>
      <c r="AD39" s="48"/>
      <c r="AE39" s="45"/>
      <c r="AF39" s="45"/>
    </row>
    <row r="40" spans="1:32" x14ac:dyDescent="0.2">
      <c r="A40" s="49">
        <v>2012</v>
      </c>
      <c r="B40" s="49" t="s">
        <v>10</v>
      </c>
      <c r="C40" s="60">
        <v>352.50079999999997</v>
      </c>
      <c r="D40" s="60">
        <v>0</v>
      </c>
      <c r="E40" s="60">
        <v>69.3</v>
      </c>
      <c r="F40" s="60">
        <v>251.5</v>
      </c>
      <c r="G40" s="60"/>
      <c r="H40" s="60">
        <v>0</v>
      </c>
      <c r="I40" s="60">
        <v>0</v>
      </c>
      <c r="J40" s="65">
        <v>673.30079999999998</v>
      </c>
      <c r="K40" s="42"/>
      <c r="L40" s="60">
        <v>0.24781999999999998</v>
      </c>
      <c r="M40" s="60">
        <v>0</v>
      </c>
      <c r="N40" s="60">
        <v>604.51107999999999</v>
      </c>
      <c r="O40" s="60">
        <v>0</v>
      </c>
      <c r="P40" s="60">
        <v>971.29182000000003</v>
      </c>
      <c r="Q40" s="60"/>
      <c r="R40" s="60">
        <v>0</v>
      </c>
      <c r="S40" s="65">
        <v>1576.0507200000002</v>
      </c>
      <c r="T40" s="41"/>
      <c r="U40" s="85"/>
      <c r="V40" s="41"/>
      <c r="W40" s="65">
        <v>2249.3515200000002</v>
      </c>
      <c r="X40" s="44">
        <v>1576.0507200000002</v>
      </c>
      <c r="Y40" s="44">
        <v>673.30079999999998</v>
      </c>
      <c r="Z40" s="51"/>
      <c r="AA40" s="52"/>
      <c r="AB40" s="52"/>
      <c r="AC40" s="53"/>
      <c r="AD40" s="48"/>
      <c r="AE40" s="45"/>
      <c r="AF40" s="45"/>
    </row>
    <row r="41" spans="1:32" x14ac:dyDescent="0.2">
      <c r="A41" s="49">
        <v>2012</v>
      </c>
      <c r="B41" s="49" t="s">
        <v>11</v>
      </c>
      <c r="C41" s="60">
        <v>446.75220000000002</v>
      </c>
      <c r="D41" s="60">
        <v>0</v>
      </c>
      <c r="E41" s="60">
        <v>0</v>
      </c>
      <c r="F41" s="60">
        <v>291</v>
      </c>
      <c r="G41" s="60"/>
      <c r="H41" s="60">
        <v>0</v>
      </c>
      <c r="I41" s="60">
        <v>0</v>
      </c>
      <c r="J41" s="65">
        <v>737.75220000000002</v>
      </c>
      <c r="K41" s="42"/>
      <c r="L41" s="60">
        <v>0.86626999999999998</v>
      </c>
      <c r="M41" s="60">
        <v>0</v>
      </c>
      <c r="N41" s="60">
        <v>0</v>
      </c>
      <c r="O41" s="60">
        <v>941.42101000000002</v>
      </c>
      <c r="P41" s="60">
        <v>2.3527499999999999</v>
      </c>
      <c r="Q41" s="60"/>
      <c r="R41" s="60">
        <v>0</v>
      </c>
      <c r="S41" s="65">
        <v>944.64003000000002</v>
      </c>
      <c r="T41" s="41"/>
      <c r="U41" s="85"/>
      <c r="V41" s="41"/>
      <c r="W41" s="65">
        <v>1682.3922299999999</v>
      </c>
      <c r="X41" s="44">
        <v>944.64003000000002</v>
      </c>
      <c r="Y41" s="44">
        <v>737.75220000000002</v>
      </c>
      <c r="Z41" s="51"/>
      <c r="AA41" s="52"/>
      <c r="AB41" s="52"/>
      <c r="AC41" s="53"/>
      <c r="AD41" s="48"/>
      <c r="AE41" s="45"/>
      <c r="AF41" s="45"/>
    </row>
    <row r="42" spans="1:32" x14ac:dyDescent="0.2">
      <c r="A42" s="49">
        <v>2012</v>
      </c>
      <c r="B42" s="49" t="s">
        <v>12</v>
      </c>
      <c r="C42" s="60">
        <v>440.11759999999998</v>
      </c>
      <c r="D42" s="60">
        <v>43.264199999999995</v>
      </c>
      <c r="E42" s="60">
        <v>26.94989</v>
      </c>
      <c r="F42" s="60">
        <v>315.5</v>
      </c>
      <c r="G42" s="60"/>
      <c r="H42" s="60">
        <v>0</v>
      </c>
      <c r="I42" s="60">
        <v>0</v>
      </c>
      <c r="J42" s="65">
        <v>825.83168999999998</v>
      </c>
      <c r="K42" s="42"/>
      <c r="L42" s="60">
        <v>1.87436</v>
      </c>
      <c r="M42" s="60">
        <v>0</v>
      </c>
      <c r="N42" s="60">
        <v>2408.01593</v>
      </c>
      <c r="O42" s="60">
        <v>0</v>
      </c>
      <c r="P42" s="60">
        <v>937.6152699999999</v>
      </c>
      <c r="Q42" s="60"/>
      <c r="R42" s="60">
        <v>0</v>
      </c>
      <c r="S42" s="65">
        <v>3347.5055599999996</v>
      </c>
      <c r="T42" s="41"/>
      <c r="U42" s="85"/>
      <c r="V42" s="41"/>
      <c r="W42" s="65">
        <v>4173.3372499999996</v>
      </c>
      <c r="X42" s="44">
        <v>3347.5055599999996</v>
      </c>
      <c r="Y42" s="44">
        <v>825.83168999999998</v>
      </c>
      <c r="Z42" s="51"/>
      <c r="AA42" s="52"/>
      <c r="AB42" s="52"/>
      <c r="AC42" s="53"/>
      <c r="AD42" s="48"/>
      <c r="AE42" s="45"/>
      <c r="AF42" s="45"/>
    </row>
    <row r="43" spans="1:32" x14ac:dyDescent="0.2">
      <c r="A43" s="49">
        <v>2012</v>
      </c>
      <c r="B43" s="49" t="s">
        <v>13</v>
      </c>
      <c r="C43" s="60">
        <v>321.51979999999998</v>
      </c>
      <c r="D43" s="60">
        <v>44.756070000000001</v>
      </c>
      <c r="E43" s="60">
        <v>28.874880000000001</v>
      </c>
      <c r="F43" s="60">
        <v>340</v>
      </c>
      <c r="G43" s="60"/>
      <c r="H43" s="60">
        <v>0</v>
      </c>
      <c r="I43" s="60">
        <v>0</v>
      </c>
      <c r="J43" s="65">
        <v>735.15075000000002</v>
      </c>
      <c r="K43" s="42"/>
      <c r="L43" s="60">
        <v>2.1910500000000002</v>
      </c>
      <c r="M43" s="60">
        <v>0</v>
      </c>
      <c r="N43" s="60">
        <v>0</v>
      </c>
      <c r="O43" s="60">
        <v>24.954009999999997</v>
      </c>
      <c r="P43" s="60">
        <v>2.9418500000000001</v>
      </c>
      <c r="Q43" s="60"/>
      <c r="R43" s="60">
        <v>0</v>
      </c>
      <c r="S43" s="65">
        <v>30.086909999999996</v>
      </c>
      <c r="T43" s="41"/>
      <c r="U43" s="85"/>
      <c r="V43" s="41"/>
      <c r="W43" s="65">
        <v>765.23766000000001</v>
      </c>
      <c r="X43" s="44">
        <v>30.086909999999996</v>
      </c>
      <c r="Y43" s="44">
        <v>735.15075000000002</v>
      </c>
      <c r="Z43" s="51"/>
      <c r="AA43" s="52"/>
      <c r="AB43" s="52"/>
      <c r="AC43" s="53"/>
      <c r="AD43" s="48"/>
      <c r="AE43" s="45"/>
      <c r="AF43" s="45"/>
    </row>
    <row r="44" spans="1:32" x14ac:dyDescent="0.2">
      <c r="A44" s="49">
        <v>2012</v>
      </c>
      <c r="B44" s="49" t="s">
        <v>14</v>
      </c>
      <c r="C44" s="60">
        <v>292.51340000000005</v>
      </c>
      <c r="D44" s="60">
        <v>0</v>
      </c>
      <c r="E44" s="60">
        <v>0</v>
      </c>
      <c r="F44" s="60">
        <v>288.8</v>
      </c>
      <c r="G44" s="60"/>
      <c r="H44" s="60">
        <v>0</v>
      </c>
      <c r="I44" s="60">
        <v>0</v>
      </c>
      <c r="J44" s="65">
        <v>581.3134</v>
      </c>
      <c r="K44" s="42"/>
      <c r="L44" s="60">
        <v>3.75345</v>
      </c>
      <c r="M44" s="60">
        <v>0</v>
      </c>
      <c r="N44" s="60">
        <v>1860.4315200000001</v>
      </c>
      <c r="O44" s="60">
        <v>0</v>
      </c>
      <c r="P44" s="60">
        <v>27.57067</v>
      </c>
      <c r="Q44" s="60"/>
      <c r="R44" s="60">
        <v>0</v>
      </c>
      <c r="S44" s="65">
        <v>1891.7556400000001</v>
      </c>
      <c r="T44" s="41"/>
      <c r="U44" s="85"/>
      <c r="V44" s="41"/>
      <c r="W44" s="65">
        <v>2473.0690400000003</v>
      </c>
      <c r="X44" s="44">
        <v>1891.7556400000001</v>
      </c>
      <c r="Y44" s="44">
        <v>581.3134</v>
      </c>
      <c r="Z44" s="51"/>
      <c r="AA44" s="52"/>
      <c r="AB44" s="52"/>
      <c r="AC44" s="53"/>
      <c r="AD44" s="48"/>
      <c r="AE44" s="45"/>
      <c r="AF44" s="45"/>
    </row>
    <row r="45" spans="1:32" x14ac:dyDescent="0.2">
      <c r="A45" s="49">
        <v>2012</v>
      </c>
      <c r="B45" s="49" t="s">
        <v>15</v>
      </c>
      <c r="C45" s="60">
        <v>4705.3195099999994</v>
      </c>
      <c r="D45" s="60">
        <v>93.770160000000004</v>
      </c>
      <c r="E45" s="60">
        <v>149.96448999999998</v>
      </c>
      <c r="F45" s="60">
        <v>3625.4623600000004</v>
      </c>
      <c r="G45" s="60"/>
      <c r="H45" s="60">
        <v>0</v>
      </c>
      <c r="I45" s="60">
        <v>0</v>
      </c>
      <c r="J45" s="65">
        <v>8574.516520000001</v>
      </c>
      <c r="K45" s="42"/>
      <c r="L45" s="60">
        <v>14.978269999999998</v>
      </c>
      <c r="M45" s="60">
        <v>0</v>
      </c>
      <c r="N45" s="60">
        <v>10533.98839</v>
      </c>
      <c r="O45" s="60">
        <v>8929.2589800000005</v>
      </c>
      <c r="P45" s="60">
        <v>3460.62381</v>
      </c>
      <c r="Q45" s="60"/>
      <c r="R45" s="60">
        <v>0</v>
      </c>
      <c r="S45" s="65">
        <v>22938.849450000002</v>
      </c>
      <c r="T45" s="41"/>
      <c r="U45" s="84"/>
      <c r="V45" s="41"/>
      <c r="W45" s="65">
        <v>31513.365970000003</v>
      </c>
      <c r="X45" s="44">
        <v>22938.849450000002</v>
      </c>
      <c r="Y45" s="44">
        <v>8574.516520000001</v>
      </c>
      <c r="Z45" s="51"/>
      <c r="AA45" s="52"/>
      <c r="AB45" s="52"/>
      <c r="AC45" s="53"/>
      <c r="AD45" s="48"/>
      <c r="AE45" s="45"/>
      <c r="AF45" s="45"/>
    </row>
    <row r="46" spans="1:32" x14ac:dyDescent="0.2">
      <c r="A46" s="49">
        <v>2013</v>
      </c>
      <c r="B46" s="49" t="s">
        <v>3</v>
      </c>
      <c r="C46" s="60">
        <v>68.95</v>
      </c>
      <c r="D46" s="60">
        <v>0</v>
      </c>
      <c r="E46" s="60">
        <v>0</v>
      </c>
      <c r="F46" s="60">
        <v>406.0102</v>
      </c>
      <c r="G46" s="60"/>
      <c r="H46" s="60">
        <v>0</v>
      </c>
      <c r="I46" s="60">
        <v>0</v>
      </c>
      <c r="J46" s="65">
        <v>474.96019999999999</v>
      </c>
      <c r="K46" s="42"/>
      <c r="L46" s="60">
        <v>6.1284600000000005</v>
      </c>
      <c r="M46" s="60">
        <v>0</v>
      </c>
      <c r="N46" s="60">
        <v>0</v>
      </c>
      <c r="O46" s="60">
        <v>309.48322999999999</v>
      </c>
      <c r="P46" s="60">
        <v>3.04867</v>
      </c>
      <c r="Q46" s="60"/>
      <c r="R46" s="60">
        <v>0</v>
      </c>
      <c r="S46" s="65">
        <v>318.66036000000003</v>
      </c>
      <c r="T46" s="41"/>
      <c r="U46" s="87"/>
      <c r="V46" s="41"/>
      <c r="W46" s="65">
        <v>793.62056000000007</v>
      </c>
      <c r="X46" s="44">
        <v>318.66036000000003</v>
      </c>
      <c r="Y46" s="44">
        <v>474.96019999999999</v>
      </c>
      <c r="Z46" s="51"/>
      <c r="AA46" s="52"/>
      <c r="AB46" s="52"/>
      <c r="AC46" s="53"/>
      <c r="AD46" s="48"/>
      <c r="AE46" s="45"/>
      <c r="AF46" s="45"/>
    </row>
    <row r="47" spans="1:32" x14ac:dyDescent="0.2">
      <c r="A47" s="49">
        <v>2013</v>
      </c>
      <c r="B47" s="49" t="s">
        <v>4</v>
      </c>
      <c r="C47" s="60">
        <v>35.392000000000003</v>
      </c>
      <c r="D47" s="60">
        <v>0</v>
      </c>
      <c r="E47" s="60">
        <v>0</v>
      </c>
      <c r="F47" s="60">
        <v>294</v>
      </c>
      <c r="G47" s="60"/>
      <c r="H47" s="60">
        <v>0</v>
      </c>
      <c r="I47" s="60">
        <v>0</v>
      </c>
      <c r="J47" s="65">
        <v>329.392</v>
      </c>
      <c r="K47" s="42"/>
      <c r="L47" s="60">
        <v>6.0522000000000009</v>
      </c>
      <c r="M47" s="60">
        <v>0</v>
      </c>
      <c r="N47" s="60">
        <v>0</v>
      </c>
      <c r="O47" s="60">
        <v>649.48850000000004</v>
      </c>
      <c r="P47" s="60">
        <v>3.0422799999999999</v>
      </c>
      <c r="Q47" s="60"/>
      <c r="R47" s="60">
        <v>0</v>
      </c>
      <c r="S47" s="65">
        <v>658.58298000000002</v>
      </c>
      <c r="T47" s="41"/>
      <c r="U47" s="85"/>
      <c r="V47" s="41"/>
      <c r="W47" s="65">
        <v>987.97497999999996</v>
      </c>
      <c r="X47" s="44">
        <v>658.58298000000002</v>
      </c>
      <c r="Y47" s="44">
        <v>329.392</v>
      </c>
      <c r="Z47" s="51"/>
      <c r="AA47" s="52"/>
      <c r="AB47" s="52"/>
      <c r="AC47" s="53"/>
      <c r="AD47" s="48"/>
      <c r="AE47" s="45"/>
      <c r="AF47" s="45"/>
    </row>
    <row r="48" spans="1:32" x14ac:dyDescent="0.2">
      <c r="A48" s="49">
        <v>2013</v>
      </c>
      <c r="B48" s="49" t="s">
        <v>5</v>
      </c>
      <c r="C48" s="60">
        <v>29.376000000000001</v>
      </c>
      <c r="D48" s="60">
        <v>0</v>
      </c>
      <c r="E48" s="60">
        <v>34.107529999999997</v>
      </c>
      <c r="F48" s="60">
        <v>320.3</v>
      </c>
      <c r="G48" s="60"/>
      <c r="H48" s="60">
        <v>122.45</v>
      </c>
      <c r="I48" s="60">
        <v>0</v>
      </c>
      <c r="J48" s="65">
        <v>506.23353000000003</v>
      </c>
      <c r="K48" s="42"/>
      <c r="L48" s="60">
        <v>4.2395300000000002</v>
      </c>
      <c r="M48" s="60">
        <v>0</v>
      </c>
      <c r="N48" s="60">
        <v>0</v>
      </c>
      <c r="O48" s="60">
        <v>932.43318999999997</v>
      </c>
      <c r="P48" s="60">
        <v>879.13880000000006</v>
      </c>
      <c r="Q48" s="60"/>
      <c r="R48" s="60">
        <v>827.68955000000005</v>
      </c>
      <c r="S48" s="65">
        <v>2643.5010700000003</v>
      </c>
      <c r="T48" s="41"/>
      <c r="U48" s="85"/>
      <c r="V48" s="41"/>
      <c r="W48" s="65">
        <v>3149.7346000000002</v>
      </c>
      <c r="X48" s="44">
        <v>2643.5010700000003</v>
      </c>
      <c r="Y48" s="44">
        <v>506.23353000000003</v>
      </c>
      <c r="Z48" s="51"/>
      <c r="AA48" s="52"/>
      <c r="AB48" s="52"/>
      <c r="AC48" s="53"/>
      <c r="AD48" s="48"/>
      <c r="AE48" s="45"/>
      <c r="AF48" s="45"/>
    </row>
    <row r="49" spans="1:32" x14ac:dyDescent="0.2">
      <c r="A49" s="49">
        <v>2013</v>
      </c>
      <c r="B49" s="49" t="s">
        <v>6</v>
      </c>
      <c r="C49" s="60">
        <v>48.2</v>
      </c>
      <c r="D49" s="60">
        <v>0</v>
      </c>
      <c r="E49" s="60">
        <v>758.18912999999998</v>
      </c>
      <c r="F49" s="60">
        <v>291</v>
      </c>
      <c r="G49" s="60"/>
      <c r="H49" s="60">
        <v>495.98021999999997</v>
      </c>
      <c r="I49" s="60">
        <v>0</v>
      </c>
      <c r="J49" s="65">
        <v>1593.3693499999999</v>
      </c>
      <c r="K49" s="42"/>
      <c r="L49" s="60">
        <v>3.5711200000000001</v>
      </c>
      <c r="M49" s="60">
        <v>0</v>
      </c>
      <c r="N49" s="60">
        <v>816.28081000000009</v>
      </c>
      <c r="O49" s="60">
        <v>857.47580000000005</v>
      </c>
      <c r="P49" s="60">
        <v>2.8836999999999997</v>
      </c>
      <c r="Q49" s="60"/>
      <c r="R49" s="60">
        <v>516.07217000000003</v>
      </c>
      <c r="S49" s="65">
        <v>2196.2836000000002</v>
      </c>
      <c r="T49" s="41"/>
      <c r="U49" s="85"/>
      <c r="V49" s="41"/>
      <c r="W49" s="65">
        <v>3789.6529500000001</v>
      </c>
      <c r="X49" s="44">
        <v>2196.2836000000002</v>
      </c>
      <c r="Y49" s="44">
        <v>1593.3693499999999</v>
      </c>
      <c r="Z49" s="51"/>
      <c r="AA49" s="52"/>
      <c r="AB49" s="52"/>
      <c r="AC49" s="53"/>
      <c r="AD49" s="48"/>
      <c r="AE49" s="45"/>
      <c r="AF49" s="45"/>
    </row>
    <row r="50" spans="1:32" x14ac:dyDescent="0.2">
      <c r="A50" s="49">
        <v>2013</v>
      </c>
      <c r="B50" s="49" t="s">
        <v>7</v>
      </c>
      <c r="C50" s="60">
        <v>49.8</v>
      </c>
      <c r="D50" s="60">
        <v>0</v>
      </c>
      <c r="E50" s="60">
        <v>1731.1518199999998</v>
      </c>
      <c r="F50" s="60">
        <v>226.1</v>
      </c>
      <c r="G50" s="60"/>
      <c r="H50" s="60">
        <v>243.05</v>
      </c>
      <c r="I50" s="60">
        <v>0</v>
      </c>
      <c r="J50" s="65">
        <v>2250.1018199999999</v>
      </c>
      <c r="K50" s="42"/>
      <c r="L50" s="60">
        <v>6.4194700000000013</v>
      </c>
      <c r="M50" s="60">
        <v>0</v>
      </c>
      <c r="N50" s="60">
        <v>0</v>
      </c>
      <c r="O50" s="60">
        <v>925.99851999999998</v>
      </c>
      <c r="P50" s="60">
        <v>26.447029999999998</v>
      </c>
      <c r="Q50" s="60"/>
      <c r="R50" s="60">
        <v>2031.6852000000001</v>
      </c>
      <c r="S50" s="65">
        <v>2990.5502200000001</v>
      </c>
      <c r="T50" s="41"/>
      <c r="U50" s="85"/>
      <c r="V50" s="41"/>
      <c r="W50" s="65">
        <v>5240.6520399999999</v>
      </c>
      <c r="X50" s="44">
        <v>2990.5502200000001</v>
      </c>
      <c r="Y50" s="44">
        <v>2250.1018199999999</v>
      </c>
      <c r="Z50" s="51"/>
      <c r="AA50" s="52"/>
      <c r="AB50" s="52"/>
      <c r="AC50" s="53"/>
      <c r="AD50" s="48"/>
      <c r="AE50" s="45"/>
      <c r="AF50" s="45"/>
    </row>
    <row r="51" spans="1:32" x14ac:dyDescent="0.2">
      <c r="A51" s="49">
        <v>2013</v>
      </c>
      <c r="B51" s="49" t="s">
        <v>8</v>
      </c>
      <c r="C51" s="60">
        <v>48.1</v>
      </c>
      <c r="D51" s="60">
        <v>0</v>
      </c>
      <c r="E51" s="60">
        <v>456.72189000000009</v>
      </c>
      <c r="F51" s="60">
        <v>243.95</v>
      </c>
      <c r="G51" s="60"/>
      <c r="H51" s="60">
        <v>178.5</v>
      </c>
      <c r="I51" s="60">
        <v>0</v>
      </c>
      <c r="J51" s="65">
        <v>927.2718900000001</v>
      </c>
      <c r="K51" s="42"/>
      <c r="L51" s="60">
        <v>5.5363600000000002</v>
      </c>
      <c r="M51" s="60">
        <v>0</v>
      </c>
      <c r="N51" s="60">
        <v>0</v>
      </c>
      <c r="O51" s="60">
        <v>1012.6021</v>
      </c>
      <c r="P51" s="60">
        <v>25.036339999999999</v>
      </c>
      <c r="Q51" s="60"/>
      <c r="R51" s="60">
        <v>835.76373000000001</v>
      </c>
      <c r="S51" s="65">
        <v>1878.9385299999999</v>
      </c>
      <c r="T51" s="41"/>
      <c r="U51" s="85"/>
      <c r="V51" s="41"/>
      <c r="W51" s="65">
        <v>2806.2104199999999</v>
      </c>
      <c r="X51" s="44">
        <v>1878.9385299999999</v>
      </c>
      <c r="Y51" s="44">
        <v>927.2718900000001</v>
      </c>
      <c r="Z51" s="51"/>
      <c r="AA51" s="52"/>
      <c r="AB51" s="52"/>
      <c r="AC51" s="53"/>
      <c r="AD51" s="48"/>
      <c r="AE51" s="45"/>
      <c r="AF51" s="45"/>
    </row>
    <row r="52" spans="1:32" x14ac:dyDescent="0.2">
      <c r="A52" s="49">
        <v>2013</v>
      </c>
      <c r="B52" s="49" t="s">
        <v>9</v>
      </c>
      <c r="C52" s="60">
        <v>49.7</v>
      </c>
      <c r="D52" s="60">
        <v>0</v>
      </c>
      <c r="E52" s="60">
        <v>463.70471999999995</v>
      </c>
      <c r="F52" s="60">
        <v>226.1</v>
      </c>
      <c r="G52" s="60"/>
      <c r="H52" s="60">
        <v>77.349999999999994</v>
      </c>
      <c r="I52" s="60">
        <v>0</v>
      </c>
      <c r="J52" s="65">
        <v>816.85472000000004</v>
      </c>
      <c r="K52" s="42"/>
      <c r="L52" s="60">
        <v>2.9296800000000003</v>
      </c>
      <c r="M52" s="60">
        <v>0</v>
      </c>
      <c r="N52" s="60">
        <v>0</v>
      </c>
      <c r="O52" s="60">
        <v>1403.9762499999999</v>
      </c>
      <c r="P52" s="60">
        <v>2.9366099999999999</v>
      </c>
      <c r="Q52" s="60"/>
      <c r="R52" s="60">
        <v>1827.57476</v>
      </c>
      <c r="S52" s="65">
        <v>3237.4173000000001</v>
      </c>
      <c r="T52" s="41"/>
      <c r="U52" s="85"/>
      <c r="V52" s="41"/>
      <c r="W52" s="65">
        <v>4054.2720200000003</v>
      </c>
      <c r="X52" s="44">
        <v>3237.4173000000001</v>
      </c>
      <c r="Y52" s="44">
        <v>816.85472000000004</v>
      </c>
      <c r="Z52" s="51"/>
      <c r="AA52" s="52"/>
      <c r="AB52" s="52"/>
      <c r="AC52" s="53"/>
      <c r="AD52" s="48"/>
      <c r="AE52" s="45"/>
      <c r="AF52" s="45"/>
    </row>
    <row r="53" spans="1:32" ht="12" customHeight="1" x14ac:dyDescent="0.2">
      <c r="A53" s="49">
        <v>2013</v>
      </c>
      <c r="B53" s="49" t="s">
        <v>10</v>
      </c>
      <c r="C53" s="60">
        <v>43.6</v>
      </c>
      <c r="D53" s="60">
        <v>0</v>
      </c>
      <c r="E53" s="60">
        <v>468.70675</v>
      </c>
      <c r="F53" s="60">
        <v>248.4</v>
      </c>
      <c r="G53" s="60"/>
      <c r="H53" s="60">
        <v>92.224999999999994</v>
      </c>
      <c r="I53" s="60">
        <v>0</v>
      </c>
      <c r="J53" s="65">
        <v>852.93174999999997</v>
      </c>
      <c r="K53" s="42"/>
      <c r="L53" s="60">
        <v>3.2324399999999995</v>
      </c>
      <c r="M53" s="60">
        <v>0</v>
      </c>
      <c r="N53" s="60">
        <v>1286.4961799999999</v>
      </c>
      <c r="O53" s="60">
        <v>1095.10349</v>
      </c>
      <c r="P53" s="60">
        <v>931.66016000000002</v>
      </c>
      <c r="Q53" s="60"/>
      <c r="R53" s="60">
        <v>1663.4149399999999</v>
      </c>
      <c r="S53" s="65">
        <v>4979.9072099999994</v>
      </c>
      <c r="T53" s="41"/>
      <c r="U53" s="85"/>
      <c r="V53" s="41"/>
      <c r="W53" s="65">
        <v>5832.8389599999991</v>
      </c>
      <c r="X53" s="44">
        <v>4979.9072099999994</v>
      </c>
      <c r="Y53" s="44">
        <v>852.93174999999997</v>
      </c>
      <c r="Z53" s="51"/>
      <c r="AA53" s="52"/>
      <c r="AB53" s="52"/>
      <c r="AC53" s="53"/>
      <c r="AD53" s="48"/>
      <c r="AE53" s="45"/>
      <c r="AF53" s="45"/>
    </row>
    <row r="54" spans="1:32" ht="12" customHeight="1" x14ac:dyDescent="0.2">
      <c r="A54" s="49">
        <v>2013</v>
      </c>
      <c r="B54" s="49" t="s">
        <v>11</v>
      </c>
      <c r="C54" s="60">
        <v>47.000010000000003</v>
      </c>
      <c r="D54" s="60">
        <v>0</v>
      </c>
      <c r="E54" s="60">
        <v>635.93331000000001</v>
      </c>
      <c r="F54" s="60">
        <v>274.8</v>
      </c>
      <c r="G54" s="60"/>
      <c r="H54" s="60">
        <v>90</v>
      </c>
      <c r="I54" s="60">
        <v>0</v>
      </c>
      <c r="J54" s="65">
        <v>1047.73332</v>
      </c>
      <c r="K54" s="42"/>
      <c r="L54" s="60">
        <v>4.509030000000001</v>
      </c>
      <c r="M54" s="60">
        <v>0</v>
      </c>
      <c r="N54" s="60">
        <v>838.226</v>
      </c>
      <c r="O54" s="60">
        <v>1008.7684</v>
      </c>
      <c r="P54" s="60">
        <v>907.08789999999999</v>
      </c>
      <c r="Q54" s="60"/>
      <c r="R54" s="60">
        <v>1314.22567</v>
      </c>
      <c r="S54" s="65">
        <v>4072.817</v>
      </c>
      <c r="T54" s="41"/>
      <c r="U54" s="85"/>
      <c r="V54" s="41"/>
      <c r="W54" s="65">
        <v>5120.5503200000003</v>
      </c>
      <c r="X54" s="44">
        <v>4072.817</v>
      </c>
      <c r="Y54" s="44">
        <v>1047.73332</v>
      </c>
      <c r="Z54" s="51"/>
      <c r="AA54" s="52"/>
      <c r="AB54" s="52"/>
      <c r="AC54" s="53"/>
      <c r="AD54" s="48"/>
      <c r="AE54" s="45"/>
      <c r="AF54" s="45"/>
    </row>
    <row r="55" spans="1:32" ht="12" customHeight="1" x14ac:dyDescent="0.2">
      <c r="A55" s="49">
        <v>2013</v>
      </c>
      <c r="B55" s="49" t="s">
        <v>12</v>
      </c>
      <c r="C55" s="60">
        <v>67.899990000000003</v>
      </c>
      <c r="D55" s="60">
        <v>0</v>
      </c>
      <c r="E55" s="60">
        <v>336.64555999999993</v>
      </c>
      <c r="F55" s="60">
        <v>282.10000000000002</v>
      </c>
      <c r="G55" s="60"/>
      <c r="H55" s="60">
        <v>79.05</v>
      </c>
      <c r="I55" s="60">
        <v>0</v>
      </c>
      <c r="J55" s="65">
        <v>765.69554999999991</v>
      </c>
      <c r="K55" s="42"/>
      <c r="L55" s="60">
        <v>5.3650199999999995</v>
      </c>
      <c r="M55" s="60">
        <v>0</v>
      </c>
      <c r="N55" s="60">
        <v>842.79</v>
      </c>
      <c r="O55" s="60">
        <v>1000.79178</v>
      </c>
      <c r="P55" s="60">
        <v>352.43878000000001</v>
      </c>
      <c r="Q55" s="60"/>
      <c r="R55" s="60">
        <v>1740.5577200000002</v>
      </c>
      <c r="S55" s="65">
        <v>3941.9433000000004</v>
      </c>
      <c r="T55" s="41"/>
      <c r="U55" s="85"/>
      <c r="V55" s="41"/>
      <c r="W55" s="65">
        <v>4707.6388500000003</v>
      </c>
      <c r="X55" s="44">
        <v>3941.9433000000004</v>
      </c>
      <c r="Y55" s="44">
        <v>765.69554999999991</v>
      </c>
      <c r="Z55" s="51"/>
      <c r="AA55" s="52"/>
      <c r="AB55" s="52"/>
      <c r="AC55" s="53"/>
      <c r="AD55" s="48"/>
      <c r="AE55" s="45"/>
      <c r="AF55" s="45"/>
    </row>
    <row r="56" spans="1:32" ht="12" customHeight="1" x14ac:dyDescent="0.2">
      <c r="A56" s="49">
        <v>2013</v>
      </c>
      <c r="B56" s="49" t="s">
        <v>13</v>
      </c>
      <c r="C56" s="60">
        <v>47.822760000000002</v>
      </c>
      <c r="D56" s="60">
        <v>0</v>
      </c>
      <c r="E56" s="60">
        <v>72.428699999999992</v>
      </c>
      <c r="F56" s="60">
        <v>290.89999999999998</v>
      </c>
      <c r="G56" s="60"/>
      <c r="H56" s="60">
        <v>89.25</v>
      </c>
      <c r="I56" s="60">
        <v>0</v>
      </c>
      <c r="J56" s="65">
        <v>500.40145999999999</v>
      </c>
      <c r="K56" s="42"/>
      <c r="L56" s="60">
        <v>7.0203299999999995</v>
      </c>
      <c r="M56" s="60">
        <v>0</v>
      </c>
      <c r="N56" s="60">
        <v>0</v>
      </c>
      <c r="O56" s="60">
        <v>1045.26827</v>
      </c>
      <c r="P56" s="60">
        <v>155.56931</v>
      </c>
      <c r="Q56" s="60"/>
      <c r="R56" s="60">
        <v>0</v>
      </c>
      <c r="S56" s="65">
        <v>1207.8579100000002</v>
      </c>
      <c r="T56" s="41"/>
      <c r="U56" s="85"/>
      <c r="V56" s="41"/>
      <c r="W56" s="65">
        <v>1708.2593700000002</v>
      </c>
      <c r="X56" s="44">
        <v>1207.8579100000002</v>
      </c>
      <c r="Y56" s="44">
        <v>500.40145999999999</v>
      </c>
      <c r="Z56" s="51"/>
      <c r="AA56" s="52"/>
      <c r="AB56" s="52"/>
      <c r="AC56" s="53"/>
      <c r="AD56" s="48"/>
      <c r="AE56" s="45"/>
      <c r="AF56" s="45"/>
    </row>
    <row r="57" spans="1:32" ht="12" customHeight="1" x14ac:dyDescent="0.2">
      <c r="A57" s="49">
        <v>2013</v>
      </c>
      <c r="B57" s="49" t="s">
        <v>14</v>
      </c>
      <c r="C57" s="60">
        <v>57.162790000000001</v>
      </c>
      <c r="D57" s="60">
        <v>0</v>
      </c>
      <c r="E57" s="60">
        <v>9.3241800000000001</v>
      </c>
      <c r="F57" s="60">
        <v>264.3</v>
      </c>
      <c r="G57" s="60"/>
      <c r="H57" s="60">
        <v>113.69551</v>
      </c>
      <c r="I57" s="60">
        <v>0</v>
      </c>
      <c r="J57" s="65">
        <v>444.48248000000001</v>
      </c>
      <c r="K57" s="42"/>
      <c r="L57" s="60">
        <v>11.10371</v>
      </c>
      <c r="M57" s="60">
        <v>0</v>
      </c>
      <c r="N57" s="60">
        <v>927.58100000000002</v>
      </c>
      <c r="O57" s="60">
        <v>1157.04674</v>
      </c>
      <c r="P57" s="60">
        <v>2.7429899999999998</v>
      </c>
      <c r="Q57" s="60"/>
      <c r="R57" s="60">
        <v>1555.0275899999999</v>
      </c>
      <c r="S57" s="65">
        <v>3653.5020300000006</v>
      </c>
      <c r="T57" s="41"/>
      <c r="U57" s="85"/>
      <c r="V57" s="41"/>
      <c r="W57" s="65">
        <v>4097.9845100000002</v>
      </c>
      <c r="X57" s="44">
        <v>3653.5020300000006</v>
      </c>
      <c r="Y57" s="44">
        <v>444.48248000000001</v>
      </c>
      <c r="Z57" s="51"/>
      <c r="AA57" s="52"/>
      <c r="AB57" s="52"/>
      <c r="AC57" s="53"/>
      <c r="AD57" s="48"/>
      <c r="AE57" s="45"/>
      <c r="AF57" s="45"/>
    </row>
    <row r="58" spans="1:32" ht="12" customHeight="1" x14ac:dyDescent="0.2">
      <c r="A58" s="49">
        <v>2013</v>
      </c>
      <c r="B58" s="49" t="s">
        <v>15</v>
      </c>
      <c r="C58" s="60">
        <v>593.00355000000002</v>
      </c>
      <c r="D58" s="60">
        <v>0</v>
      </c>
      <c r="E58" s="60">
        <v>4966.9135900000001</v>
      </c>
      <c r="F58" s="60">
        <v>3367.9602</v>
      </c>
      <c r="G58" s="60"/>
      <c r="H58" s="60">
        <v>1581.5507299999997</v>
      </c>
      <c r="I58" s="60">
        <v>0</v>
      </c>
      <c r="J58" s="65">
        <v>10509.42807</v>
      </c>
      <c r="K58" s="42"/>
      <c r="L58" s="60">
        <v>66.107349999999997</v>
      </c>
      <c r="M58" s="60">
        <v>0</v>
      </c>
      <c r="N58" s="60">
        <v>4711.37399</v>
      </c>
      <c r="O58" s="60">
        <v>11398.43627</v>
      </c>
      <c r="P58" s="60">
        <v>3292.0325700000003</v>
      </c>
      <c r="Q58" s="60"/>
      <c r="R58" s="60">
        <v>12312.011330000001</v>
      </c>
      <c r="S58" s="65">
        <v>31779.961510000001</v>
      </c>
      <c r="T58" s="41"/>
      <c r="U58" s="84"/>
      <c r="V58" s="41"/>
      <c r="W58" s="65">
        <v>42289.389580000003</v>
      </c>
      <c r="X58" s="44">
        <v>31779.961510000001</v>
      </c>
      <c r="Y58" s="44">
        <v>10509.42807</v>
      </c>
      <c r="Z58" s="51"/>
      <c r="AA58" s="52"/>
      <c r="AB58" s="52"/>
      <c r="AC58" s="53"/>
      <c r="AD58" s="48"/>
      <c r="AE58" s="45"/>
      <c r="AF58" s="45"/>
    </row>
    <row r="59" spans="1:32" ht="12" customHeight="1" x14ac:dyDescent="0.2">
      <c r="A59" s="49">
        <v>2014</v>
      </c>
      <c r="B59" s="49" t="s">
        <v>3</v>
      </c>
      <c r="C59" s="60">
        <v>32.200000000000003</v>
      </c>
      <c r="D59" s="60">
        <v>0</v>
      </c>
      <c r="E59" s="60">
        <v>158.17648</v>
      </c>
      <c r="F59" s="60">
        <v>271.60000000000002</v>
      </c>
      <c r="G59" s="60">
        <v>0</v>
      </c>
      <c r="H59" s="60">
        <v>215.72270999999998</v>
      </c>
      <c r="I59" s="60">
        <v>0</v>
      </c>
      <c r="J59" s="65">
        <v>677.69919000000004</v>
      </c>
      <c r="K59" s="42"/>
      <c r="L59" s="60">
        <v>11.174530000000003</v>
      </c>
      <c r="M59" s="60">
        <v>0</v>
      </c>
      <c r="N59" s="60">
        <v>0</v>
      </c>
      <c r="O59" s="60">
        <v>0</v>
      </c>
      <c r="P59" s="60">
        <v>2.71008</v>
      </c>
      <c r="Q59" s="60"/>
      <c r="R59" s="60">
        <v>965.9678100000001</v>
      </c>
      <c r="S59" s="65">
        <v>979.85242000000005</v>
      </c>
      <c r="T59" s="41"/>
      <c r="U59" s="85">
        <v>0</v>
      </c>
      <c r="V59" s="41"/>
      <c r="W59" s="65">
        <v>1657.55161</v>
      </c>
      <c r="X59" s="44">
        <v>979.85242000000005</v>
      </c>
      <c r="Y59" s="44">
        <v>677.69919000000004</v>
      </c>
      <c r="Z59" s="51"/>
      <c r="AA59" s="52"/>
      <c r="AB59" s="52"/>
      <c r="AC59" s="53"/>
      <c r="AD59" s="48"/>
      <c r="AE59" s="45"/>
      <c r="AF59" s="45"/>
    </row>
    <row r="60" spans="1:32" ht="12" customHeight="1" x14ac:dyDescent="0.2">
      <c r="A60" s="49">
        <v>2014</v>
      </c>
      <c r="B60" s="49" t="s">
        <v>4</v>
      </c>
      <c r="C60" s="60">
        <v>30.2</v>
      </c>
      <c r="D60" s="60">
        <v>0</v>
      </c>
      <c r="E60" s="60">
        <v>11.740440000000001</v>
      </c>
      <c r="F60" s="60">
        <v>282.3</v>
      </c>
      <c r="G60" s="60">
        <v>0</v>
      </c>
      <c r="H60" s="60">
        <v>103.6</v>
      </c>
      <c r="I60" s="60">
        <v>0</v>
      </c>
      <c r="J60" s="65">
        <v>427.84044000000006</v>
      </c>
      <c r="K60" s="42"/>
      <c r="L60" s="60">
        <v>13.362580000000001</v>
      </c>
      <c r="M60" s="60">
        <v>0</v>
      </c>
      <c r="N60" s="60">
        <v>969.34901000000002</v>
      </c>
      <c r="O60" s="60">
        <v>0</v>
      </c>
      <c r="P60" s="60">
        <v>84.114379999999997</v>
      </c>
      <c r="Q60" s="60"/>
      <c r="R60" s="60">
        <v>1908.4150500000001</v>
      </c>
      <c r="S60" s="65">
        <v>2975.2410200000004</v>
      </c>
      <c r="T60" s="41"/>
      <c r="U60" s="85">
        <v>0</v>
      </c>
      <c r="V60" s="41"/>
      <c r="W60" s="65">
        <v>3403.0814600000003</v>
      </c>
      <c r="X60" s="44">
        <v>2975.2410200000004</v>
      </c>
      <c r="Y60" s="44">
        <v>427.84044000000006</v>
      </c>
      <c r="Z60" s="51"/>
      <c r="AA60" s="52"/>
      <c r="AB60" s="52"/>
      <c r="AC60" s="53"/>
      <c r="AD60" s="48"/>
      <c r="AE60" s="45"/>
      <c r="AF60" s="45"/>
    </row>
    <row r="61" spans="1:32" ht="12" customHeight="1" x14ac:dyDescent="0.2">
      <c r="A61" s="49">
        <v>2014</v>
      </c>
      <c r="B61" s="49" t="s">
        <v>5</v>
      </c>
      <c r="C61" s="60">
        <v>33</v>
      </c>
      <c r="D61" s="60">
        <v>0</v>
      </c>
      <c r="E61" s="60">
        <v>81.832890000000006</v>
      </c>
      <c r="F61" s="60">
        <v>310</v>
      </c>
      <c r="G61" s="60">
        <v>0</v>
      </c>
      <c r="H61" s="60">
        <v>270.01858999999996</v>
      </c>
      <c r="I61" s="60">
        <v>0</v>
      </c>
      <c r="J61" s="65">
        <v>694.85148000000004</v>
      </c>
      <c r="K61" s="42"/>
      <c r="L61" s="60">
        <v>13.637889999999999</v>
      </c>
      <c r="M61" s="60">
        <v>0</v>
      </c>
      <c r="N61" s="60">
        <v>1398.2414199999998</v>
      </c>
      <c r="O61" s="60">
        <v>986.10780999999997</v>
      </c>
      <c r="P61" s="60">
        <v>2653.0717599999998</v>
      </c>
      <c r="Q61" s="60"/>
      <c r="R61" s="60">
        <v>1330.4476200000001</v>
      </c>
      <c r="S61" s="65">
        <v>6381.5064999999995</v>
      </c>
      <c r="T61" s="41"/>
      <c r="U61" s="85">
        <v>0</v>
      </c>
      <c r="V61" s="41"/>
      <c r="W61" s="65">
        <v>7076.3579799999998</v>
      </c>
      <c r="X61" s="44">
        <v>6381.5064999999995</v>
      </c>
      <c r="Y61" s="44">
        <v>694.85148000000004</v>
      </c>
      <c r="Z61" s="51"/>
      <c r="AA61" s="52"/>
      <c r="AB61" s="52"/>
      <c r="AC61" s="53"/>
      <c r="AD61" s="48"/>
      <c r="AE61" s="45"/>
      <c r="AF61" s="45"/>
    </row>
    <row r="62" spans="1:32" ht="12" customHeight="1" x14ac:dyDescent="0.2">
      <c r="A62" s="49">
        <v>2014</v>
      </c>
      <c r="B62" s="49" t="s">
        <v>6</v>
      </c>
      <c r="C62" s="60">
        <v>32.2074</v>
      </c>
      <c r="D62" s="60">
        <v>0</v>
      </c>
      <c r="E62" s="60">
        <v>45.688559999999995</v>
      </c>
      <c r="F62" s="60">
        <v>268.85000000000002</v>
      </c>
      <c r="G62" s="60">
        <v>0</v>
      </c>
      <c r="H62" s="60">
        <v>261</v>
      </c>
      <c r="I62" s="60">
        <v>0</v>
      </c>
      <c r="J62" s="65">
        <v>607.74595999999997</v>
      </c>
      <c r="K62" s="42"/>
      <c r="L62" s="60">
        <v>13.656900000000002</v>
      </c>
      <c r="M62" s="60">
        <v>0</v>
      </c>
      <c r="N62" s="60">
        <v>3242.4238500000001</v>
      </c>
      <c r="O62" s="60">
        <v>3077.1869700000002</v>
      </c>
      <c r="P62" s="60">
        <v>1271.0148200000001</v>
      </c>
      <c r="Q62" s="60"/>
      <c r="R62" s="60">
        <v>851.26081999999997</v>
      </c>
      <c r="S62" s="65">
        <v>8455.5433599999997</v>
      </c>
      <c r="T62" s="41"/>
      <c r="U62" s="85">
        <v>0</v>
      </c>
      <c r="V62" s="41"/>
      <c r="W62" s="65">
        <v>9063.2893199999999</v>
      </c>
      <c r="X62" s="44">
        <v>8455.5433599999997</v>
      </c>
      <c r="Y62" s="44">
        <v>607.74595999999997</v>
      </c>
      <c r="Z62" s="54"/>
      <c r="AA62" s="52"/>
      <c r="AB62" s="52"/>
      <c r="AC62" s="53"/>
      <c r="AD62" s="48"/>
      <c r="AE62" s="45"/>
      <c r="AF62" s="45"/>
    </row>
    <row r="63" spans="1:32" ht="12" customHeight="1" x14ac:dyDescent="0.2">
      <c r="A63" s="49">
        <v>2014</v>
      </c>
      <c r="B63" s="49" t="s">
        <v>7</v>
      </c>
      <c r="C63" s="60">
        <v>33.292300000000004</v>
      </c>
      <c r="D63" s="60">
        <v>0</v>
      </c>
      <c r="E63" s="60">
        <v>30.479040000000001</v>
      </c>
      <c r="F63" s="60">
        <v>286</v>
      </c>
      <c r="G63" s="60">
        <v>0</v>
      </c>
      <c r="H63" s="60">
        <v>268.97904999999997</v>
      </c>
      <c r="I63" s="60">
        <v>0</v>
      </c>
      <c r="J63" s="65">
        <v>618.75038999999992</v>
      </c>
      <c r="K63" s="42"/>
      <c r="L63" s="60">
        <v>12.948889999999999</v>
      </c>
      <c r="M63" s="60">
        <v>0</v>
      </c>
      <c r="N63" s="60">
        <v>2063.8511200000003</v>
      </c>
      <c r="O63" s="60">
        <v>2860.8598299999999</v>
      </c>
      <c r="P63" s="60">
        <v>3.3944800000000002</v>
      </c>
      <c r="Q63" s="60"/>
      <c r="R63" s="60">
        <v>3004.7348700000002</v>
      </c>
      <c r="S63" s="65">
        <v>7945.7891900000004</v>
      </c>
      <c r="T63" s="41"/>
      <c r="U63" s="85">
        <v>0</v>
      </c>
      <c r="V63" s="41"/>
      <c r="W63" s="65">
        <v>8564.5395800000006</v>
      </c>
      <c r="X63" s="44">
        <v>7945.7891900000004</v>
      </c>
      <c r="Y63" s="44">
        <v>618.75038999999992</v>
      </c>
      <c r="Z63" s="54"/>
      <c r="AA63" s="52"/>
      <c r="AB63" s="52"/>
      <c r="AC63" s="53"/>
      <c r="AD63" s="48"/>
    </row>
    <row r="64" spans="1:32" ht="12" customHeight="1" x14ac:dyDescent="0.2">
      <c r="A64" s="49">
        <v>2014</v>
      </c>
      <c r="B64" s="49" t="s">
        <v>8</v>
      </c>
      <c r="C64" s="60">
        <v>30.679200000000002</v>
      </c>
      <c r="D64" s="60">
        <v>0</v>
      </c>
      <c r="E64" s="60">
        <v>41.1066</v>
      </c>
      <c r="F64" s="60">
        <v>299.10000000000002</v>
      </c>
      <c r="G64" s="60">
        <v>0</v>
      </c>
      <c r="H64" s="60">
        <v>219</v>
      </c>
      <c r="I64" s="60">
        <v>0</v>
      </c>
      <c r="J64" s="65">
        <v>589.88580000000002</v>
      </c>
      <c r="K64" s="42"/>
      <c r="L64" s="60">
        <v>12.11876</v>
      </c>
      <c r="M64" s="60">
        <v>0</v>
      </c>
      <c r="N64" s="60">
        <v>17.686439999999997</v>
      </c>
      <c r="O64" s="60">
        <v>1866.80573</v>
      </c>
      <c r="P64" s="60">
        <v>941.25345000000004</v>
      </c>
      <c r="Q64" s="60"/>
      <c r="R64" s="60">
        <v>2009.3285900000001</v>
      </c>
      <c r="S64" s="65">
        <v>4847.1929700000001</v>
      </c>
      <c r="T64" s="41"/>
      <c r="U64" s="85">
        <v>0</v>
      </c>
      <c r="V64" s="41"/>
      <c r="W64" s="65">
        <v>5437.0787700000001</v>
      </c>
      <c r="X64" s="44">
        <v>4847.1929700000001</v>
      </c>
      <c r="Y64" s="44">
        <v>589.88580000000002</v>
      </c>
      <c r="Z64" s="54"/>
      <c r="AA64" s="52"/>
      <c r="AB64" s="52"/>
      <c r="AC64" s="53"/>
      <c r="AD64" s="48"/>
    </row>
    <row r="65" spans="1:32" ht="12" customHeight="1" x14ac:dyDescent="0.2">
      <c r="A65" s="49">
        <v>2014</v>
      </c>
      <c r="B65" s="49" t="s">
        <v>9</v>
      </c>
      <c r="C65" s="60">
        <v>32.528199999999998</v>
      </c>
      <c r="D65" s="60">
        <v>0</v>
      </c>
      <c r="E65" s="60">
        <v>17.771090000000001</v>
      </c>
      <c r="F65" s="60">
        <v>290.7</v>
      </c>
      <c r="G65" s="60">
        <v>0</v>
      </c>
      <c r="H65" s="60">
        <v>83.7</v>
      </c>
      <c r="I65" s="60">
        <v>0</v>
      </c>
      <c r="J65" s="65">
        <v>424.69928999999996</v>
      </c>
      <c r="K65" s="42"/>
      <c r="L65" s="60">
        <v>12.98165</v>
      </c>
      <c r="M65" s="60">
        <v>0</v>
      </c>
      <c r="N65" s="60">
        <v>1908.2175899999997</v>
      </c>
      <c r="O65" s="60">
        <v>63.308669999999999</v>
      </c>
      <c r="P65" s="60">
        <v>3.0861399999999999</v>
      </c>
      <c r="Q65" s="60"/>
      <c r="R65" s="60">
        <v>853.00579000000005</v>
      </c>
      <c r="S65" s="65">
        <v>2840.5998399999994</v>
      </c>
      <c r="T65" s="41"/>
      <c r="U65" s="85">
        <v>0</v>
      </c>
      <c r="V65" s="41"/>
      <c r="W65" s="65">
        <v>3265.2991299999994</v>
      </c>
      <c r="X65" s="44">
        <v>2840.5998399999994</v>
      </c>
      <c r="Y65" s="44">
        <v>424.69928999999996</v>
      </c>
      <c r="Z65" s="54"/>
      <c r="AA65" s="52"/>
      <c r="AB65" s="52"/>
      <c r="AC65" s="53"/>
      <c r="AD65" s="48"/>
    </row>
    <row r="66" spans="1:32" ht="12" customHeight="1" x14ac:dyDescent="0.2">
      <c r="A66" s="49">
        <v>2014</v>
      </c>
      <c r="B66" s="49" t="s">
        <v>10</v>
      </c>
      <c r="C66" s="60">
        <v>31.443300000000001</v>
      </c>
      <c r="D66" s="60">
        <v>0</v>
      </c>
      <c r="E66" s="60">
        <v>0.50129999999999997</v>
      </c>
      <c r="F66" s="60">
        <v>252</v>
      </c>
      <c r="G66" s="60">
        <v>0</v>
      </c>
      <c r="H66" s="60">
        <v>84.01</v>
      </c>
      <c r="I66" s="60">
        <v>0</v>
      </c>
      <c r="J66" s="65">
        <v>367.95459999999997</v>
      </c>
      <c r="K66" s="42"/>
      <c r="L66" s="60">
        <v>11.04</v>
      </c>
      <c r="M66" s="60">
        <v>0</v>
      </c>
      <c r="N66" s="60">
        <v>1069.3006</v>
      </c>
      <c r="O66" s="60">
        <v>906.72640999999987</v>
      </c>
      <c r="P66" s="60">
        <v>892.29724999999996</v>
      </c>
      <c r="Q66" s="60"/>
      <c r="R66" s="60">
        <v>1203.9177999999999</v>
      </c>
      <c r="S66" s="65">
        <v>4083.2820599999995</v>
      </c>
      <c r="T66" s="41"/>
      <c r="U66" s="85">
        <v>0</v>
      </c>
      <c r="V66" s="41"/>
      <c r="W66" s="65">
        <v>4451.2366599999996</v>
      </c>
      <c r="X66" s="44">
        <v>4083.2820599999995</v>
      </c>
      <c r="Y66" s="44">
        <v>367.95459999999997</v>
      </c>
      <c r="Z66" s="54"/>
      <c r="AA66" s="52"/>
      <c r="AB66" s="52"/>
      <c r="AC66" s="53"/>
      <c r="AD66" s="48"/>
    </row>
    <row r="67" spans="1:32" ht="12" customHeight="1" x14ac:dyDescent="0.2">
      <c r="A67" s="49">
        <v>2014</v>
      </c>
      <c r="B67" s="49" t="s">
        <v>11</v>
      </c>
      <c r="C67" s="60">
        <v>32.546999999999997</v>
      </c>
      <c r="D67" s="60">
        <v>0</v>
      </c>
      <c r="E67" s="60">
        <v>15.143270000000001</v>
      </c>
      <c r="F67" s="60">
        <v>226.95</v>
      </c>
      <c r="G67" s="60">
        <v>0</v>
      </c>
      <c r="H67" s="60">
        <v>81</v>
      </c>
      <c r="I67" s="60">
        <v>0</v>
      </c>
      <c r="J67" s="65">
        <v>355.64026999999999</v>
      </c>
      <c r="K67" s="42"/>
      <c r="L67" s="60">
        <v>1258.0402900000001</v>
      </c>
      <c r="M67" s="60">
        <v>0</v>
      </c>
      <c r="N67" s="60">
        <v>1050.5651699999999</v>
      </c>
      <c r="O67" s="60">
        <v>1940.09122</v>
      </c>
      <c r="P67" s="60">
        <v>1031.31899</v>
      </c>
      <c r="Q67" s="60"/>
      <c r="R67" s="60">
        <v>1141.5678400000002</v>
      </c>
      <c r="S67" s="65">
        <v>6421.5835100000004</v>
      </c>
      <c r="T67" s="41"/>
      <c r="U67" s="85">
        <v>0</v>
      </c>
      <c r="V67" s="41"/>
      <c r="W67" s="65">
        <v>6777.2237800000003</v>
      </c>
      <c r="X67" s="44">
        <v>6421.5835100000004</v>
      </c>
      <c r="Y67" s="44">
        <v>355.64026999999999</v>
      </c>
      <c r="Z67" s="54"/>
      <c r="AA67" s="52"/>
      <c r="AB67" s="52"/>
      <c r="AC67" s="53"/>
      <c r="AD67" s="48"/>
    </row>
    <row r="68" spans="1:32" ht="12" customHeight="1" x14ac:dyDescent="0.2">
      <c r="A68" s="49">
        <v>2014</v>
      </c>
      <c r="B68" s="49" t="s">
        <v>12</v>
      </c>
      <c r="C68" s="60">
        <v>47.74</v>
      </c>
      <c r="D68" s="60">
        <v>0</v>
      </c>
      <c r="E68" s="60">
        <v>0</v>
      </c>
      <c r="F68" s="60">
        <v>446.66523999999998</v>
      </c>
      <c r="G68" s="60">
        <v>0</v>
      </c>
      <c r="H68" s="60">
        <v>157.69999999999999</v>
      </c>
      <c r="I68" s="60">
        <v>1.5841099999999999</v>
      </c>
      <c r="J68" s="65">
        <v>653.68934999999999</v>
      </c>
      <c r="K68" s="42"/>
      <c r="L68" s="60">
        <v>1089.82332</v>
      </c>
      <c r="M68" s="60"/>
      <c r="N68" s="60">
        <v>1629.0713900000001</v>
      </c>
      <c r="O68" s="60">
        <v>2175.9488700000002</v>
      </c>
      <c r="P68" s="60">
        <v>3.1444999999999999</v>
      </c>
      <c r="Q68" s="60"/>
      <c r="R68" s="60">
        <v>3160.9120400000002</v>
      </c>
      <c r="S68" s="65">
        <v>8058.9001200000012</v>
      </c>
      <c r="T68" s="41"/>
      <c r="U68" s="85">
        <v>0</v>
      </c>
      <c r="V68" s="41"/>
      <c r="W68" s="65">
        <v>8712.5894700000008</v>
      </c>
      <c r="X68" s="44">
        <v>8058.9001200000012</v>
      </c>
      <c r="Y68" s="44">
        <v>653.68934999999999</v>
      </c>
      <c r="Z68" s="54"/>
      <c r="AA68" s="52"/>
      <c r="AB68" s="52"/>
      <c r="AC68" s="53"/>
      <c r="AD68" s="48"/>
    </row>
    <row r="69" spans="1:32" ht="12" customHeight="1" x14ac:dyDescent="0.2">
      <c r="A69" s="49">
        <v>2014</v>
      </c>
      <c r="B69" s="49" t="s">
        <v>13</v>
      </c>
      <c r="C69" s="60">
        <v>508.53467999999998</v>
      </c>
      <c r="D69" s="60">
        <v>0</v>
      </c>
      <c r="E69" s="60">
        <v>0</v>
      </c>
      <c r="F69" s="60">
        <v>0</v>
      </c>
      <c r="G69" s="60">
        <v>0</v>
      </c>
      <c r="H69" s="60">
        <v>126</v>
      </c>
      <c r="I69" s="60">
        <v>0</v>
      </c>
      <c r="J69" s="65">
        <v>634.53467999999998</v>
      </c>
      <c r="K69" s="42"/>
      <c r="L69" s="60">
        <v>16.181000000000004</v>
      </c>
      <c r="M69" s="60"/>
      <c r="N69" s="60">
        <v>1166.52586</v>
      </c>
      <c r="O69" s="60">
        <v>1089.0075400000001</v>
      </c>
      <c r="P69" s="60">
        <v>61.778210000000001</v>
      </c>
      <c r="Q69" s="60"/>
      <c r="R69" s="60">
        <v>1958.5495900000001</v>
      </c>
      <c r="S69" s="65">
        <v>4292.0421999999999</v>
      </c>
      <c r="T69" s="41"/>
      <c r="U69" s="85">
        <v>0</v>
      </c>
      <c r="V69" s="41"/>
      <c r="W69" s="65">
        <v>4926.5768799999996</v>
      </c>
      <c r="X69" s="44">
        <v>4292.0421999999999</v>
      </c>
      <c r="Y69" s="44">
        <v>634.53467999999998</v>
      </c>
      <c r="Z69" s="54"/>
      <c r="AA69" s="52"/>
      <c r="AB69" s="52"/>
      <c r="AC69" s="53"/>
      <c r="AD69" s="48"/>
    </row>
    <row r="70" spans="1:32" x14ac:dyDescent="0.2">
      <c r="A70" s="49">
        <v>2014</v>
      </c>
      <c r="B70" s="49" t="s">
        <v>14</v>
      </c>
      <c r="C70" s="60">
        <v>51.943940000000005</v>
      </c>
      <c r="D70" s="60">
        <v>0</v>
      </c>
      <c r="E70" s="60">
        <v>0</v>
      </c>
      <c r="F70" s="60">
        <v>0</v>
      </c>
      <c r="G70" s="60">
        <v>0</v>
      </c>
      <c r="H70" s="60">
        <v>560.25667999999996</v>
      </c>
      <c r="I70" s="60">
        <v>0</v>
      </c>
      <c r="J70" s="65">
        <v>612.20061999999996</v>
      </c>
      <c r="K70" s="42"/>
      <c r="L70" s="60">
        <v>20.808159999999997</v>
      </c>
      <c r="M70" s="60">
        <v>0</v>
      </c>
      <c r="N70" s="60">
        <v>1504.32917</v>
      </c>
      <c r="O70" s="60">
        <v>960.89065000000005</v>
      </c>
      <c r="P70" s="60">
        <v>37.108339999999998</v>
      </c>
      <c r="Q70" s="60"/>
      <c r="R70" s="60">
        <v>875.97880000000009</v>
      </c>
      <c r="S70" s="65">
        <v>3399.1151199999995</v>
      </c>
      <c r="T70" s="41"/>
      <c r="U70" s="85">
        <v>0</v>
      </c>
      <c r="V70" s="41"/>
      <c r="W70" s="65">
        <v>4011.3157399999996</v>
      </c>
      <c r="X70" s="44">
        <v>3399.1151199999995</v>
      </c>
      <c r="Y70" s="44">
        <v>612.20061999999996</v>
      </c>
      <c r="Z70" s="51"/>
      <c r="AA70" s="52"/>
      <c r="AB70" s="52"/>
      <c r="AC70" s="53"/>
      <c r="AD70" s="48"/>
      <c r="AE70" s="45"/>
      <c r="AF70" s="45"/>
    </row>
    <row r="71" spans="1:32" x14ac:dyDescent="0.2">
      <c r="A71" s="49">
        <v>2014</v>
      </c>
      <c r="B71" s="49" t="s">
        <v>15</v>
      </c>
      <c r="C71" s="60">
        <v>896.31601999999998</v>
      </c>
      <c r="D71" s="60">
        <v>0</v>
      </c>
      <c r="E71" s="60">
        <v>402.43967000000009</v>
      </c>
      <c r="F71" s="60">
        <v>2934.1652399999998</v>
      </c>
      <c r="G71" s="60">
        <v>0</v>
      </c>
      <c r="H71" s="60">
        <v>2430.9870300000002</v>
      </c>
      <c r="I71" s="60">
        <v>1.5841099999999999</v>
      </c>
      <c r="J71" s="65">
        <v>6665.4920699999984</v>
      </c>
      <c r="K71" s="42"/>
      <c r="L71" s="60">
        <v>2485.7739700000002</v>
      </c>
      <c r="M71" s="60">
        <v>0</v>
      </c>
      <c r="N71" s="60">
        <v>16019.56162</v>
      </c>
      <c r="O71" s="60">
        <v>15926.9337</v>
      </c>
      <c r="P71" s="60">
        <v>6984.2924000000003</v>
      </c>
      <c r="Q71" s="60"/>
      <c r="R71" s="60">
        <v>19264.086619999998</v>
      </c>
      <c r="S71" s="65">
        <v>60680.648310000004</v>
      </c>
      <c r="T71" s="41"/>
      <c r="U71" s="84">
        <v>0</v>
      </c>
      <c r="V71" s="41"/>
      <c r="W71" s="65">
        <v>67346.140379999997</v>
      </c>
      <c r="X71" s="44">
        <v>60680.648310000004</v>
      </c>
      <c r="Y71" s="44">
        <v>6665.4920699999984</v>
      </c>
      <c r="Z71" s="51"/>
      <c r="AA71" s="52"/>
      <c r="AB71" s="52"/>
      <c r="AC71" s="53"/>
      <c r="AD71" s="48"/>
      <c r="AE71" s="45"/>
      <c r="AF71" s="45"/>
    </row>
    <row r="72" spans="1:32" x14ac:dyDescent="0.2">
      <c r="A72" s="49">
        <v>2015</v>
      </c>
      <c r="B72" s="49" t="s">
        <v>3</v>
      </c>
      <c r="C72" s="60">
        <v>47.74</v>
      </c>
      <c r="D72" s="60">
        <v>0</v>
      </c>
      <c r="E72" s="60">
        <v>0</v>
      </c>
      <c r="F72" s="60">
        <v>0</v>
      </c>
      <c r="G72" s="60">
        <v>0</v>
      </c>
      <c r="H72" s="60">
        <v>3046.5724799999998</v>
      </c>
      <c r="I72" s="60">
        <v>0</v>
      </c>
      <c r="J72" s="65">
        <v>3094.3124799999996</v>
      </c>
      <c r="K72" s="42"/>
      <c r="L72" s="60">
        <v>1100.5259699999999</v>
      </c>
      <c r="M72" s="60">
        <v>0</v>
      </c>
      <c r="N72" s="60">
        <v>485.78696000000002</v>
      </c>
      <c r="O72" s="60">
        <v>0.62946999999999997</v>
      </c>
      <c r="P72" s="60">
        <v>27.669150000000002</v>
      </c>
      <c r="Q72" s="60"/>
      <c r="R72" s="60">
        <v>0.62687000000000004</v>
      </c>
      <c r="S72" s="65">
        <v>1615.2384200000001</v>
      </c>
      <c r="T72" s="41"/>
      <c r="U72" s="87">
        <v>0</v>
      </c>
      <c r="V72" s="41"/>
      <c r="W72" s="65">
        <v>4709.5509000000002</v>
      </c>
      <c r="X72" s="44">
        <v>1615.2384200000001</v>
      </c>
      <c r="Y72" s="44">
        <v>3094.3124799999996</v>
      </c>
      <c r="Z72" s="51"/>
      <c r="AA72" s="52"/>
      <c r="AB72" s="52"/>
      <c r="AC72" s="53"/>
      <c r="AD72" s="48"/>
      <c r="AE72" s="45"/>
      <c r="AF72" s="45"/>
    </row>
    <row r="73" spans="1:32" x14ac:dyDescent="0.2">
      <c r="A73" s="49">
        <v>2015</v>
      </c>
      <c r="B73" s="49" t="s">
        <v>4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1575.75776</v>
      </c>
      <c r="I73" s="60">
        <v>0.40104000000000001</v>
      </c>
      <c r="J73" s="65">
        <v>1576.1587999999999</v>
      </c>
      <c r="K73" s="42"/>
      <c r="L73" s="60">
        <v>35.506999999999998</v>
      </c>
      <c r="M73" s="60">
        <v>2.0840199999999998</v>
      </c>
      <c r="N73" s="60">
        <v>0</v>
      </c>
      <c r="O73" s="60">
        <v>1.4485999999999999</v>
      </c>
      <c r="P73" s="60">
        <v>2.9944499999999996</v>
      </c>
      <c r="Q73" s="60"/>
      <c r="R73" s="60">
        <v>0</v>
      </c>
      <c r="S73" s="65">
        <v>42.03407</v>
      </c>
      <c r="T73" s="41"/>
      <c r="U73" s="85">
        <v>0</v>
      </c>
      <c r="V73" s="41"/>
      <c r="W73" s="65">
        <v>1618.1928699999999</v>
      </c>
      <c r="X73" s="44">
        <v>42.03407</v>
      </c>
      <c r="Y73" s="44">
        <v>1576.1587999999999</v>
      </c>
      <c r="Z73" s="51"/>
      <c r="AA73" s="52"/>
      <c r="AB73" s="52"/>
      <c r="AC73" s="53"/>
      <c r="AD73" s="48"/>
      <c r="AE73" s="45"/>
      <c r="AF73" s="45"/>
    </row>
    <row r="74" spans="1:32" ht="12" customHeight="1" x14ac:dyDescent="0.2">
      <c r="A74" s="49">
        <v>2015</v>
      </c>
      <c r="B74" s="49" t="s">
        <v>5</v>
      </c>
      <c r="C74" s="60">
        <v>47.74</v>
      </c>
      <c r="D74" s="60">
        <v>0</v>
      </c>
      <c r="E74" s="60">
        <v>0</v>
      </c>
      <c r="F74" s="60">
        <v>0</v>
      </c>
      <c r="G74" s="60">
        <v>0</v>
      </c>
      <c r="H74" s="60">
        <v>1542.0649900000001</v>
      </c>
      <c r="I74" s="60">
        <v>15.37524</v>
      </c>
      <c r="J74" s="65">
        <v>1605.1802300000002</v>
      </c>
      <c r="K74" s="42"/>
      <c r="L74" s="60">
        <v>38.186720000000001</v>
      </c>
      <c r="M74" s="60">
        <v>0</v>
      </c>
      <c r="N74" s="60">
        <v>1.7831600000000001</v>
      </c>
      <c r="O74" s="60">
        <v>83.32119999999999</v>
      </c>
      <c r="P74" s="60">
        <v>15.33981</v>
      </c>
      <c r="Q74" s="60"/>
      <c r="R74" s="60">
        <v>20.211929999999999</v>
      </c>
      <c r="S74" s="65">
        <v>158.84281999999999</v>
      </c>
      <c r="T74" s="41"/>
      <c r="U74" s="85">
        <v>0</v>
      </c>
      <c r="V74" s="41"/>
      <c r="W74" s="65">
        <v>1764.0230500000002</v>
      </c>
      <c r="X74" s="44">
        <v>158.84281999999999</v>
      </c>
      <c r="Y74" s="44">
        <v>1605.1802300000002</v>
      </c>
      <c r="Z74" s="54"/>
      <c r="AA74" s="52"/>
      <c r="AB74" s="54"/>
      <c r="AC74" s="54"/>
    </row>
    <row r="75" spans="1:32" ht="12" customHeight="1" x14ac:dyDescent="0.2">
      <c r="A75" s="49">
        <v>2015</v>
      </c>
      <c r="B75" s="49" t="s">
        <v>6</v>
      </c>
      <c r="C75" s="60">
        <v>46.2</v>
      </c>
      <c r="D75" s="60">
        <v>0</v>
      </c>
      <c r="E75" s="60">
        <v>0</v>
      </c>
      <c r="F75" s="60">
        <v>0</v>
      </c>
      <c r="G75" s="60">
        <v>0</v>
      </c>
      <c r="H75" s="60">
        <v>2772.5615600000001</v>
      </c>
      <c r="I75" s="60">
        <v>635.40647999999999</v>
      </c>
      <c r="J75" s="65">
        <v>3454.16804</v>
      </c>
      <c r="K75" s="42"/>
      <c r="L75" s="60">
        <v>24.864979999999999</v>
      </c>
      <c r="M75" s="60">
        <v>0</v>
      </c>
      <c r="N75" s="60">
        <v>0</v>
      </c>
      <c r="O75" s="60">
        <v>0</v>
      </c>
      <c r="P75" s="60">
        <v>2.7404499999999996</v>
      </c>
      <c r="Q75" s="60"/>
      <c r="R75" s="60">
        <v>1077.33267</v>
      </c>
      <c r="S75" s="65">
        <v>1104.9381000000001</v>
      </c>
      <c r="T75" s="41"/>
      <c r="U75" s="85">
        <v>0</v>
      </c>
      <c r="V75" s="41"/>
      <c r="W75" s="65">
        <v>4559.1061399999999</v>
      </c>
      <c r="X75" s="44">
        <v>1104.9381000000001</v>
      </c>
      <c r="Y75" s="44">
        <v>3454.16804</v>
      </c>
      <c r="Z75" s="54"/>
      <c r="AA75" s="52"/>
      <c r="AB75" s="54"/>
      <c r="AC75" s="54"/>
    </row>
    <row r="76" spans="1:32" ht="12" customHeight="1" x14ac:dyDescent="0.2">
      <c r="A76" s="49">
        <v>2015</v>
      </c>
      <c r="B76" s="49" t="s">
        <v>7</v>
      </c>
      <c r="C76" s="60">
        <v>47.74</v>
      </c>
      <c r="D76" s="60">
        <v>0</v>
      </c>
      <c r="E76" s="60">
        <v>0</v>
      </c>
      <c r="F76" s="60">
        <v>0</v>
      </c>
      <c r="G76" s="60">
        <v>0</v>
      </c>
      <c r="H76" s="60">
        <v>3098.7895800000001</v>
      </c>
      <c r="I76" s="60">
        <v>642.93551000000002</v>
      </c>
      <c r="J76" s="65">
        <v>3789.4650900000001</v>
      </c>
      <c r="K76" s="42"/>
      <c r="L76" s="60">
        <v>973.94731999999999</v>
      </c>
      <c r="M76" s="60">
        <v>1203.59915</v>
      </c>
      <c r="N76" s="60">
        <v>0</v>
      </c>
      <c r="O76" s="60">
        <v>0</v>
      </c>
      <c r="P76" s="60">
        <v>19.17343</v>
      </c>
      <c r="Q76" s="60"/>
      <c r="R76" s="60">
        <v>1746.6105700000001</v>
      </c>
      <c r="S76" s="65">
        <v>3943.3304699999999</v>
      </c>
      <c r="T76" s="41"/>
      <c r="U76" s="85">
        <v>0</v>
      </c>
      <c r="V76" s="41"/>
      <c r="W76" s="65">
        <v>7732.7955600000005</v>
      </c>
      <c r="X76" s="44">
        <v>3943.3304699999999</v>
      </c>
      <c r="Y76" s="44">
        <v>3789.4650900000001</v>
      </c>
      <c r="Z76" s="54"/>
      <c r="AA76" s="52"/>
      <c r="AB76" s="54"/>
      <c r="AC76" s="54"/>
    </row>
    <row r="77" spans="1:32" ht="12" customHeight="1" x14ac:dyDescent="0.2">
      <c r="A77" s="49">
        <v>2015</v>
      </c>
      <c r="B77" s="49" t="s">
        <v>8</v>
      </c>
      <c r="C77" s="60">
        <v>46.2</v>
      </c>
      <c r="D77" s="60">
        <v>0</v>
      </c>
      <c r="E77" s="60">
        <v>0</v>
      </c>
      <c r="F77" s="60">
        <v>0</v>
      </c>
      <c r="G77" s="60">
        <v>0</v>
      </c>
      <c r="H77" s="60">
        <v>3673.3559499999997</v>
      </c>
      <c r="I77" s="60">
        <v>535.39101000000005</v>
      </c>
      <c r="J77" s="65">
        <v>4254.9469600000002</v>
      </c>
      <c r="K77" s="42"/>
      <c r="L77" s="60">
        <v>26.657939999999996</v>
      </c>
      <c r="M77" s="60">
        <v>0</v>
      </c>
      <c r="N77" s="60">
        <v>0</v>
      </c>
      <c r="O77" s="60">
        <v>1037.6206099999999</v>
      </c>
      <c r="P77" s="60">
        <v>2.9996900000000002</v>
      </c>
      <c r="Q77" s="60"/>
      <c r="R77" s="60">
        <v>250.50045000000003</v>
      </c>
      <c r="S77" s="65">
        <v>1317.7786900000001</v>
      </c>
      <c r="T77" s="41"/>
      <c r="U77" s="85">
        <v>0</v>
      </c>
      <c r="V77" s="41"/>
      <c r="W77" s="65">
        <v>5572.7256500000003</v>
      </c>
      <c r="X77" s="44">
        <v>1317.7786900000001</v>
      </c>
      <c r="Y77" s="44">
        <v>4254.9469600000002</v>
      </c>
      <c r="Z77" s="54"/>
      <c r="AA77" s="52"/>
      <c r="AB77" s="54"/>
      <c r="AC77" s="54"/>
    </row>
    <row r="78" spans="1:32" ht="12" customHeight="1" x14ac:dyDescent="0.2">
      <c r="A78" s="49">
        <v>2015</v>
      </c>
      <c r="B78" s="49" t="s">
        <v>9</v>
      </c>
      <c r="C78" s="60">
        <v>31</v>
      </c>
      <c r="D78" s="60">
        <v>0</v>
      </c>
      <c r="E78" s="60">
        <v>0</v>
      </c>
      <c r="F78" s="60">
        <v>0</v>
      </c>
      <c r="G78" s="60">
        <v>0</v>
      </c>
      <c r="H78" s="60">
        <v>3711.4360500000003</v>
      </c>
      <c r="I78" s="60">
        <v>1334.1737299999998</v>
      </c>
      <c r="J78" s="65">
        <v>5076.6097799999998</v>
      </c>
      <c r="K78" s="42"/>
      <c r="L78" s="60">
        <v>21.896769999999997</v>
      </c>
      <c r="M78" s="60">
        <v>932.96761000000015</v>
      </c>
      <c r="N78" s="60">
        <v>0</v>
      </c>
      <c r="O78" s="60">
        <v>7.66913</v>
      </c>
      <c r="P78" s="60">
        <v>2.4778699999999998</v>
      </c>
      <c r="Q78" s="60"/>
      <c r="R78" s="60">
        <v>782.54684000000009</v>
      </c>
      <c r="S78" s="65">
        <v>1747.5582200000003</v>
      </c>
      <c r="T78" s="41"/>
      <c r="U78" s="85">
        <v>0</v>
      </c>
      <c r="V78" s="41"/>
      <c r="W78" s="65">
        <v>6824.1679999999997</v>
      </c>
      <c r="X78" s="44">
        <v>1747.5582200000003</v>
      </c>
      <c r="Y78" s="44">
        <v>5076.6097799999998</v>
      </c>
      <c r="Z78" s="54"/>
      <c r="AA78" s="52"/>
      <c r="AB78" s="54"/>
      <c r="AC78" s="54"/>
    </row>
    <row r="79" spans="1:32" ht="12" customHeight="1" x14ac:dyDescent="0.2">
      <c r="A79" s="49">
        <v>2015</v>
      </c>
      <c r="B79" s="49" t="s">
        <v>10</v>
      </c>
      <c r="C79" s="60">
        <v>31</v>
      </c>
      <c r="D79" s="60">
        <v>0</v>
      </c>
      <c r="E79" s="60">
        <v>0</v>
      </c>
      <c r="F79" s="60">
        <v>0</v>
      </c>
      <c r="G79" s="60">
        <v>0</v>
      </c>
      <c r="H79" s="60">
        <v>3316.6492599999997</v>
      </c>
      <c r="I79" s="60">
        <v>1103.90796</v>
      </c>
      <c r="J79" s="65">
        <v>4451.5572199999997</v>
      </c>
      <c r="K79" s="42"/>
      <c r="L79" s="60">
        <v>17.16628</v>
      </c>
      <c r="M79" s="60">
        <v>907.85503000000006</v>
      </c>
      <c r="N79" s="60">
        <v>608.25701000000004</v>
      </c>
      <c r="O79" s="60">
        <v>36.140720000000002</v>
      </c>
      <c r="P79" s="60">
        <v>3.0921799999999999</v>
      </c>
      <c r="Q79" s="60"/>
      <c r="R79" s="60">
        <v>1283.45189</v>
      </c>
      <c r="S79" s="65">
        <v>2855.9631100000006</v>
      </c>
      <c r="T79" s="41"/>
      <c r="U79" s="85">
        <v>0</v>
      </c>
      <c r="V79" s="41"/>
      <c r="W79" s="65">
        <v>7307.5203300000003</v>
      </c>
      <c r="X79" s="44">
        <v>2855.9631100000006</v>
      </c>
      <c r="Y79" s="44">
        <v>4451.5572199999997</v>
      </c>
      <c r="Z79" s="54"/>
      <c r="AA79" s="52"/>
      <c r="AB79" s="54"/>
      <c r="AC79" s="54"/>
    </row>
    <row r="80" spans="1:32" ht="12" customHeight="1" x14ac:dyDescent="0.2">
      <c r="A80" s="49">
        <v>2015</v>
      </c>
      <c r="B80" s="49" t="s">
        <v>11</v>
      </c>
      <c r="C80" s="60">
        <v>30</v>
      </c>
      <c r="D80" s="60">
        <v>0</v>
      </c>
      <c r="E80" s="60">
        <v>0</v>
      </c>
      <c r="F80" s="60">
        <v>0</v>
      </c>
      <c r="G80" s="60">
        <v>0</v>
      </c>
      <c r="H80" s="60">
        <v>3409.1154900000001</v>
      </c>
      <c r="I80" s="60">
        <v>1164.9458</v>
      </c>
      <c r="J80" s="65">
        <v>4604.0612900000006</v>
      </c>
      <c r="K80" s="42"/>
      <c r="L80" s="60">
        <v>403.35684999999995</v>
      </c>
      <c r="M80" s="60">
        <v>3.5870900000000003</v>
      </c>
      <c r="N80" s="60">
        <v>0</v>
      </c>
      <c r="O80" s="60">
        <v>33.731629999999996</v>
      </c>
      <c r="P80" s="60">
        <v>7.1235900000000001</v>
      </c>
      <c r="Q80" s="60"/>
      <c r="R80" s="60">
        <v>2.1665799999999997</v>
      </c>
      <c r="S80" s="65">
        <v>449.96573999999993</v>
      </c>
      <c r="T80" s="41"/>
      <c r="U80" s="85">
        <v>0</v>
      </c>
      <c r="V80" s="41"/>
      <c r="W80" s="65">
        <v>5054.0270300000002</v>
      </c>
      <c r="X80" s="44">
        <v>449.96573999999993</v>
      </c>
      <c r="Y80" s="44">
        <v>4604.0612900000006</v>
      </c>
      <c r="Z80" s="54"/>
      <c r="AA80" s="52"/>
      <c r="AB80" s="54"/>
      <c r="AC80" s="54"/>
    </row>
    <row r="81" spans="1:32" ht="12" customHeight="1" x14ac:dyDescent="0.2">
      <c r="A81" s="49">
        <v>2015</v>
      </c>
      <c r="B81" s="49" t="s">
        <v>12</v>
      </c>
      <c r="C81" s="60">
        <v>47.74</v>
      </c>
      <c r="D81" s="60">
        <v>0</v>
      </c>
      <c r="E81" s="60">
        <v>0</v>
      </c>
      <c r="F81" s="60">
        <v>0</v>
      </c>
      <c r="G81" s="60">
        <v>0</v>
      </c>
      <c r="H81" s="60">
        <v>3005.2449500000002</v>
      </c>
      <c r="I81" s="60">
        <v>138.64069000000001</v>
      </c>
      <c r="J81" s="65">
        <v>3191.6256400000007</v>
      </c>
      <c r="K81" s="42"/>
      <c r="L81" s="60">
        <v>26.531010000000009</v>
      </c>
      <c r="M81" s="60">
        <v>4.4212900000000008</v>
      </c>
      <c r="N81" s="60">
        <v>0</v>
      </c>
      <c r="O81" s="60">
        <v>3.2808800000000002</v>
      </c>
      <c r="P81" s="60">
        <v>24.598890000000001</v>
      </c>
      <c r="Q81" s="60"/>
      <c r="R81" s="60">
        <v>1.8744599999999998</v>
      </c>
      <c r="S81" s="65">
        <v>60.706530000000015</v>
      </c>
      <c r="T81" s="41"/>
      <c r="U81" s="85">
        <v>0</v>
      </c>
      <c r="V81" s="41"/>
      <c r="W81" s="65">
        <v>3252.3321700000006</v>
      </c>
      <c r="X81" s="44">
        <v>60.706530000000015</v>
      </c>
      <c r="Y81" s="44">
        <v>3191.6256400000007</v>
      </c>
      <c r="Z81" s="54"/>
      <c r="AA81" s="52"/>
      <c r="AB81" s="54"/>
      <c r="AC81" s="54"/>
    </row>
    <row r="82" spans="1:32" ht="12" customHeight="1" x14ac:dyDescent="0.2">
      <c r="A82" s="49">
        <v>2015</v>
      </c>
      <c r="B82" s="49" t="s">
        <v>13</v>
      </c>
      <c r="C82" s="60">
        <v>46.199599999999997</v>
      </c>
      <c r="D82" s="60">
        <v>0</v>
      </c>
      <c r="E82" s="60">
        <v>0</v>
      </c>
      <c r="F82" s="60">
        <v>0</v>
      </c>
      <c r="G82" s="60">
        <v>0</v>
      </c>
      <c r="H82" s="60">
        <v>2741.7921699999997</v>
      </c>
      <c r="I82" s="60">
        <v>0</v>
      </c>
      <c r="J82" s="65">
        <v>2787.9917699999996</v>
      </c>
      <c r="K82" s="42"/>
      <c r="L82" s="60">
        <v>24.344459999999998</v>
      </c>
      <c r="M82" s="60">
        <v>1.7471099999999999</v>
      </c>
      <c r="N82" s="60">
        <v>0</v>
      </c>
      <c r="O82" s="60">
        <v>963.64976000000001</v>
      </c>
      <c r="P82" s="60">
        <v>2.39832</v>
      </c>
      <c r="Q82" s="60"/>
      <c r="R82" s="60">
        <v>690.19719999999995</v>
      </c>
      <c r="S82" s="65">
        <v>1682.3368500000001</v>
      </c>
      <c r="T82" s="41"/>
      <c r="U82" s="85">
        <v>0</v>
      </c>
      <c r="V82" s="41"/>
      <c r="W82" s="65">
        <v>4470.3286200000002</v>
      </c>
      <c r="X82" s="44">
        <v>1682.3368500000001</v>
      </c>
      <c r="Y82" s="44">
        <v>2787.9917699999996</v>
      </c>
      <c r="Z82" s="54"/>
      <c r="AA82" s="52"/>
      <c r="AB82" s="54"/>
      <c r="AC82" s="54"/>
    </row>
    <row r="83" spans="1:32" ht="12" customHeight="1" x14ac:dyDescent="0.2">
      <c r="A83" s="49">
        <v>2015</v>
      </c>
      <c r="B83" s="49" t="s">
        <v>14</v>
      </c>
      <c r="C83" s="60">
        <v>0</v>
      </c>
      <c r="D83" s="60">
        <v>0</v>
      </c>
      <c r="E83" s="60">
        <v>0</v>
      </c>
      <c r="F83" s="60">
        <v>0</v>
      </c>
      <c r="G83" s="60">
        <v>0</v>
      </c>
      <c r="H83" s="60">
        <v>2984.6320700000001</v>
      </c>
      <c r="I83" s="60">
        <v>14.51491</v>
      </c>
      <c r="J83" s="65">
        <v>2999.14698</v>
      </c>
      <c r="K83" s="42"/>
      <c r="L83" s="60">
        <v>26.596790000000009</v>
      </c>
      <c r="M83" s="60">
        <v>4.8544499999999999</v>
      </c>
      <c r="N83" s="60">
        <v>0</v>
      </c>
      <c r="O83" s="60">
        <v>662.99761000000012</v>
      </c>
      <c r="P83" s="60">
        <v>3.65212</v>
      </c>
      <c r="Q83" s="60"/>
      <c r="R83" s="60">
        <v>386.13258000000002</v>
      </c>
      <c r="S83" s="65">
        <v>1084.2335500000002</v>
      </c>
      <c r="T83" s="41"/>
      <c r="U83" s="85">
        <v>0</v>
      </c>
      <c r="V83" s="41"/>
      <c r="W83" s="65">
        <v>4083.3805300000004</v>
      </c>
      <c r="X83" s="44">
        <v>1084.2335500000002</v>
      </c>
      <c r="Y83" s="44">
        <v>2999.14698</v>
      </c>
      <c r="Z83" s="54"/>
      <c r="AA83" s="52"/>
      <c r="AB83" s="54"/>
      <c r="AC83" s="54"/>
    </row>
    <row r="84" spans="1:32" ht="12" customHeight="1" x14ac:dyDescent="0.2">
      <c r="A84" s="49">
        <v>2015</v>
      </c>
      <c r="B84" s="49" t="s">
        <v>15</v>
      </c>
      <c r="C84" s="60">
        <v>421.55959999999999</v>
      </c>
      <c r="D84" s="60">
        <v>0</v>
      </c>
      <c r="E84" s="60">
        <v>0</v>
      </c>
      <c r="F84" s="60">
        <v>0</v>
      </c>
      <c r="G84" s="60">
        <v>0</v>
      </c>
      <c r="H84" s="60">
        <v>34877.972310000005</v>
      </c>
      <c r="I84" s="60">
        <v>5585.6923699999988</v>
      </c>
      <c r="J84" s="65">
        <v>40885.224279999995</v>
      </c>
      <c r="K84" s="42"/>
      <c r="L84" s="60">
        <v>2719.5820899999999</v>
      </c>
      <c r="M84" s="60">
        <v>3061.1157499999999</v>
      </c>
      <c r="N84" s="60">
        <v>1095.8271300000001</v>
      </c>
      <c r="O84" s="60">
        <v>2830.4896100000005</v>
      </c>
      <c r="P84" s="60">
        <v>114.25995</v>
      </c>
      <c r="Q84" s="60"/>
      <c r="R84" s="60">
        <v>6241.6520399999999</v>
      </c>
      <c r="S84" s="65">
        <v>16062.926570000001</v>
      </c>
      <c r="T84" s="41"/>
      <c r="U84" s="84">
        <v>0</v>
      </c>
      <c r="V84" s="41"/>
      <c r="W84" s="65">
        <v>56948.150849999998</v>
      </c>
      <c r="X84" s="44">
        <v>16062.926570000001</v>
      </c>
      <c r="Y84" s="44">
        <v>40885.224279999995</v>
      </c>
      <c r="Z84" s="51"/>
      <c r="AA84" s="52"/>
      <c r="AB84" s="52"/>
      <c r="AC84" s="53"/>
      <c r="AD84" s="48"/>
      <c r="AE84" s="45"/>
      <c r="AF84" s="45"/>
    </row>
    <row r="85" spans="1:32" ht="12" customHeight="1" x14ac:dyDescent="0.2">
      <c r="A85" s="49">
        <v>2016</v>
      </c>
      <c r="B85" s="49" t="s">
        <v>3</v>
      </c>
      <c r="C85" s="60">
        <v>47.74</v>
      </c>
      <c r="D85" s="60">
        <v>0</v>
      </c>
      <c r="E85" s="60">
        <v>0</v>
      </c>
      <c r="F85" s="60">
        <v>0</v>
      </c>
      <c r="G85" s="60">
        <v>0</v>
      </c>
      <c r="H85" s="60">
        <v>2683.9663700000006</v>
      </c>
      <c r="I85" s="60">
        <v>2.7230400000000001</v>
      </c>
      <c r="J85" s="65">
        <v>2734.4294100000002</v>
      </c>
      <c r="K85" s="42"/>
      <c r="L85" s="60">
        <v>1015.9342100000001</v>
      </c>
      <c r="M85" s="60">
        <v>12.533760000000001</v>
      </c>
      <c r="N85" s="60">
        <v>0</v>
      </c>
      <c r="O85" s="60">
        <v>2.9125399999999999</v>
      </c>
      <c r="P85" s="60">
        <v>3.01322</v>
      </c>
      <c r="Q85" s="60"/>
      <c r="R85" s="60">
        <v>2.1667400000000003</v>
      </c>
      <c r="S85" s="65">
        <v>1036.5604700000001</v>
      </c>
      <c r="T85" s="41"/>
      <c r="U85" s="88">
        <v>0</v>
      </c>
      <c r="V85" s="41"/>
      <c r="W85" s="65">
        <v>3770.9898800000001</v>
      </c>
      <c r="X85" s="44">
        <v>1036.5604700000001</v>
      </c>
      <c r="Y85" s="44">
        <v>2734.4294100000002</v>
      </c>
      <c r="Z85" s="54"/>
      <c r="AA85" s="54"/>
      <c r="AB85" s="54"/>
      <c r="AC85" s="54"/>
    </row>
    <row r="86" spans="1:32" ht="12" customHeight="1" x14ac:dyDescent="0.2">
      <c r="A86" s="49">
        <v>2016</v>
      </c>
      <c r="B86" s="49" t="s">
        <v>4</v>
      </c>
      <c r="C86" s="60">
        <v>44.66</v>
      </c>
      <c r="D86" s="60">
        <v>0</v>
      </c>
      <c r="E86" s="60">
        <v>0</v>
      </c>
      <c r="F86" s="60">
        <v>0</v>
      </c>
      <c r="G86" s="60">
        <v>0</v>
      </c>
      <c r="H86" s="60">
        <v>2288.3368399999999</v>
      </c>
      <c r="I86" s="60">
        <v>7.5706300000000004</v>
      </c>
      <c r="J86" s="65">
        <v>2340.56747</v>
      </c>
      <c r="K86" s="42"/>
      <c r="L86" s="60">
        <v>27.76297000000001</v>
      </c>
      <c r="M86" s="60">
        <v>12.81156</v>
      </c>
      <c r="N86" s="60">
        <v>0</v>
      </c>
      <c r="O86" s="60">
        <v>4.1045100000000003</v>
      </c>
      <c r="P86" s="60">
        <v>22.31643</v>
      </c>
      <c r="Q86" s="60"/>
      <c r="R86" s="60">
        <v>1.8327200000000001</v>
      </c>
      <c r="S86" s="65">
        <v>68.828190000000006</v>
      </c>
      <c r="T86" s="41"/>
      <c r="U86" s="89">
        <v>0</v>
      </c>
      <c r="V86" s="41"/>
      <c r="W86" s="65">
        <v>2409.3956600000001</v>
      </c>
      <c r="X86" s="44">
        <v>68.828190000000006</v>
      </c>
      <c r="Y86" s="44">
        <v>2340.56747</v>
      </c>
      <c r="Z86" s="54"/>
      <c r="AA86" s="54"/>
      <c r="AB86" s="54"/>
      <c r="AC86" s="54"/>
    </row>
    <row r="87" spans="1:32" ht="12" customHeight="1" x14ac:dyDescent="0.2">
      <c r="A87" s="49">
        <v>2016</v>
      </c>
      <c r="B87" s="49" t="s">
        <v>5</v>
      </c>
      <c r="C87" s="60">
        <v>47.74</v>
      </c>
      <c r="D87" s="60">
        <v>0</v>
      </c>
      <c r="E87" s="60">
        <v>0</v>
      </c>
      <c r="F87" s="60">
        <v>0</v>
      </c>
      <c r="G87" s="60">
        <v>0</v>
      </c>
      <c r="H87" s="60">
        <v>2472.89516</v>
      </c>
      <c r="I87" s="60">
        <v>8.0207999999999995</v>
      </c>
      <c r="J87" s="65">
        <v>2528.6559599999996</v>
      </c>
      <c r="K87" s="42"/>
      <c r="L87" s="60">
        <v>31.123460000000001</v>
      </c>
      <c r="M87" s="60">
        <v>10.71271</v>
      </c>
      <c r="N87" s="60">
        <v>0</v>
      </c>
      <c r="O87" s="60">
        <v>4.1981700000000002</v>
      </c>
      <c r="P87" s="60">
        <v>3.0020700000000002</v>
      </c>
      <c r="Q87" s="60"/>
      <c r="R87" s="60">
        <v>1.8643599999999998</v>
      </c>
      <c r="S87" s="65">
        <v>50.900770000000001</v>
      </c>
      <c r="T87" s="41"/>
      <c r="U87" s="89">
        <v>0</v>
      </c>
      <c r="V87" s="41"/>
      <c r="W87" s="65">
        <v>2579.5567299999998</v>
      </c>
      <c r="X87" s="44">
        <v>50.900770000000001</v>
      </c>
      <c r="Y87" s="44">
        <v>2528.6559599999996</v>
      </c>
      <c r="Z87" s="54"/>
      <c r="AA87" s="54"/>
      <c r="AB87" s="54"/>
      <c r="AC87" s="54"/>
    </row>
    <row r="88" spans="1:32" ht="12" customHeight="1" x14ac:dyDescent="0.2">
      <c r="A88" s="49">
        <v>2016</v>
      </c>
      <c r="B88" s="49" t="s">
        <v>6</v>
      </c>
      <c r="C88" s="60">
        <v>46.2</v>
      </c>
      <c r="D88" s="60">
        <v>0</v>
      </c>
      <c r="E88" s="60">
        <v>0</v>
      </c>
      <c r="F88" s="60">
        <v>0</v>
      </c>
      <c r="G88" s="60">
        <v>0</v>
      </c>
      <c r="H88" s="60">
        <v>2612.54952</v>
      </c>
      <c r="I88" s="60">
        <v>416.85840000000002</v>
      </c>
      <c r="J88" s="65">
        <v>3075.6079199999999</v>
      </c>
      <c r="K88" s="42"/>
      <c r="L88" s="60">
        <v>28.419499999999999</v>
      </c>
      <c r="M88" s="60">
        <v>1.7582</v>
      </c>
      <c r="N88" s="60">
        <v>0</v>
      </c>
      <c r="O88" s="60">
        <v>4.4615100000000005</v>
      </c>
      <c r="P88" s="60">
        <v>3.0070999999999999</v>
      </c>
      <c r="Q88" s="60"/>
      <c r="R88" s="60">
        <v>1.8600500000000002</v>
      </c>
      <c r="S88" s="65">
        <v>39.506360000000001</v>
      </c>
      <c r="T88" s="41"/>
      <c r="U88" s="89">
        <v>0</v>
      </c>
      <c r="V88" s="41"/>
      <c r="W88" s="65">
        <v>3115.1142799999998</v>
      </c>
      <c r="X88" s="44">
        <v>39.506360000000001</v>
      </c>
      <c r="Y88" s="44">
        <v>3075.6079199999999</v>
      </c>
      <c r="Z88" s="54"/>
      <c r="AA88" s="54"/>
      <c r="AB88" s="54"/>
      <c r="AC88" s="54"/>
    </row>
    <row r="89" spans="1:32" ht="12" customHeight="1" x14ac:dyDescent="0.2">
      <c r="A89" s="49">
        <v>2016</v>
      </c>
      <c r="B89" s="49" t="s">
        <v>7</v>
      </c>
      <c r="C89" s="60">
        <v>0</v>
      </c>
      <c r="D89" s="60">
        <v>0</v>
      </c>
      <c r="E89" s="60">
        <v>0</v>
      </c>
      <c r="F89" s="60">
        <v>0</v>
      </c>
      <c r="G89" s="60">
        <v>0</v>
      </c>
      <c r="H89" s="60">
        <v>2364.9938299999999</v>
      </c>
      <c r="I89" s="60">
        <v>1197.6856699999998</v>
      </c>
      <c r="J89" s="65">
        <v>3562.6794999999997</v>
      </c>
      <c r="K89" s="42"/>
      <c r="L89" s="60">
        <v>33.330430000000007</v>
      </c>
      <c r="M89" s="60">
        <v>3.8541099999999999</v>
      </c>
      <c r="N89" s="60">
        <v>0</v>
      </c>
      <c r="O89" s="60">
        <v>4.4356299999999997</v>
      </c>
      <c r="P89" s="60">
        <v>3.3313099999999998</v>
      </c>
      <c r="Q89" s="60"/>
      <c r="R89" s="60">
        <v>2.17014</v>
      </c>
      <c r="S89" s="65">
        <v>47.121620000000007</v>
      </c>
      <c r="T89" s="41"/>
      <c r="U89" s="89">
        <v>0</v>
      </c>
      <c r="V89" s="41"/>
      <c r="W89" s="65">
        <v>3609.8011199999996</v>
      </c>
      <c r="X89" s="44">
        <v>47.121620000000007</v>
      </c>
      <c r="Y89" s="44">
        <v>3562.6794999999997</v>
      </c>
      <c r="Z89" s="54"/>
      <c r="AA89" s="54"/>
      <c r="AB89" s="54"/>
      <c r="AC89" s="54"/>
    </row>
    <row r="90" spans="1:32" ht="12" customHeight="1" x14ac:dyDescent="0.2">
      <c r="A90" s="49">
        <v>2016</v>
      </c>
      <c r="B90" s="49" t="s">
        <v>8</v>
      </c>
      <c r="C90" s="60">
        <v>0</v>
      </c>
      <c r="D90" s="60">
        <v>0</v>
      </c>
      <c r="E90" s="60">
        <v>0</v>
      </c>
      <c r="F90" s="60">
        <v>0</v>
      </c>
      <c r="G90" s="60">
        <v>0</v>
      </c>
      <c r="H90" s="60">
        <v>2954.8646400000002</v>
      </c>
      <c r="I90" s="60">
        <v>1347.2136699999999</v>
      </c>
      <c r="J90" s="65">
        <v>4302.0783099999999</v>
      </c>
      <c r="K90" s="42"/>
      <c r="L90" s="60">
        <v>29.240680000000005</v>
      </c>
      <c r="M90" s="60">
        <v>3.5797099999999999</v>
      </c>
      <c r="N90" s="60">
        <v>0</v>
      </c>
      <c r="O90" s="60">
        <v>5.6120000000000001</v>
      </c>
      <c r="P90" s="60">
        <v>2.48414</v>
      </c>
      <c r="Q90" s="60"/>
      <c r="R90" s="60">
        <v>2.1676299999999999</v>
      </c>
      <c r="S90" s="65">
        <v>43.084160000000011</v>
      </c>
      <c r="T90" s="41"/>
      <c r="U90" s="89">
        <v>0</v>
      </c>
      <c r="V90" s="41"/>
      <c r="W90" s="65">
        <v>4345.1624700000002</v>
      </c>
      <c r="X90" s="44">
        <v>43.084160000000011</v>
      </c>
      <c r="Y90" s="44">
        <v>4302.0783099999999</v>
      </c>
      <c r="Z90" s="54"/>
      <c r="AA90" s="54"/>
      <c r="AB90" s="54"/>
      <c r="AC90" s="54"/>
    </row>
    <row r="91" spans="1:32" ht="12" customHeight="1" x14ac:dyDescent="0.2">
      <c r="A91" s="49">
        <v>2016</v>
      </c>
      <c r="B91" s="49" t="s">
        <v>9</v>
      </c>
      <c r="C91" s="60">
        <v>0</v>
      </c>
      <c r="D91" s="60">
        <v>0</v>
      </c>
      <c r="E91" s="60">
        <v>0</v>
      </c>
      <c r="F91" s="60">
        <v>0</v>
      </c>
      <c r="G91" s="60">
        <v>0</v>
      </c>
      <c r="H91" s="60">
        <v>3838.5141099999996</v>
      </c>
      <c r="I91" s="60">
        <v>1778.2965399999998</v>
      </c>
      <c r="J91" s="65">
        <v>5616.8106499999994</v>
      </c>
      <c r="K91" s="42"/>
      <c r="L91" s="60">
        <v>370.20470000000023</v>
      </c>
      <c r="M91" s="60">
        <v>2.2203900000000001</v>
      </c>
      <c r="N91" s="60">
        <v>0</v>
      </c>
      <c r="O91" s="60">
        <v>6.0426000000000002</v>
      </c>
      <c r="P91" s="60">
        <v>3.1163499999999997</v>
      </c>
      <c r="Q91" s="60"/>
      <c r="R91" s="60">
        <v>1.8480999999999999</v>
      </c>
      <c r="S91" s="65">
        <v>383.43214000000023</v>
      </c>
      <c r="T91" s="41"/>
      <c r="U91" s="89">
        <v>0</v>
      </c>
      <c r="V91" s="41"/>
      <c r="W91" s="65">
        <v>6000.2427899999993</v>
      </c>
      <c r="X91" s="44">
        <v>383.43214000000023</v>
      </c>
      <c r="Y91" s="44">
        <v>5616.8106499999994</v>
      </c>
      <c r="Z91" s="54"/>
      <c r="AA91" s="54"/>
      <c r="AB91" s="54"/>
      <c r="AC91" s="54"/>
    </row>
    <row r="92" spans="1:32" ht="12" customHeight="1" x14ac:dyDescent="0.2">
      <c r="A92" s="49">
        <v>2016</v>
      </c>
      <c r="B92" s="49" t="s">
        <v>10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3955.5454300000006</v>
      </c>
      <c r="I92" s="60">
        <v>1278.55808</v>
      </c>
      <c r="J92" s="65">
        <v>5234.1035100000008</v>
      </c>
      <c r="K92" s="42"/>
      <c r="L92" s="60">
        <v>18.726059999999997</v>
      </c>
      <c r="M92" s="60">
        <v>1.43004</v>
      </c>
      <c r="N92" s="60">
        <v>0</v>
      </c>
      <c r="O92" s="60">
        <v>47.843150000000001</v>
      </c>
      <c r="P92" s="60">
        <v>3.0533299999999999</v>
      </c>
      <c r="Q92" s="60"/>
      <c r="R92" s="60">
        <v>1.5249299999999999</v>
      </c>
      <c r="S92" s="65">
        <v>72.57750999999999</v>
      </c>
      <c r="T92" s="41"/>
      <c r="U92" s="89">
        <v>0</v>
      </c>
      <c r="V92" s="41"/>
      <c r="W92" s="65">
        <v>5306.6810200000009</v>
      </c>
      <c r="X92" s="44">
        <v>72.57750999999999</v>
      </c>
      <c r="Y92" s="44">
        <v>5234.1035100000008</v>
      </c>
      <c r="Z92" s="54"/>
      <c r="AA92" s="54"/>
      <c r="AB92" s="54"/>
      <c r="AC92" s="54"/>
    </row>
    <row r="93" spans="1:32" ht="12" customHeight="1" x14ac:dyDescent="0.2">
      <c r="A93" s="49">
        <v>2016</v>
      </c>
      <c r="B93" s="49" t="s">
        <v>11</v>
      </c>
      <c r="C93" s="60">
        <v>0</v>
      </c>
      <c r="D93" s="60">
        <v>0</v>
      </c>
      <c r="E93" s="60">
        <v>0</v>
      </c>
      <c r="F93" s="60">
        <v>0</v>
      </c>
      <c r="G93" s="60">
        <v>0</v>
      </c>
      <c r="H93" s="60">
        <v>3598.9723199999999</v>
      </c>
      <c r="I93" s="60">
        <v>460.73131000000001</v>
      </c>
      <c r="J93" s="65">
        <v>4059.70363</v>
      </c>
      <c r="K93" s="42"/>
      <c r="L93" s="60">
        <v>22.006719999999998</v>
      </c>
      <c r="M93" s="60">
        <v>3.51871</v>
      </c>
      <c r="N93" s="60">
        <v>0</v>
      </c>
      <c r="O93" s="60">
        <v>38.823529999999998</v>
      </c>
      <c r="P93" s="60">
        <v>0</v>
      </c>
      <c r="Q93" s="60"/>
      <c r="R93" s="60">
        <v>2.16323</v>
      </c>
      <c r="S93" s="65">
        <v>66.51218999999999</v>
      </c>
      <c r="T93" s="41"/>
      <c r="U93" s="89">
        <v>0</v>
      </c>
      <c r="V93" s="41"/>
      <c r="W93" s="65">
        <v>4126.2158200000003</v>
      </c>
      <c r="X93" s="44">
        <v>66.51218999999999</v>
      </c>
      <c r="Y93" s="44">
        <v>4059.70363</v>
      </c>
      <c r="Z93" s="54"/>
      <c r="AA93" s="54"/>
      <c r="AB93" s="54"/>
      <c r="AC93" s="54"/>
    </row>
    <row r="94" spans="1:32" ht="12" customHeight="1" x14ac:dyDescent="0.2">
      <c r="A94" s="49">
        <v>2016</v>
      </c>
      <c r="B94" s="49" t="s">
        <v>12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2665.1121899999998</v>
      </c>
      <c r="I94" s="60">
        <v>62.665010000000002</v>
      </c>
      <c r="J94" s="65">
        <v>2727.7772</v>
      </c>
      <c r="K94" s="42"/>
      <c r="L94" s="60">
        <v>20.912110000000006</v>
      </c>
      <c r="M94" s="60">
        <v>3.5382500000000001</v>
      </c>
      <c r="N94" s="60">
        <v>0</v>
      </c>
      <c r="O94" s="60">
        <v>5.5755499999999998</v>
      </c>
      <c r="P94" s="60">
        <v>0</v>
      </c>
      <c r="Q94" s="60"/>
      <c r="R94" s="60">
        <v>2.12765</v>
      </c>
      <c r="S94" s="65">
        <v>32.153560000000006</v>
      </c>
      <c r="T94" s="41"/>
      <c r="U94" s="89">
        <v>0</v>
      </c>
      <c r="V94" s="41"/>
      <c r="W94" s="65">
        <v>2759.9307600000002</v>
      </c>
      <c r="X94" s="44">
        <v>32.153560000000006</v>
      </c>
      <c r="Y94" s="44">
        <v>2727.7772</v>
      </c>
      <c r="Z94" s="54"/>
      <c r="AA94" s="54"/>
      <c r="AB94" s="54"/>
      <c r="AC94" s="54"/>
    </row>
    <row r="95" spans="1:32" ht="12" customHeight="1" x14ac:dyDescent="0.2">
      <c r="A95" s="49">
        <v>2016</v>
      </c>
      <c r="B95" s="49" t="s">
        <v>13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3546.2725699999992</v>
      </c>
      <c r="I95" s="60">
        <v>20.019159999999996</v>
      </c>
      <c r="J95" s="65">
        <v>3566.291729999999</v>
      </c>
      <c r="K95" s="42"/>
      <c r="L95" s="60">
        <v>22.345699999999997</v>
      </c>
      <c r="M95" s="60">
        <v>7.24322</v>
      </c>
      <c r="N95" s="60">
        <v>0</v>
      </c>
      <c r="O95" s="60">
        <v>4.6771799999999999</v>
      </c>
      <c r="P95" s="60">
        <v>35.795310000000001</v>
      </c>
      <c r="Q95" s="60"/>
      <c r="R95" s="60">
        <v>2.1318999999999999</v>
      </c>
      <c r="S95" s="65">
        <v>72.193309999999997</v>
      </c>
      <c r="T95" s="41"/>
      <c r="U95" s="89">
        <v>0</v>
      </c>
      <c r="V95" s="41"/>
      <c r="W95" s="65">
        <v>3638.4850399999991</v>
      </c>
      <c r="X95" s="44">
        <v>72.193309999999997</v>
      </c>
      <c r="Y95" s="44">
        <v>3566.291729999999</v>
      </c>
      <c r="Z95" s="54"/>
      <c r="AA95" s="54"/>
      <c r="AB95" s="54"/>
      <c r="AC95" s="54"/>
    </row>
    <row r="96" spans="1:32" ht="12" customHeight="1" x14ac:dyDescent="0.2">
      <c r="A96" s="49">
        <v>2016</v>
      </c>
      <c r="B96" s="49" t="s">
        <v>14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3128.7436499999999</v>
      </c>
      <c r="I96" s="60">
        <v>1.7545500000000001</v>
      </c>
      <c r="J96" s="65">
        <v>3130.4982</v>
      </c>
      <c r="K96" s="42"/>
      <c r="L96" s="60">
        <v>22.123639999999998</v>
      </c>
      <c r="M96" s="60">
        <v>8.9546700000000001</v>
      </c>
      <c r="N96" s="60">
        <v>0</v>
      </c>
      <c r="O96" s="60">
        <v>2.83663</v>
      </c>
      <c r="P96" s="60">
        <v>0</v>
      </c>
      <c r="Q96" s="60"/>
      <c r="R96" s="60">
        <v>1.8453899999999999</v>
      </c>
      <c r="S96" s="65">
        <v>35.760330000000003</v>
      </c>
      <c r="T96" s="41"/>
      <c r="U96" s="89">
        <v>0</v>
      </c>
      <c r="V96" s="41"/>
      <c r="W96" s="65">
        <v>3166.2585300000001</v>
      </c>
      <c r="X96" s="44">
        <v>35.760330000000003</v>
      </c>
      <c r="Y96" s="44">
        <v>3130.4982</v>
      </c>
      <c r="Z96" s="54"/>
      <c r="AA96" s="54"/>
      <c r="AB96" s="54"/>
      <c r="AC96" s="54"/>
    </row>
    <row r="97" spans="1:32" ht="12" customHeight="1" x14ac:dyDescent="0.2">
      <c r="A97" s="49">
        <v>2016</v>
      </c>
      <c r="B97" s="49" t="s">
        <v>15</v>
      </c>
      <c r="C97" s="60">
        <v>186.34000000000003</v>
      </c>
      <c r="D97" s="60">
        <v>0</v>
      </c>
      <c r="E97" s="60">
        <v>0</v>
      </c>
      <c r="F97" s="60">
        <v>0</v>
      </c>
      <c r="G97" s="60">
        <v>0</v>
      </c>
      <c r="H97" s="60">
        <v>36110.766629999998</v>
      </c>
      <c r="I97" s="60">
        <v>6582.0968599999987</v>
      </c>
      <c r="J97" s="65">
        <v>42879.20349</v>
      </c>
      <c r="K97" s="42"/>
      <c r="L97" s="60">
        <v>1642.1301800000006</v>
      </c>
      <c r="M97" s="60">
        <v>72.155329999999992</v>
      </c>
      <c r="N97" s="60">
        <v>0</v>
      </c>
      <c r="O97" s="60">
        <v>131.523</v>
      </c>
      <c r="P97" s="60">
        <v>79.119259999999997</v>
      </c>
      <c r="Q97" s="60"/>
      <c r="R97" s="60">
        <v>23.702839999999998</v>
      </c>
      <c r="S97" s="65">
        <v>1948.6306100000002</v>
      </c>
      <c r="T97" s="41"/>
      <c r="U97" s="84">
        <v>0</v>
      </c>
      <c r="V97" s="41"/>
      <c r="W97" s="65">
        <v>44827.8341</v>
      </c>
      <c r="X97" s="44">
        <v>1948.6306100000002</v>
      </c>
      <c r="Y97" s="44">
        <v>42879.20349</v>
      </c>
      <c r="Z97" s="54"/>
      <c r="AA97" s="54"/>
      <c r="AB97" s="54"/>
      <c r="AC97" s="54"/>
    </row>
    <row r="98" spans="1:32" ht="12" customHeight="1" x14ac:dyDescent="0.2">
      <c r="A98" s="49">
        <v>2017</v>
      </c>
      <c r="B98" s="49" t="s">
        <v>3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1642.5134100000002</v>
      </c>
      <c r="I98" s="60">
        <v>21.274579999999997</v>
      </c>
      <c r="J98" s="65">
        <v>1663.7879900000003</v>
      </c>
      <c r="K98" s="42"/>
      <c r="L98" s="60">
        <v>31.03782</v>
      </c>
      <c r="M98" s="60">
        <v>13.515739999999999</v>
      </c>
      <c r="N98" s="60">
        <v>0</v>
      </c>
      <c r="O98" s="60">
        <v>0.89054999999999995</v>
      </c>
      <c r="P98" s="60">
        <v>0</v>
      </c>
      <c r="Q98" s="60"/>
      <c r="R98" s="60">
        <v>1.5190999999999999</v>
      </c>
      <c r="S98" s="65">
        <v>46.963209999999997</v>
      </c>
      <c r="T98" s="41"/>
      <c r="U98" s="87">
        <v>0</v>
      </c>
      <c r="V98" s="41"/>
      <c r="W98" s="65">
        <v>1710.7512000000002</v>
      </c>
      <c r="X98" s="44">
        <v>46.963209999999997</v>
      </c>
      <c r="Y98" s="44">
        <v>1663.7879900000003</v>
      </c>
      <c r="Z98" s="54"/>
      <c r="AA98" s="54"/>
      <c r="AB98" s="54"/>
      <c r="AC98" s="54"/>
    </row>
    <row r="99" spans="1:32" ht="12" customHeight="1" x14ac:dyDescent="0.2">
      <c r="A99" s="49">
        <v>2017</v>
      </c>
      <c r="B99" s="49" t="s">
        <v>4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1404.7676100000001</v>
      </c>
      <c r="I99" s="60">
        <v>128.95535000000001</v>
      </c>
      <c r="J99" s="65">
        <v>1533.7229600000001</v>
      </c>
      <c r="K99" s="42"/>
      <c r="L99" s="60">
        <v>29.475519999999999</v>
      </c>
      <c r="M99" s="60">
        <v>18.696870000000001</v>
      </c>
      <c r="N99" s="60">
        <v>0</v>
      </c>
      <c r="O99" s="60">
        <v>2.0540700000000003</v>
      </c>
      <c r="P99" s="60">
        <v>0</v>
      </c>
      <c r="Q99" s="60"/>
      <c r="R99" s="60">
        <v>1.8165100000000001</v>
      </c>
      <c r="S99" s="65">
        <v>52.042970000000004</v>
      </c>
      <c r="T99" s="41"/>
      <c r="U99" s="85">
        <v>0</v>
      </c>
      <c r="V99" s="41"/>
      <c r="W99" s="65">
        <v>1585.76593</v>
      </c>
      <c r="X99" s="44">
        <v>52.042970000000004</v>
      </c>
      <c r="Y99" s="44">
        <v>1533.7229600000001</v>
      </c>
      <c r="Z99" s="54"/>
      <c r="AA99" s="54"/>
      <c r="AB99" s="54"/>
      <c r="AC99" s="54"/>
    </row>
    <row r="100" spans="1:32" ht="12" customHeight="1" x14ac:dyDescent="0.2">
      <c r="A100" s="49">
        <v>2017</v>
      </c>
      <c r="B100" s="49" t="s">
        <v>5</v>
      </c>
      <c r="C100" s="60">
        <v>0</v>
      </c>
      <c r="D100" s="60">
        <v>0</v>
      </c>
      <c r="E100" s="60">
        <v>0</v>
      </c>
      <c r="F100" s="60">
        <v>0</v>
      </c>
      <c r="G100" s="60">
        <v>0</v>
      </c>
      <c r="H100" s="60">
        <v>2585.1249499999999</v>
      </c>
      <c r="I100" s="60">
        <v>587.87660000000005</v>
      </c>
      <c r="J100" s="65">
        <v>3173.00155</v>
      </c>
      <c r="K100" s="42"/>
      <c r="L100" s="60">
        <v>36.174080000000004</v>
      </c>
      <c r="M100" s="60">
        <v>21.671150000000001</v>
      </c>
      <c r="N100" s="60">
        <v>0</v>
      </c>
      <c r="O100" s="60">
        <v>4.6540699999999999</v>
      </c>
      <c r="P100" s="60">
        <v>0</v>
      </c>
      <c r="Q100" s="60"/>
      <c r="R100" s="60">
        <v>2.1263700000000005</v>
      </c>
      <c r="S100" s="65">
        <v>64.62567</v>
      </c>
      <c r="T100" s="41"/>
      <c r="U100" s="85">
        <v>0</v>
      </c>
      <c r="V100" s="41"/>
      <c r="W100" s="65">
        <v>3237.6272199999999</v>
      </c>
      <c r="X100" s="44">
        <v>64.62567</v>
      </c>
      <c r="Y100" s="44">
        <v>3173.00155</v>
      </c>
      <c r="Z100" s="54"/>
      <c r="AA100" s="54"/>
      <c r="AB100" s="54"/>
      <c r="AC100" s="54"/>
    </row>
    <row r="101" spans="1:32" ht="12" customHeight="1" x14ac:dyDescent="0.2">
      <c r="A101" s="49">
        <v>2017</v>
      </c>
      <c r="B101" s="49" t="s">
        <v>6</v>
      </c>
      <c r="C101" s="60">
        <v>0</v>
      </c>
      <c r="D101" s="60">
        <v>0</v>
      </c>
      <c r="E101" s="60">
        <v>0</v>
      </c>
      <c r="F101" s="60">
        <v>0</v>
      </c>
      <c r="G101" s="60">
        <v>0</v>
      </c>
      <c r="H101" s="60">
        <v>2742.3884900000003</v>
      </c>
      <c r="I101" s="60">
        <v>0</v>
      </c>
      <c r="J101" s="65">
        <v>2742.3884900000003</v>
      </c>
      <c r="K101" s="42"/>
      <c r="L101" s="60">
        <v>23.849400000000003</v>
      </c>
      <c r="M101" s="60">
        <v>7.7986300000000011</v>
      </c>
      <c r="N101" s="60">
        <v>2.50142</v>
      </c>
      <c r="O101" s="60">
        <v>5.3103999999999996</v>
      </c>
      <c r="P101" s="60">
        <v>0</v>
      </c>
      <c r="Q101" s="60"/>
      <c r="R101" s="60">
        <v>1.5088199999999998</v>
      </c>
      <c r="S101" s="65">
        <v>40.96867000000001</v>
      </c>
      <c r="T101" s="41"/>
      <c r="U101" s="85">
        <v>0</v>
      </c>
      <c r="V101" s="41"/>
      <c r="W101" s="65">
        <v>2783.3571600000005</v>
      </c>
      <c r="X101" s="44">
        <v>40.96867000000001</v>
      </c>
      <c r="Y101" s="44">
        <v>2742.3884900000003</v>
      </c>
      <c r="Z101" s="54"/>
      <c r="AA101" s="54"/>
      <c r="AB101" s="54"/>
      <c r="AC101" s="54"/>
    </row>
    <row r="102" spans="1:32" ht="12" customHeight="1" x14ac:dyDescent="0.2">
      <c r="A102" s="49">
        <v>2017</v>
      </c>
      <c r="B102" s="49" t="s">
        <v>7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3877.7191499999999</v>
      </c>
      <c r="I102" s="60">
        <v>0</v>
      </c>
      <c r="J102" s="65">
        <v>3877.7191499999999</v>
      </c>
      <c r="K102" s="42"/>
      <c r="L102" s="60">
        <v>24.650879999999997</v>
      </c>
      <c r="M102" s="60">
        <v>8.8895099999999996</v>
      </c>
      <c r="N102" s="60">
        <v>0</v>
      </c>
      <c r="O102" s="60">
        <v>4.7049799999999999</v>
      </c>
      <c r="P102" s="60">
        <v>0</v>
      </c>
      <c r="Q102" s="60"/>
      <c r="R102" s="60">
        <v>2.3266299999999998</v>
      </c>
      <c r="S102" s="65">
        <v>40.571999999999996</v>
      </c>
      <c r="T102" s="41"/>
      <c r="U102" s="85">
        <v>0</v>
      </c>
      <c r="V102" s="41"/>
      <c r="W102" s="65">
        <v>3918.29115</v>
      </c>
      <c r="X102" s="44">
        <v>40.571999999999996</v>
      </c>
      <c r="Y102" s="44">
        <v>3877.7191499999999</v>
      </c>
      <c r="Z102" s="54"/>
      <c r="AA102" s="54"/>
      <c r="AB102" s="54"/>
      <c r="AC102" s="54"/>
    </row>
    <row r="103" spans="1:32" ht="12" customHeight="1" x14ac:dyDescent="0.2">
      <c r="A103" s="49">
        <v>2017</v>
      </c>
      <c r="B103" s="49" t="s">
        <v>8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3585.7311100000002</v>
      </c>
      <c r="I103" s="60">
        <v>0</v>
      </c>
      <c r="J103" s="65">
        <v>3585.7311100000002</v>
      </c>
      <c r="K103" s="42"/>
      <c r="L103" s="60">
        <v>20.449920000000002</v>
      </c>
      <c r="M103" s="60">
        <v>7.0259900000000002</v>
      </c>
      <c r="N103" s="60">
        <v>0</v>
      </c>
      <c r="O103" s="60">
        <v>3.2416700000000001</v>
      </c>
      <c r="P103" s="60">
        <v>0</v>
      </c>
      <c r="Q103" s="60"/>
      <c r="R103" s="60">
        <v>2.0581199999999997</v>
      </c>
      <c r="S103" s="65">
        <v>32.775700000000001</v>
      </c>
      <c r="T103" s="41"/>
      <c r="U103" s="85">
        <v>0</v>
      </c>
      <c r="V103" s="41"/>
      <c r="W103" s="65">
        <v>3618.5068100000003</v>
      </c>
      <c r="X103" s="44">
        <v>32.775700000000001</v>
      </c>
      <c r="Y103" s="44">
        <v>3585.7311100000002</v>
      </c>
      <c r="Z103" s="54"/>
      <c r="AA103" s="54"/>
      <c r="AB103" s="54"/>
      <c r="AC103" s="54"/>
    </row>
    <row r="104" spans="1:32" ht="12" customHeight="1" x14ac:dyDescent="0.2">
      <c r="A104" s="49">
        <v>2017</v>
      </c>
      <c r="B104" s="49" t="s">
        <v>9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2260.8458200000005</v>
      </c>
      <c r="I104" s="60">
        <v>0</v>
      </c>
      <c r="J104" s="65">
        <v>2260.8458200000005</v>
      </c>
      <c r="K104" s="42"/>
      <c r="L104" s="60">
        <v>17.740919999999999</v>
      </c>
      <c r="M104" s="60">
        <v>7.4127399999999994</v>
      </c>
      <c r="N104" s="60">
        <v>0</v>
      </c>
      <c r="O104" s="60">
        <v>8.2079599999999999</v>
      </c>
      <c r="P104" s="60">
        <v>0</v>
      </c>
      <c r="Q104" s="60"/>
      <c r="R104" s="60">
        <v>2.0246400000000002</v>
      </c>
      <c r="S104" s="65">
        <v>35.38626</v>
      </c>
      <c r="T104" s="41"/>
      <c r="U104" s="85">
        <v>0</v>
      </c>
      <c r="V104" s="41"/>
      <c r="W104" s="65">
        <v>2296.2320800000007</v>
      </c>
      <c r="X104" s="44">
        <v>35.38626</v>
      </c>
      <c r="Y104" s="44">
        <v>2260.8458200000005</v>
      </c>
      <c r="Z104" s="54"/>
      <c r="AA104" s="54"/>
      <c r="AB104" s="54"/>
      <c r="AC104" s="54"/>
    </row>
    <row r="105" spans="1:32" s="58" customFormat="1" ht="12" customHeight="1" x14ac:dyDescent="0.2">
      <c r="A105" s="49">
        <v>2017</v>
      </c>
      <c r="B105" s="49" t="s">
        <v>10</v>
      </c>
      <c r="C105" s="60">
        <v>0</v>
      </c>
      <c r="D105" s="60">
        <v>0</v>
      </c>
      <c r="E105" s="60">
        <v>0</v>
      </c>
      <c r="F105" s="60">
        <v>0</v>
      </c>
      <c r="G105" s="60">
        <v>0</v>
      </c>
      <c r="H105" s="60">
        <v>2053.8906899999997</v>
      </c>
      <c r="I105" s="60">
        <v>4.29366</v>
      </c>
      <c r="J105" s="65">
        <v>2058.1843499999995</v>
      </c>
      <c r="K105" s="42"/>
      <c r="L105" s="60">
        <v>18.704739999999997</v>
      </c>
      <c r="M105" s="60">
        <v>4.7676000000000007</v>
      </c>
      <c r="N105" s="60">
        <v>0</v>
      </c>
      <c r="O105" s="60">
        <v>47.13261</v>
      </c>
      <c r="P105" s="60">
        <v>0</v>
      </c>
      <c r="Q105" s="60"/>
      <c r="R105" s="60">
        <v>2.0030799999999997</v>
      </c>
      <c r="S105" s="65">
        <v>72.608029999999999</v>
      </c>
      <c r="T105" s="41"/>
      <c r="U105" s="85">
        <v>0</v>
      </c>
      <c r="V105" s="41"/>
      <c r="W105" s="65">
        <v>2130.7923799999994</v>
      </c>
      <c r="X105" s="44">
        <v>72.608029999999999</v>
      </c>
      <c r="Y105" s="44">
        <v>2058.1843499999995</v>
      </c>
      <c r="Z105" s="57"/>
      <c r="AA105" s="57"/>
      <c r="AB105" s="57"/>
      <c r="AC105" s="57"/>
    </row>
    <row r="106" spans="1:32" s="58" customFormat="1" ht="12" customHeight="1" x14ac:dyDescent="0.2">
      <c r="A106" s="49">
        <v>2017</v>
      </c>
      <c r="B106" s="49" t="s">
        <v>11</v>
      </c>
      <c r="C106" s="60">
        <v>0</v>
      </c>
      <c r="D106" s="60">
        <v>0</v>
      </c>
      <c r="E106" s="60">
        <v>0</v>
      </c>
      <c r="F106" s="60">
        <v>0</v>
      </c>
      <c r="G106" s="60">
        <v>0</v>
      </c>
      <c r="H106" s="60">
        <v>2903.5155199999995</v>
      </c>
      <c r="I106" s="60">
        <v>93.958570000000009</v>
      </c>
      <c r="J106" s="65">
        <v>2997.4740899999997</v>
      </c>
      <c r="K106" s="42"/>
      <c r="L106" s="60">
        <v>32.416730000000001</v>
      </c>
      <c r="M106" s="60">
        <v>8.0971900000000012</v>
      </c>
      <c r="N106" s="60">
        <v>0</v>
      </c>
      <c r="O106" s="60">
        <v>22.325479999999999</v>
      </c>
      <c r="P106" s="60">
        <v>0</v>
      </c>
      <c r="Q106" s="60"/>
      <c r="R106" s="60">
        <v>2.0936500000000002</v>
      </c>
      <c r="S106" s="65">
        <v>64.933049999999994</v>
      </c>
      <c r="T106" s="41"/>
      <c r="U106" s="85">
        <v>0</v>
      </c>
      <c r="V106" s="41"/>
      <c r="W106" s="65">
        <v>3062.4071399999998</v>
      </c>
      <c r="X106" s="44">
        <v>64.933049999999994</v>
      </c>
      <c r="Y106" s="44">
        <v>2997.4740899999997</v>
      </c>
      <c r="Z106" s="57"/>
      <c r="AA106" s="57"/>
      <c r="AB106" s="57"/>
      <c r="AC106" s="57"/>
    </row>
    <row r="107" spans="1:32" s="58" customFormat="1" ht="12" customHeight="1" x14ac:dyDescent="0.2">
      <c r="A107" s="49">
        <v>2017</v>
      </c>
      <c r="B107" s="49" t="s">
        <v>12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2375.5772499999998</v>
      </c>
      <c r="I107" s="60">
        <v>14.0052</v>
      </c>
      <c r="J107" s="65">
        <v>2389.5824499999999</v>
      </c>
      <c r="K107" s="42"/>
      <c r="L107" s="60">
        <v>25.82949</v>
      </c>
      <c r="M107" s="60">
        <v>8.2601899999999979</v>
      </c>
      <c r="N107" s="60">
        <v>987.96080000000006</v>
      </c>
      <c r="O107" s="60">
        <v>0.59936</v>
      </c>
      <c r="P107" s="60">
        <v>28.261110000000002</v>
      </c>
      <c r="Q107" s="60"/>
      <c r="R107" s="60">
        <v>2.0614799999999995</v>
      </c>
      <c r="S107" s="65">
        <v>1052.9724300000003</v>
      </c>
      <c r="T107" s="41"/>
      <c r="U107" s="85">
        <v>0</v>
      </c>
      <c r="V107" s="41"/>
      <c r="W107" s="65">
        <v>3442.5548800000001</v>
      </c>
      <c r="X107" s="44">
        <v>1052.9724300000003</v>
      </c>
      <c r="Y107" s="44">
        <v>2389.5824499999999</v>
      </c>
      <c r="Z107" s="57"/>
      <c r="AA107" s="57"/>
      <c r="AB107" s="57"/>
      <c r="AC107" s="57"/>
    </row>
    <row r="108" spans="1:32" s="58" customFormat="1" ht="12" customHeight="1" x14ac:dyDescent="0.2">
      <c r="A108" s="49">
        <v>2017</v>
      </c>
      <c r="B108" s="49" t="s">
        <v>13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1944.2865399999996</v>
      </c>
      <c r="I108" s="60">
        <v>41.109520000000003</v>
      </c>
      <c r="J108" s="65">
        <v>1985.3960599999996</v>
      </c>
      <c r="K108" s="42"/>
      <c r="L108" s="60">
        <v>26.292020000000001</v>
      </c>
      <c r="M108" s="60">
        <v>24.035430000000002</v>
      </c>
      <c r="N108" s="60">
        <v>0</v>
      </c>
      <c r="O108" s="60">
        <v>0.28849999999999998</v>
      </c>
      <c r="P108" s="60">
        <v>29.279709999999998</v>
      </c>
      <c r="Q108" s="60"/>
      <c r="R108" s="60">
        <v>2.0979399999999999</v>
      </c>
      <c r="S108" s="65">
        <v>81.993599999999986</v>
      </c>
      <c r="T108" s="41"/>
      <c r="U108" s="85">
        <v>0</v>
      </c>
      <c r="V108" s="41"/>
      <c r="W108" s="65">
        <v>2067.3896599999994</v>
      </c>
      <c r="X108" s="44">
        <v>81.993599999999986</v>
      </c>
      <c r="Y108" s="44">
        <v>1985.3960599999996</v>
      </c>
      <c r="Z108" s="57"/>
      <c r="AA108" s="57"/>
      <c r="AB108" s="57"/>
      <c r="AC108" s="57"/>
    </row>
    <row r="109" spans="1:32" ht="12" customHeight="1" x14ac:dyDescent="0.2">
      <c r="A109" s="49">
        <v>2017</v>
      </c>
      <c r="B109" s="49" t="s">
        <v>14</v>
      </c>
      <c r="C109" s="60">
        <v>0</v>
      </c>
      <c r="D109" s="60">
        <v>0</v>
      </c>
      <c r="E109" s="60">
        <v>0</v>
      </c>
      <c r="F109" s="60">
        <v>0</v>
      </c>
      <c r="G109" s="60">
        <v>0</v>
      </c>
      <c r="H109" s="60">
        <v>2468.7635599999999</v>
      </c>
      <c r="I109" s="60">
        <v>3.3419999999999998E-2</v>
      </c>
      <c r="J109" s="65">
        <v>2468.7969800000001</v>
      </c>
      <c r="K109" s="42"/>
      <c r="L109" s="60">
        <v>23.394209999999998</v>
      </c>
      <c r="M109" s="60">
        <v>25.58286</v>
      </c>
      <c r="N109" s="60">
        <v>0</v>
      </c>
      <c r="O109" s="60">
        <v>0.59151999999999993</v>
      </c>
      <c r="P109" s="60">
        <v>21.129770000000001</v>
      </c>
      <c r="Q109" s="60"/>
      <c r="R109" s="60">
        <v>1.5122800000000001</v>
      </c>
      <c r="S109" s="65">
        <v>72.210640000000012</v>
      </c>
      <c r="T109" s="41"/>
      <c r="U109" s="85">
        <v>0</v>
      </c>
      <c r="V109" s="41"/>
      <c r="W109" s="65">
        <v>2541.0076200000003</v>
      </c>
      <c r="X109" s="44">
        <v>72.210640000000012</v>
      </c>
      <c r="Y109" s="44">
        <v>2468.7969800000001</v>
      </c>
      <c r="Z109" s="54"/>
      <c r="AA109" s="54"/>
      <c r="AB109" s="54"/>
      <c r="AC109" s="54"/>
    </row>
    <row r="110" spans="1:32" ht="12" customHeight="1" x14ac:dyDescent="0.2">
      <c r="A110" s="49">
        <v>2017</v>
      </c>
      <c r="B110" s="49" t="s">
        <v>15</v>
      </c>
      <c r="C110" s="60">
        <v>0</v>
      </c>
      <c r="D110" s="60">
        <v>0</v>
      </c>
      <c r="E110" s="60">
        <v>0</v>
      </c>
      <c r="F110" s="60">
        <v>0</v>
      </c>
      <c r="G110" s="60">
        <v>0</v>
      </c>
      <c r="H110" s="60">
        <v>29845.124100000005</v>
      </c>
      <c r="I110" s="60">
        <v>891.50689999999997</v>
      </c>
      <c r="J110" s="65">
        <v>30736.631000000001</v>
      </c>
      <c r="K110" s="42"/>
      <c r="L110" s="60">
        <v>310.01572999999996</v>
      </c>
      <c r="M110" s="60">
        <v>155.75390000000002</v>
      </c>
      <c r="N110" s="60">
        <v>990.46222000000012</v>
      </c>
      <c r="O110" s="60">
        <v>100.00117</v>
      </c>
      <c r="P110" s="60">
        <v>78.670590000000004</v>
      </c>
      <c r="Q110" s="60"/>
      <c r="R110" s="60">
        <v>23.148620000000001</v>
      </c>
      <c r="S110" s="65">
        <v>1658.0522300000002</v>
      </c>
      <c r="T110" s="41"/>
      <c r="U110" s="84">
        <v>0</v>
      </c>
      <c r="V110" s="41"/>
      <c r="W110" s="65">
        <v>32394.683230000002</v>
      </c>
      <c r="X110" s="44">
        <v>1658.0522300000002</v>
      </c>
      <c r="Y110" s="44">
        <v>30736.631000000001</v>
      </c>
      <c r="Z110" s="51"/>
      <c r="AA110" s="52"/>
      <c r="AB110" s="52"/>
      <c r="AC110" s="53"/>
      <c r="AD110" s="48"/>
      <c r="AE110" s="45"/>
      <c r="AF110" s="45"/>
    </row>
    <row r="111" spans="1:32" ht="12" customHeight="1" x14ac:dyDescent="0.2">
      <c r="A111" s="49">
        <v>2018</v>
      </c>
      <c r="B111" s="49" t="s">
        <v>3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2357.8477399999997</v>
      </c>
      <c r="I111" s="60">
        <v>6.2161200000000001</v>
      </c>
      <c r="J111" s="65">
        <v>2364.0638599999997</v>
      </c>
      <c r="K111" s="42"/>
      <c r="L111" s="60">
        <v>1105.3377700000001</v>
      </c>
      <c r="M111" s="60">
        <v>34.493400000000008</v>
      </c>
      <c r="N111" s="60">
        <v>0</v>
      </c>
      <c r="O111" s="60">
        <v>1.18214</v>
      </c>
      <c r="P111" s="60">
        <v>0</v>
      </c>
      <c r="Q111" s="60"/>
      <c r="R111" s="60">
        <v>2.0486300000000002</v>
      </c>
      <c r="S111" s="65">
        <v>1143.06194</v>
      </c>
      <c r="T111" s="41"/>
      <c r="U111" s="88">
        <v>0</v>
      </c>
      <c r="V111" s="41"/>
      <c r="W111" s="65">
        <v>3507.1257999999998</v>
      </c>
      <c r="X111" s="44">
        <v>1143.06194</v>
      </c>
      <c r="Y111" s="44">
        <v>2364.0638599999997</v>
      </c>
      <c r="Z111" s="54"/>
      <c r="AA111" s="54"/>
      <c r="AB111" s="54"/>
      <c r="AC111" s="54"/>
    </row>
    <row r="112" spans="1:32" ht="12" customHeight="1" x14ac:dyDescent="0.2">
      <c r="A112" s="49">
        <v>2018</v>
      </c>
      <c r="B112" s="49" t="s">
        <v>4</v>
      </c>
      <c r="C112" s="60">
        <v>0</v>
      </c>
      <c r="D112" s="60">
        <v>0</v>
      </c>
      <c r="E112" s="60">
        <v>0</v>
      </c>
      <c r="F112" s="60">
        <v>0</v>
      </c>
      <c r="G112" s="60">
        <v>0</v>
      </c>
      <c r="H112" s="60">
        <v>1573.9769299999998</v>
      </c>
      <c r="I112" s="60">
        <v>304.8408</v>
      </c>
      <c r="J112" s="65">
        <v>1878.8177299999998</v>
      </c>
      <c r="K112" s="42"/>
      <c r="L112" s="60">
        <v>29.866799999999998</v>
      </c>
      <c r="M112" s="60">
        <v>32.150320000000001</v>
      </c>
      <c r="N112" s="60">
        <v>0</v>
      </c>
      <c r="O112" s="60">
        <v>1077.8794700000001</v>
      </c>
      <c r="P112" s="60">
        <v>21.421240000000001</v>
      </c>
      <c r="Q112" s="60"/>
      <c r="R112" s="60">
        <v>1.7562699999999998</v>
      </c>
      <c r="S112" s="65">
        <v>1163.0741</v>
      </c>
      <c r="T112" s="41"/>
      <c r="U112" s="89">
        <v>0</v>
      </c>
      <c r="V112" s="41"/>
      <c r="W112" s="65">
        <v>3041.8918299999996</v>
      </c>
      <c r="X112" s="44">
        <v>1163.0741</v>
      </c>
      <c r="Y112" s="44">
        <v>1878.8177299999998</v>
      </c>
      <c r="Z112" s="54"/>
      <c r="AA112" s="54"/>
      <c r="AB112" s="54"/>
      <c r="AC112" s="54"/>
    </row>
    <row r="113" spans="1:29" ht="12" customHeight="1" x14ac:dyDescent="0.2">
      <c r="A113" s="49">
        <v>2018</v>
      </c>
      <c r="B113" s="49" t="s">
        <v>5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1876.4722400000001</v>
      </c>
      <c r="I113" s="60">
        <v>848.01864</v>
      </c>
      <c r="J113" s="65">
        <v>2724.4908799999998</v>
      </c>
      <c r="K113" s="42"/>
      <c r="L113" s="60">
        <v>36.096110000000003</v>
      </c>
      <c r="M113" s="60">
        <v>34.96032000000001</v>
      </c>
      <c r="N113" s="60">
        <v>2.93316</v>
      </c>
      <c r="O113" s="60">
        <v>0.59355999999999998</v>
      </c>
      <c r="P113" s="60">
        <v>0</v>
      </c>
      <c r="Q113" s="60"/>
      <c r="R113" s="60">
        <v>2.0476299999999998</v>
      </c>
      <c r="S113" s="65">
        <v>76.630780000000001</v>
      </c>
      <c r="T113" s="41"/>
      <c r="U113" s="89">
        <v>0</v>
      </c>
      <c r="V113" s="41"/>
      <c r="W113" s="65">
        <v>2801.1216599999998</v>
      </c>
      <c r="X113" s="44">
        <v>76.630780000000001</v>
      </c>
      <c r="Y113" s="44">
        <v>2724.4908799999998</v>
      </c>
      <c r="Z113" s="54"/>
      <c r="AA113" s="54"/>
      <c r="AB113" s="54"/>
      <c r="AC113" s="54"/>
    </row>
    <row r="114" spans="1:29" ht="12" customHeight="1" x14ac:dyDescent="0.2">
      <c r="A114" s="49">
        <v>2018</v>
      </c>
      <c r="B114" s="49" t="s">
        <v>6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1566.32502</v>
      </c>
      <c r="I114" s="60">
        <v>561.13813000000005</v>
      </c>
      <c r="J114" s="65">
        <v>2127.46315</v>
      </c>
      <c r="K114" s="42"/>
      <c r="L114" s="60">
        <v>41.047820000000002</v>
      </c>
      <c r="M114" s="60">
        <v>7.3718899999999996</v>
      </c>
      <c r="N114" s="60">
        <v>0</v>
      </c>
      <c r="O114" s="60">
        <v>0.87404999999999999</v>
      </c>
      <c r="P114" s="60">
        <v>0</v>
      </c>
      <c r="Q114" s="60"/>
      <c r="R114" s="60">
        <v>2.05335</v>
      </c>
      <c r="S114" s="65">
        <v>51.347110000000001</v>
      </c>
      <c r="T114" s="41"/>
      <c r="U114" s="89">
        <v>0</v>
      </c>
      <c r="V114" s="41"/>
      <c r="W114" s="65">
        <v>2178.8102600000002</v>
      </c>
      <c r="X114" s="44">
        <v>51.347110000000001</v>
      </c>
      <c r="Y114" s="44">
        <v>2127.46315</v>
      </c>
      <c r="Z114" s="54"/>
      <c r="AA114" s="54"/>
      <c r="AB114" s="54"/>
      <c r="AC114" s="54"/>
    </row>
    <row r="115" spans="1:29" ht="12" customHeight="1" x14ac:dyDescent="0.2">
      <c r="A115" s="49">
        <v>2018</v>
      </c>
      <c r="B115" s="49" t="s">
        <v>7</v>
      </c>
      <c r="C115" s="60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2584.1866199999999</v>
      </c>
      <c r="I115" s="60">
        <v>729.08262000000013</v>
      </c>
      <c r="J115" s="65">
        <v>3313.2692400000001</v>
      </c>
      <c r="K115" s="42"/>
      <c r="L115" s="60">
        <v>25.593139999999998</v>
      </c>
      <c r="M115" s="60">
        <v>5.6432700000000002</v>
      </c>
      <c r="N115" s="60">
        <v>0</v>
      </c>
      <c r="O115" s="60">
        <v>3.51</v>
      </c>
      <c r="P115" s="60">
        <v>27.749659999999999</v>
      </c>
      <c r="Q115" s="60"/>
      <c r="R115" s="60">
        <v>1.7927200000000001</v>
      </c>
      <c r="S115" s="65">
        <v>64.288789999999992</v>
      </c>
      <c r="T115" s="41"/>
      <c r="U115" s="89">
        <v>0</v>
      </c>
      <c r="V115" s="41"/>
      <c r="W115" s="65">
        <v>3377.5580300000001</v>
      </c>
      <c r="X115" s="44">
        <v>64.288789999999992</v>
      </c>
      <c r="Y115" s="44">
        <v>3313.2692400000001</v>
      </c>
      <c r="Z115" s="54"/>
      <c r="AA115" s="54"/>
      <c r="AB115" s="54"/>
      <c r="AC115" s="54"/>
    </row>
    <row r="116" spans="1:29" ht="12" customHeight="1" x14ac:dyDescent="0.2">
      <c r="A116" s="49">
        <v>2018</v>
      </c>
      <c r="B116" s="49" t="s">
        <v>8</v>
      </c>
      <c r="C116" s="60">
        <v>0</v>
      </c>
      <c r="D116" s="60">
        <v>0</v>
      </c>
      <c r="E116" s="60">
        <v>0</v>
      </c>
      <c r="F116" s="60">
        <v>0</v>
      </c>
      <c r="G116" s="60">
        <v>0</v>
      </c>
      <c r="H116" s="60">
        <v>3198.07096</v>
      </c>
      <c r="I116" s="60">
        <v>1703.0223299999998</v>
      </c>
      <c r="J116" s="65">
        <v>4901.0932899999998</v>
      </c>
      <c r="K116" s="42"/>
      <c r="L116" s="60">
        <v>26.431449999999998</v>
      </c>
      <c r="M116" s="60">
        <v>6.9322600000000003</v>
      </c>
      <c r="N116" s="60">
        <v>0</v>
      </c>
      <c r="O116" s="60">
        <v>0.57807000000000008</v>
      </c>
      <c r="P116" s="60">
        <v>0</v>
      </c>
      <c r="Q116" s="60"/>
      <c r="R116" s="60">
        <v>2.3903599999999998</v>
      </c>
      <c r="S116" s="65">
        <v>36.332139999999995</v>
      </c>
      <c r="T116" s="41"/>
      <c r="U116" s="89">
        <v>0</v>
      </c>
      <c r="V116" s="41"/>
      <c r="W116" s="65">
        <v>4937.4254300000002</v>
      </c>
      <c r="X116" s="44">
        <v>36.332139999999995</v>
      </c>
      <c r="Y116" s="44">
        <v>4901.0932899999998</v>
      </c>
      <c r="Z116" s="54"/>
      <c r="AA116" s="54"/>
      <c r="AB116" s="54"/>
      <c r="AC116" s="54"/>
    </row>
    <row r="117" spans="1:29" ht="12" customHeight="1" x14ac:dyDescent="0.2">
      <c r="A117" s="49">
        <v>2018</v>
      </c>
      <c r="B117" s="49" t="s">
        <v>9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1601.1685199999999</v>
      </c>
      <c r="I117" s="60">
        <v>1165.56503</v>
      </c>
      <c r="J117" s="65">
        <v>2766.7335499999999</v>
      </c>
      <c r="K117" s="42"/>
      <c r="L117" s="60">
        <v>2129.0492899999999</v>
      </c>
      <c r="M117" s="60">
        <v>655.36355000000003</v>
      </c>
      <c r="N117" s="60">
        <v>0</v>
      </c>
      <c r="O117" s="60">
        <v>0.28626000000000001</v>
      </c>
      <c r="P117" s="60">
        <v>0</v>
      </c>
      <c r="Q117" s="60"/>
      <c r="R117" s="60">
        <v>0.61130999999999991</v>
      </c>
      <c r="S117" s="65">
        <v>2785.3104099999996</v>
      </c>
      <c r="T117" s="41"/>
      <c r="U117" s="89">
        <v>0</v>
      </c>
      <c r="V117" s="41"/>
      <c r="W117" s="65">
        <v>5552.0439599999991</v>
      </c>
      <c r="X117" s="44">
        <v>2785.3104099999996</v>
      </c>
      <c r="Y117" s="44">
        <v>2766.7335499999999</v>
      </c>
      <c r="Z117" s="54"/>
      <c r="AA117" s="54"/>
      <c r="AB117" s="54"/>
      <c r="AC117" s="54"/>
    </row>
    <row r="118" spans="1:29" ht="12" customHeight="1" x14ac:dyDescent="0.2">
      <c r="A118" s="49">
        <v>2018</v>
      </c>
      <c r="B118" s="49" t="s">
        <v>10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2172.2703300000007</v>
      </c>
      <c r="I118" s="60">
        <v>1753.2524599999999</v>
      </c>
      <c r="J118" s="65">
        <v>3925.5227900000009</v>
      </c>
      <c r="K118" s="42"/>
      <c r="L118" s="60">
        <v>16.22645</v>
      </c>
      <c r="M118" s="60">
        <v>3.7114499999999997</v>
      </c>
      <c r="N118" s="60">
        <v>0</v>
      </c>
      <c r="O118" s="60">
        <v>0.86917999999999995</v>
      </c>
      <c r="P118" s="60">
        <v>0</v>
      </c>
      <c r="Q118" s="60"/>
      <c r="R118" s="60">
        <v>0.8573599999999999</v>
      </c>
      <c r="S118" s="65">
        <v>21.664439999999999</v>
      </c>
      <c r="T118" s="41"/>
      <c r="U118" s="89">
        <v>0</v>
      </c>
      <c r="V118" s="41"/>
      <c r="W118" s="65">
        <v>3947.1872300000009</v>
      </c>
      <c r="X118" s="44">
        <v>21.664439999999999</v>
      </c>
      <c r="Y118" s="44">
        <v>3925.5227900000009</v>
      </c>
      <c r="Z118" s="54"/>
      <c r="AA118" s="54"/>
      <c r="AB118" s="54"/>
      <c r="AC118" s="54"/>
    </row>
    <row r="119" spans="1:29" ht="12" customHeight="1" x14ac:dyDescent="0.2">
      <c r="A119" s="49">
        <v>2018</v>
      </c>
      <c r="B119" s="49" t="s">
        <v>11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1571.9529700000001</v>
      </c>
      <c r="I119" s="60">
        <v>560.04602999999997</v>
      </c>
      <c r="J119" s="65">
        <v>2131.9989999999998</v>
      </c>
      <c r="K119" s="42"/>
      <c r="L119" s="60">
        <v>22.775580000000001</v>
      </c>
      <c r="M119" s="60">
        <v>5.4299900000000001</v>
      </c>
      <c r="N119" s="60">
        <v>0</v>
      </c>
      <c r="O119" s="60">
        <v>0.58475999999999995</v>
      </c>
      <c r="P119" s="60">
        <v>0</v>
      </c>
      <c r="Q119" s="60"/>
      <c r="R119" s="60">
        <v>0.87276999999999993</v>
      </c>
      <c r="S119" s="65">
        <v>29.6631</v>
      </c>
      <c r="T119" s="41"/>
      <c r="U119" s="89">
        <v>0</v>
      </c>
      <c r="V119" s="41"/>
      <c r="W119" s="65">
        <v>2161.6621</v>
      </c>
      <c r="X119" s="44">
        <v>29.6631</v>
      </c>
      <c r="Y119" s="44">
        <v>2131.9989999999998</v>
      </c>
      <c r="Z119" s="54"/>
      <c r="AA119" s="54"/>
      <c r="AB119" s="54"/>
      <c r="AC119" s="54"/>
    </row>
    <row r="120" spans="1:29" ht="12" customHeight="1" x14ac:dyDescent="0.2">
      <c r="A120" s="49">
        <v>2018</v>
      </c>
      <c r="B120" s="49" t="s">
        <v>12</v>
      </c>
      <c r="C120" s="60">
        <v>0</v>
      </c>
      <c r="D120" s="60">
        <v>0</v>
      </c>
      <c r="E120" s="60">
        <v>0</v>
      </c>
      <c r="F120" s="60">
        <v>0</v>
      </c>
      <c r="G120" s="60">
        <v>0</v>
      </c>
      <c r="H120" s="60">
        <v>1627.1073199999998</v>
      </c>
      <c r="I120" s="60">
        <v>586.17059000000006</v>
      </c>
      <c r="J120" s="65">
        <v>2213.2779099999998</v>
      </c>
      <c r="K120" s="42"/>
      <c r="L120" s="60">
        <v>26.82441</v>
      </c>
      <c r="M120" s="60">
        <v>8.4182099999999984</v>
      </c>
      <c r="N120" s="60">
        <v>0</v>
      </c>
      <c r="O120" s="60">
        <v>0</v>
      </c>
      <c r="P120" s="60">
        <v>0</v>
      </c>
      <c r="Q120" s="60"/>
      <c r="R120" s="60">
        <v>1.77156</v>
      </c>
      <c r="S120" s="65">
        <v>37.014180000000003</v>
      </c>
      <c r="T120" s="41"/>
      <c r="U120" s="89">
        <v>0</v>
      </c>
      <c r="V120" s="41"/>
      <c r="W120" s="65">
        <v>2250.2920899999999</v>
      </c>
      <c r="X120" s="44">
        <v>37.014180000000003</v>
      </c>
      <c r="Y120" s="44">
        <v>2213.2779099999998</v>
      </c>
      <c r="Z120" s="54"/>
      <c r="AA120" s="54"/>
      <c r="AB120" s="54"/>
      <c r="AC120" s="54"/>
    </row>
    <row r="121" spans="1:29" ht="12" customHeight="1" x14ac:dyDescent="0.2">
      <c r="A121" s="49">
        <v>2018</v>
      </c>
      <c r="B121" s="49" t="s">
        <v>13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1006.54973</v>
      </c>
      <c r="I121" s="60">
        <v>233.70404000000002</v>
      </c>
      <c r="J121" s="65">
        <v>1240.25377</v>
      </c>
      <c r="K121" s="42"/>
      <c r="L121" s="60">
        <v>28.39171</v>
      </c>
      <c r="M121" s="60">
        <v>13.36421</v>
      </c>
      <c r="N121" s="60">
        <v>0.85842999999999992</v>
      </c>
      <c r="O121" s="60">
        <v>0.28673999999999999</v>
      </c>
      <c r="P121" s="60">
        <v>6.4453999999999994</v>
      </c>
      <c r="Q121" s="60"/>
      <c r="R121" s="60">
        <v>0</v>
      </c>
      <c r="S121" s="65">
        <v>49.346490000000003</v>
      </c>
      <c r="T121" s="41"/>
      <c r="U121" s="60">
        <v>0</v>
      </c>
      <c r="V121" s="41"/>
      <c r="W121" s="65">
        <v>1289.6002599999999</v>
      </c>
      <c r="X121" s="44">
        <v>49.346490000000003</v>
      </c>
      <c r="Y121" s="44">
        <v>1240.25377</v>
      </c>
      <c r="Z121" s="54"/>
      <c r="AA121" s="54"/>
      <c r="AB121" s="54"/>
      <c r="AC121" s="54"/>
    </row>
    <row r="122" spans="1:29" ht="11.25" customHeight="1" x14ac:dyDescent="0.2">
      <c r="A122" s="49">
        <v>2018</v>
      </c>
      <c r="B122" s="49" t="s">
        <v>14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1191.7071599999999</v>
      </c>
      <c r="I122" s="60">
        <v>218.15619000000001</v>
      </c>
      <c r="J122" s="65">
        <v>1409.8633499999999</v>
      </c>
      <c r="K122" s="42"/>
      <c r="L122" s="60">
        <v>25.135080000000002</v>
      </c>
      <c r="M122" s="60">
        <v>16.638360000000002</v>
      </c>
      <c r="N122" s="60">
        <v>2.1263200000000002</v>
      </c>
      <c r="O122" s="60">
        <v>0</v>
      </c>
      <c r="P122" s="60">
        <v>11.59998</v>
      </c>
      <c r="Q122" s="60"/>
      <c r="R122" s="60">
        <v>0</v>
      </c>
      <c r="S122" s="65">
        <v>55.49974000000001</v>
      </c>
      <c r="T122" s="41"/>
      <c r="U122" s="60">
        <v>15.023</v>
      </c>
      <c r="V122" s="41"/>
      <c r="W122" s="65">
        <v>1480.3860899999997</v>
      </c>
      <c r="X122" s="44">
        <v>70.522740000000013</v>
      </c>
      <c r="Y122" s="44">
        <v>1409.8633499999999</v>
      </c>
      <c r="Z122" s="54"/>
      <c r="AA122" s="54"/>
      <c r="AB122" s="54"/>
      <c r="AC122" s="54"/>
    </row>
    <row r="123" spans="1:29" ht="12" customHeight="1" x14ac:dyDescent="0.2">
      <c r="A123" s="49">
        <v>2018</v>
      </c>
      <c r="B123" s="49" t="s">
        <v>15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22327.635539999996</v>
      </c>
      <c r="I123" s="60">
        <v>8669.2129799999984</v>
      </c>
      <c r="J123" s="65">
        <v>30996.848519999996</v>
      </c>
      <c r="K123" s="42"/>
      <c r="L123" s="60">
        <v>3512.7756100000001</v>
      </c>
      <c r="M123" s="60">
        <v>824.47723000000008</v>
      </c>
      <c r="N123" s="60">
        <v>5.91791</v>
      </c>
      <c r="O123" s="60">
        <v>1086.6442299999999</v>
      </c>
      <c r="P123" s="60">
        <v>67.216279999999998</v>
      </c>
      <c r="Q123" s="60"/>
      <c r="R123" s="60">
        <v>16.201959999999996</v>
      </c>
      <c r="S123" s="65">
        <v>5513.2332200000001</v>
      </c>
      <c r="T123" s="41"/>
      <c r="U123" s="60">
        <v>15.023</v>
      </c>
      <c r="V123" s="41"/>
      <c r="W123" s="65">
        <v>36525.104739999995</v>
      </c>
      <c r="X123" s="44">
        <v>5528.2562200000002</v>
      </c>
      <c r="Y123" s="44">
        <v>30996.848519999996</v>
      </c>
      <c r="Z123" s="54"/>
      <c r="AA123" s="54"/>
      <c r="AB123" s="54"/>
      <c r="AC123" s="54"/>
    </row>
    <row r="124" spans="1:29" ht="12" customHeight="1" x14ac:dyDescent="0.2">
      <c r="A124" s="49">
        <v>2019</v>
      </c>
      <c r="B124" s="49" t="s">
        <v>3</v>
      </c>
      <c r="C124" s="60">
        <v>0</v>
      </c>
      <c r="D124" s="60">
        <v>0</v>
      </c>
      <c r="E124" s="60">
        <v>0</v>
      </c>
      <c r="F124" s="60">
        <v>0</v>
      </c>
      <c r="G124" s="60">
        <v>0</v>
      </c>
      <c r="H124" s="60">
        <v>342.40496999999999</v>
      </c>
      <c r="I124" s="60">
        <v>23.621259999999999</v>
      </c>
      <c r="J124" s="65">
        <v>366.02623</v>
      </c>
      <c r="K124" s="42"/>
      <c r="L124" s="60">
        <v>29.244599999999998</v>
      </c>
      <c r="M124" s="60">
        <v>23.53829</v>
      </c>
      <c r="N124" s="60">
        <v>0</v>
      </c>
      <c r="O124" s="60">
        <v>0</v>
      </c>
      <c r="P124" s="60">
        <v>0</v>
      </c>
      <c r="Q124" s="60"/>
      <c r="R124" s="60">
        <v>0</v>
      </c>
      <c r="S124" s="65">
        <v>52.782889999999995</v>
      </c>
      <c r="T124" s="41"/>
      <c r="U124" s="60">
        <v>36.994999999999997</v>
      </c>
      <c r="V124" s="41"/>
      <c r="W124" s="65">
        <v>455.80412000000001</v>
      </c>
      <c r="X124" s="44">
        <v>89.777889999999985</v>
      </c>
      <c r="Y124" s="44">
        <v>366.02623</v>
      </c>
      <c r="Z124" s="54"/>
      <c r="AA124" s="54"/>
      <c r="AB124" s="54"/>
      <c r="AC124" s="54"/>
    </row>
    <row r="125" spans="1:29" ht="12" customHeight="1" x14ac:dyDescent="0.2">
      <c r="A125" s="49">
        <v>2019</v>
      </c>
      <c r="B125" s="49" t="s">
        <v>4</v>
      </c>
      <c r="C125" s="60">
        <v>0</v>
      </c>
      <c r="D125" s="60">
        <v>0</v>
      </c>
      <c r="E125" s="60">
        <v>0</v>
      </c>
      <c r="F125" s="60">
        <v>0</v>
      </c>
      <c r="G125" s="60">
        <v>0</v>
      </c>
      <c r="H125" s="60">
        <v>243.74127000000001</v>
      </c>
      <c r="I125" s="60">
        <v>0</v>
      </c>
      <c r="J125" s="65">
        <v>243.74127000000001</v>
      </c>
      <c r="K125" s="42"/>
      <c r="L125" s="60">
        <v>41.809830000000005</v>
      </c>
      <c r="M125" s="60">
        <v>22.606180000000002</v>
      </c>
      <c r="N125" s="60">
        <v>0</v>
      </c>
      <c r="O125" s="60">
        <v>0</v>
      </c>
      <c r="P125" s="60">
        <v>0</v>
      </c>
      <c r="Q125" s="60"/>
      <c r="R125" s="60">
        <v>0</v>
      </c>
      <c r="S125" s="65">
        <v>64.41601</v>
      </c>
      <c r="T125" s="41"/>
      <c r="U125" s="60">
        <v>24.459</v>
      </c>
      <c r="V125" s="41"/>
      <c r="W125" s="65">
        <v>332.61628000000002</v>
      </c>
      <c r="X125" s="44">
        <v>88.875010000000003</v>
      </c>
      <c r="Y125" s="44">
        <v>243.74127000000001</v>
      </c>
      <c r="Z125" s="54"/>
      <c r="AA125" s="54"/>
      <c r="AB125" s="54"/>
      <c r="AC125" s="54"/>
    </row>
    <row r="126" spans="1:29" ht="12" customHeight="1" x14ac:dyDescent="0.2">
      <c r="A126" s="49">
        <v>2019</v>
      </c>
      <c r="B126" s="49" t="s">
        <v>5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223.59390000000002</v>
      </c>
      <c r="I126" s="60">
        <v>0</v>
      </c>
      <c r="J126" s="65">
        <v>223.59390000000002</v>
      </c>
      <c r="K126" s="42"/>
      <c r="L126" s="60">
        <v>32.650690000000004</v>
      </c>
      <c r="M126" s="60">
        <v>21.570940000000004</v>
      </c>
      <c r="N126" s="60">
        <v>0</v>
      </c>
      <c r="O126" s="60">
        <v>19.314</v>
      </c>
      <c r="P126" s="60">
        <v>0</v>
      </c>
      <c r="Q126" s="60"/>
      <c r="R126" s="60">
        <v>0</v>
      </c>
      <c r="S126" s="65">
        <v>73.535629999999998</v>
      </c>
      <c r="T126" s="41"/>
      <c r="U126" s="60">
        <v>25.28</v>
      </c>
      <c r="V126" s="41"/>
      <c r="W126" s="65">
        <v>322.40953000000002</v>
      </c>
      <c r="X126" s="44">
        <v>98.815629999999999</v>
      </c>
      <c r="Y126" s="44">
        <v>223.59390000000002</v>
      </c>
      <c r="Z126" s="54"/>
      <c r="AA126" s="54"/>
      <c r="AB126" s="54"/>
      <c r="AC126" s="54"/>
    </row>
    <row r="127" spans="1:29" ht="12" customHeight="1" x14ac:dyDescent="0.2">
      <c r="A127" s="49">
        <v>2019</v>
      </c>
      <c r="B127" s="49" t="s">
        <v>6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373.75034999999997</v>
      </c>
      <c r="I127" s="60">
        <v>270.89913000000001</v>
      </c>
      <c r="J127" s="65">
        <v>644.64948000000004</v>
      </c>
      <c r="K127" s="42"/>
      <c r="L127" s="60">
        <v>22.0182</v>
      </c>
      <c r="M127" s="60">
        <v>11.447790000000001</v>
      </c>
      <c r="N127" s="60">
        <v>0</v>
      </c>
      <c r="O127" s="60">
        <v>80.791600000000003</v>
      </c>
      <c r="P127" s="60">
        <v>0</v>
      </c>
      <c r="Q127" s="60"/>
      <c r="R127" s="60">
        <v>0</v>
      </c>
      <c r="S127" s="65">
        <v>114.25759000000001</v>
      </c>
      <c r="T127" s="41"/>
      <c r="U127" s="60">
        <v>30.765999999999998</v>
      </c>
      <c r="V127" s="41"/>
      <c r="W127" s="65">
        <v>789.67307000000005</v>
      </c>
      <c r="X127" s="44">
        <v>145.02359000000001</v>
      </c>
      <c r="Y127" s="44">
        <v>644.64948000000004</v>
      </c>
      <c r="Z127" s="54"/>
      <c r="AA127" s="54"/>
      <c r="AB127" s="54"/>
      <c r="AC127" s="54"/>
    </row>
    <row r="128" spans="1:29" ht="12" customHeight="1" x14ac:dyDescent="0.2">
      <c r="A128" s="49">
        <v>2019</v>
      </c>
      <c r="B128" s="49" t="s">
        <v>7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587.26437999999996</v>
      </c>
      <c r="I128" s="60">
        <v>25.791700000000002</v>
      </c>
      <c r="J128" s="65">
        <v>613.05607999999995</v>
      </c>
      <c r="K128" s="42"/>
      <c r="L128" s="60">
        <v>45.568449999999999</v>
      </c>
      <c r="M128" s="60">
        <v>10.357010000000001</v>
      </c>
      <c r="N128" s="60">
        <v>2.3953699999999998</v>
      </c>
      <c r="O128" s="60">
        <v>4.1047399999999996</v>
      </c>
      <c r="P128" s="60">
        <v>3.8826399999999999</v>
      </c>
      <c r="Q128" s="60"/>
      <c r="R128" s="60">
        <v>0</v>
      </c>
      <c r="S128" s="65">
        <v>66.308210000000003</v>
      </c>
      <c r="T128" s="41"/>
      <c r="U128" s="60">
        <v>38.805</v>
      </c>
      <c r="V128" s="41"/>
      <c r="W128" s="65">
        <v>718.16928999999993</v>
      </c>
      <c r="X128" s="44">
        <v>105.11321000000001</v>
      </c>
      <c r="Y128" s="44">
        <v>613.05607999999995</v>
      </c>
      <c r="Z128" s="54"/>
      <c r="AA128" s="54"/>
      <c r="AB128" s="54"/>
      <c r="AC128" s="54"/>
    </row>
    <row r="129" spans="1:29" ht="12" customHeight="1" x14ac:dyDescent="0.2">
      <c r="A129" s="49">
        <v>2019</v>
      </c>
      <c r="B129" s="49" t="s">
        <v>8</v>
      </c>
      <c r="C129" s="60">
        <v>0</v>
      </c>
      <c r="D129" s="60">
        <v>0</v>
      </c>
      <c r="E129" s="60">
        <v>0</v>
      </c>
      <c r="F129" s="60">
        <v>0</v>
      </c>
      <c r="G129" s="60">
        <v>0</v>
      </c>
      <c r="H129" s="60">
        <v>334.20465000000002</v>
      </c>
      <c r="I129" s="60">
        <v>0</v>
      </c>
      <c r="J129" s="65">
        <v>334.20465000000002</v>
      </c>
      <c r="K129" s="42"/>
      <c r="L129" s="60">
        <v>49.47316</v>
      </c>
      <c r="M129" s="60">
        <v>9.7558199999999999</v>
      </c>
      <c r="N129" s="60">
        <v>2.6573899999999999</v>
      </c>
      <c r="O129" s="60">
        <v>5.8976999999999995</v>
      </c>
      <c r="P129" s="60">
        <v>29.287459999999999</v>
      </c>
      <c r="Q129" s="60"/>
      <c r="R129" s="60">
        <v>0</v>
      </c>
      <c r="S129" s="65">
        <v>97.071529999999996</v>
      </c>
      <c r="T129" s="41"/>
      <c r="U129" s="60">
        <v>29.175999999999998</v>
      </c>
      <c r="V129" s="41"/>
      <c r="W129" s="65">
        <v>460.45218</v>
      </c>
      <c r="X129" s="44">
        <v>126.24753</v>
      </c>
      <c r="Y129" s="44">
        <v>334.20465000000002</v>
      </c>
      <c r="Z129" s="54"/>
      <c r="AA129" s="54"/>
      <c r="AB129" s="54"/>
      <c r="AC129" s="54"/>
    </row>
    <row r="130" spans="1:29" ht="12" customHeight="1" x14ac:dyDescent="0.2">
      <c r="A130" s="49">
        <v>2019</v>
      </c>
      <c r="B130" s="49" t="s">
        <v>9</v>
      </c>
      <c r="C130" s="60">
        <v>0</v>
      </c>
      <c r="D130" s="60">
        <v>0</v>
      </c>
      <c r="E130" s="60">
        <v>0</v>
      </c>
      <c r="F130" s="60">
        <v>0</v>
      </c>
      <c r="G130" s="60">
        <v>0</v>
      </c>
      <c r="H130" s="60">
        <v>1144.1575800000001</v>
      </c>
      <c r="I130" s="60">
        <v>0</v>
      </c>
      <c r="J130" s="65">
        <v>1144.1575800000001</v>
      </c>
      <c r="K130" s="42"/>
      <c r="L130" s="60">
        <v>13.985100000000001</v>
      </c>
      <c r="M130" s="60">
        <v>9.2226899999999983</v>
      </c>
      <c r="N130" s="60">
        <v>0</v>
      </c>
      <c r="O130" s="60">
        <v>0</v>
      </c>
      <c r="P130" s="60">
        <v>0</v>
      </c>
      <c r="Q130" s="60"/>
      <c r="R130" s="60">
        <v>0</v>
      </c>
      <c r="S130" s="65">
        <v>23.207789999999999</v>
      </c>
      <c r="T130" s="41"/>
      <c r="U130" s="60">
        <v>31.347000000000001</v>
      </c>
      <c r="V130" s="41"/>
      <c r="W130" s="65">
        <v>1198.71237</v>
      </c>
      <c r="X130" s="44">
        <v>54.554789999999997</v>
      </c>
      <c r="Y130" s="44">
        <v>1144.1575800000001</v>
      </c>
      <c r="Z130" s="54"/>
      <c r="AA130" s="54"/>
      <c r="AB130" s="54"/>
      <c r="AC130" s="54"/>
    </row>
    <row r="131" spans="1:29" ht="12" customHeight="1" x14ac:dyDescent="0.2">
      <c r="A131" s="49">
        <v>2019</v>
      </c>
      <c r="B131" s="49" t="s">
        <v>10</v>
      </c>
      <c r="C131" s="60">
        <v>0</v>
      </c>
      <c r="D131" s="60">
        <v>0</v>
      </c>
      <c r="E131" s="60">
        <v>0</v>
      </c>
      <c r="F131" s="60">
        <v>0</v>
      </c>
      <c r="G131" s="60">
        <v>0</v>
      </c>
      <c r="H131" s="60">
        <v>1337.6038500000002</v>
      </c>
      <c r="I131" s="60">
        <v>0</v>
      </c>
      <c r="J131" s="65">
        <v>1337.6038500000002</v>
      </c>
      <c r="K131" s="42"/>
      <c r="L131" s="60">
        <v>9.1231799999999996</v>
      </c>
      <c r="M131" s="60">
        <v>7.8721200000000007</v>
      </c>
      <c r="N131" s="60">
        <v>0</v>
      </c>
      <c r="O131" s="60">
        <v>47.768519999999995</v>
      </c>
      <c r="P131" s="60">
        <v>0</v>
      </c>
      <c r="Q131" s="60"/>
      <c r="R131" s="60">
        <v>0</v>
      </c>
      <c r="S131" s="65">
        <v>64.763819999999996</v>
      </c>
      <c r="T131" s="41"/>
      <c r="U131" s="60">
        <v>27.434999999999999</v>
      </c>
      <c r="V131" s="41"/>
      <c r="W131" s="65">
        <v>1429.80267</v>
      </c>
      <c r="X131" s="44">
        <v>92.198819999999998</v>
      </c>
      <c r="Y131" s="44">
        <v>1337.6038500000002</v>
      </c>
      <c r="Z131" s="54"/>
      <c r="AA131" s="54"/>
      <c r="AB131" s="54"/>
      <c r="AC131" s="54"/>
    </row>
    <row r="132" spans="1:29" ht="12" customHeight="1" x14ac:dyDescent="0.2">
      <c r="A132" s="49">
        <v>2019</v>
      </c>
      <c r="B132" s="49" t="s">
        <v>11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913.58497</v>
      </c>
      <c r="I132" s="60">
        <v>0</v>
      </c>
      <c r="J132" s="65">
        <v>913.58497</v>
      </c>
      <c r="K132" s="42"/>
      <c r="L132" s="60">
        <v>63.550179999999997</v>
      </c>
      <c r="M132" s="60">
        <v>28.87687</v>
      </c>
      <c r="N132" s="60">
        <v>0</v>
      </c>
      <c r="O132" s="60">
        <v>1.44706</v>
      </c>
      <c r="P132" s="60">
        <v>0</v>
      </c>
      <c r="Q132" s="60"/>
      <c r="R132" s="60">
        <v>0</v>
      </c>
      <c r="S132" s="65">
        <v>93.874109999999988</v>
      </c>
      <c r="T132" s="41"/>
      <c r="U132" s="60">
        <v>29.274999999999999</v>
      </c>
      <c r="V132" s="41"/>
      <c r="W132" s="65">
        <v>1036.7340799999999</v>
      </c>
      <c r="X132" s="44">
        <v>123.14910999999998</v>
      </c>
      <c r="Y132" s="44">
        <v>913.58497</v>
      </c>
      <c r="Z132" s="54"/>
      <c r="AA132" s="54"/>
      <c r="AB132" s="54"/>
      <c r="AC132" s="54"/>
    </row>
    <row r="133" spans="1:29" ht="12" customHeight="1" x14ac:dyDescent="0.2">
      <c r="A133" s="49">
        <v>2019</v>
      </c>
      <c r="B133" s="49" t="s">
        <v>12</v>
      </c>
      <c r="C133" s="60">
        <v>0</v>
      </c>
      <c r="D133" s="60">
        <v>0</v>
      </c>
      <c r="E133" s="60">
        <v>0</v>
      </c>
      <c r="F133" s="60">
        <v>0</v>
      </c>
      <c r="G133" s="60">
        <v>0</v>
      </c>
      <c r="H133" s="60">
        <v>478.68754999999999</v>
      </c>
      <c r="I133" s="60">
        <v>0</v>
      </c>
      <c r="J133" s="65">
        <v>478.68754999999999</v>
      </c>
      <c r="K133" s="42"/>
      <c r="L133" s="60">
        <v>61.917809999999996</v>
      </c>
      <c r="M133" s="60">
        <v>15.101969999999998</v>
      </c>
      <c r="N133" s="60">
        <v>0</v>
      </c>
      <c r="O133" s="60">
        <v>46.074709999999996</v>
      </c>
      <c r="P133" s="60">
        <v>0</v>
      </c>
      <c r="Q133" s="60"/>
      <c r="R133" s="60">
        <v>0</v>
      </c>
      <c r="S133" s="65">
        <v>123.09448999999999</v>
      </c>
      <c r="T133" s="41"/>
      <c r="U133" s="60">
        <v>30.117000000000001</v>
      </c>
      <c r="V133" s="41"/>
      <c r="W133" s="65">
        <v>631.8990399999999</v>
      </c>
      <c r="X133" s="44">
        <v>153.21149</v>
      </c>
      <c r="Y133" s="44">
        <v>478.68754999999999</v>
      </c>
      <c r="Z133" s="54"/>
      <c r="AA133" s="54"/>
      <c r="AB133" s="54"/>
      <c r="AC133" s="54"/>
    </row>
    <row r="134" spans="1:29" ht="12" customHeight="1" x14ac:dyDescent="0.2">
      <c r="A134" s="49">
        <v>2019</v>
      </c>
      <c r="B134" s="49" t="s">
        <v>13</v>
      </c>
      <c r="C134" s="60">
        <v>0</v>
      </c>
      <c r="D134" s="60">
        <v>0</v>
      </c>
      <c r="E134" s="60">
        <v>0</v>
      </c>
      <c r="F134" s="60">
        <v>0</v>
      </c>
      <c r="G134" s="60">
        <v>0</v>
      </c>
      <c r="H134" s="60">
        <v>364.95843999999994</v>
      </c>
      <c r="I134" s="60">
        <v>1474.0393599999998</v>
      </c>
      <c r="J134" s="65">
        <v>1838.9977999999996</v>
      </c>
      <c r="K134" s="42"/>
      <c r="L134" s="60">
        <v>19.014919999999996</v>
      </c>
      <c r="M134" s="60">
        <v>18.01052</v>
      </c>
      <c r="N134" s="60">
        <v>0</v>
      </c>
      <c r="O134" s="60">
        <v>0</v>
      </c>
      <c r="P134" s="60">
        <v>22.046580000000002</v>
      </c>
      <c r="Q134" s="60"/>
      <c r="R134" s="60">
        <v>0</v>
      </c>
      <c r="S134" s="65">
        <v>59.072019999999995</v>
      </c>
      <c r="T134" s="41"/>
      <c r="U134" s="60">
        <v>37.802</v>
      </c>
      <c r="V134" s="41"/>
      <c r="W134" s="65">
        <v>1935.8718199999996</v>
      </c>
      <c r="X134" s="44">
        <v>96.874020000000002</v>
      </c>
      <c r="Y134" s="44">
        <v>1838.9977999999996</v>
      </c>
      <c r="Z134" s="54"/>
      <c r="AA134" s="54"/>
      <c r="AB134" s="54"/>
      <c r="AC134" s="54"/>
    </row>
    <row r="135" spans="1:29" ht="12" customHeight="1" x14ac:dyDescent="0.2">
      <c r="A135" s="49">
        <v>2019</v>
      </c>
      <c r="B135" s="49" t="s">
        <v>14</v>
      </c>
      <c r="C135" s="60">
        <v>0</v>
      </c>
      <c r="D135" s="60">
        <v>0</v>
      </c>
      <c r="E135" s="60">
        <v>0</v>
      </c>
      <c r="F135" s="60">
        <v>0</v>
      </c>
      <c r="G135" s="60">
        <v>0</v>
      </c>
      <c r="H135" s="60">
        <v>914.07083000000011</v>
      </c>
      <c r="I135" s="60">
        <v>2695.0457099999999</v>
      </c>
      <c r="J135" s="65">
        <v>3609.11654</v>
      </c>
      <c r="K135" s="42"/>
      <c r="L135" s="60">
        <v>72.593360000000018</v>
      </c>
      <c r="M135" s="60">
        <v>28.496990000000004</v>
      </c>
      <c r="N135" s="60">
        <v>0</v>
      </c>
      <c r="O135" s="60">
        <v>27.045189999999998</v>
      </c>
      <c r="P135" s="60">
        <v>0</v>
      </c>
      <c r="Q135" s="60"/>
      <c r="R135" s="60">
        <v>0</v>
      </c>
      <c r="S135" s="65">
        <v>128.13554000000002</v>
      </c>
      <c r="T135" s="41"/>
      <c r="U135" s="60">
        <v>53.588999999999999</v>
      </c>
      <c r="V135" s="41"/>
      <c r="W135" s="65">
        <v>3790.8410800000001</v>
      </c>
      <c r="X135" s="44">
        <v>181.72454000000002</v>
      </c>
      <c r="Y135" s="44">
        <v>3609.11654</v>
      </c>
      <c r="Z135" s="54"/>
      <c r="AA135" s="54"/>
      <c r="AB135" s="54"/>
      <c r="AC135" s="54"/>
    </row>
    <row r="136" spans="1:29" ht="12" customHeight="1" x14ac:dyDescent="0.2">
      <c r="A136" s="49">
        <v>2019</v>
      </c>
      <c r="B136" s="49" t="s">
        <v>15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7258.0227400000003</v>
      </c>
      <c r="I136" s="60">
        <v>4489.3971599999995</v>
      </c>
      <c r="J136" s="65">
        <v>11747.419900000001</v>
      </c>
      <c r="K136" s="42"/>
      <c r="L136" s="60">
        <v>460.94947999999999</v>
      </c>
      <c r="M136" s="60">
        <v>206.85719000000003</v>
      </c>
      <c r="N136" s="60">
        <v>5.0527599999999993</v>
      </c>
      <c r="O136" s="60">
        <v>232.44351999999998</v>
      </c>
      <c r="P136" s="60">
        <v>55.216679999999997</v>
      </c>
      <c r="Q136" s="60"/>
      <c r="R136" s="60">
        <v>0</v>
      </c>
      <c r="S136" s="65">
        <v>960.51962999999989</v>
      </c>
      <c r="T136" s="41"/>
      <c r="U136" s="60">
        <v>395.04600000000005</v>
      </c>
      <c r="V136" s="41"/>
      <c r="W136" s="65">
        <v>13102.985530000002</v>
      </c>
      <c r="X136" s="44">
        <v>1355.5656300000001</v>
      </c>
      <c r="Y136" s="44">
        <v>11747.419900000001</v>
      </c>
      <c r="Z136" s="54"/>
      <c r="AA136" s="54"/>
      <c r="AB136" s="54"/>
      <c r="AC136" s="54"/>
    </row>
    <row r="137" spans="1:29" ht="12" customHeight="1" x14ac:dyDescent="0.2">
      <c r="A137" s="49">
        <v>2020</v>
      </c>
      <c r="B137" s="49" t="s">
        <v>3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560.26639</v>
      </c>
      <c r="I137" s="60">
        <v>1041.6821100000002</v>
      </c>
      <c r="J137" s="65">
        <v>1601.9485000000002</v>
      </c>
      <c r="K137" s="42"/>
      <c r="L137" s="60">
        <v>135.72369</v>
      </c>
      <c r="M137" s="60">
        <v>24.910260000000001</v>
      </c>
      <c r="N137" s="60">
        <v>0</v>
      </c>
      <c r="O137" s="60">
        <v>53.461349999999996</v>
      </c>
      <c r="P137" s="60">
        <v>0</v>
      </c>
      <c r="Q137" s="60">
        <v>0</v>
      </c>
      <c r="R137" s="60">
        <v>51.780459999999998</v>
      </c>
      <c r="S137" s="65">
        <v>265.87576000000001</v>
      </c>
      <c r="T137" s="41"/>
      <c r="U137" s="60">
        <v>49.662559999999999</v>
      </c>
      <c r="V137" s="41"/>
      <c r="W137" s="65">
        <v>1917.4868200000003</v>
      </c>
      <c r="X137" s="44">
        <v>315.53832</v>
      </c>
      <c r="Y137" s="44">
        <v>1601.9485000000002</v>
      </c>
      <c r="Z137" s="54"/>
      <c r="AA137" s="54"/>
      <c r="AB137" s="54"/>
      <c r="AC137" s="54"/>
    </row>
    <row r="138" spans="1:29" ht="12" customHeight="1" x14ac:dyDescent="0.2">
      <c r="A138" s="49">
        <v>2020</v>
      </c>
      <c r="B138" s="49" t="s">
        <v>4</v>
      </c>
      <c r="C138" s="60">
        <v>0</v>
      </c>
      <c r="D138" s="60">
        <v>0</v>
      </c>
      <c r="E138" s="60">
        <v>0</v>
      </c>
      <c r="F138" s="60">
        <v>0</v>
      </c>
      <c r="G138" s="60">
        <v>0</v>
      </c>
      <c r="H138" s="60">
        <v>120.52208999999999</v>
      </c>
      <c r="I138" s="60">
        <v>38.638539999999999</v>
      </c>
      <c r="J138" s="65">
        <v>159.16063</v>
      </c>
      <c r="K138" s="42"/>
      <c r="L138" s="60">
        <v>68.772320000000008</v>
      </c>
      <c r="M138" s="60">
        <v>23.89772</v>
      </c>
      <c r="N138" s="60">
        <v>0</v>
      </c>
      <c r="O138" s="60">
        <v>27.599340000000002</v>
      </c>
      <c r="P138" s="60">
        <v>17.272639999999999</v>
      </c>
      <c r="Q138" s="60">
        <v>0</v>
      </c>
      <c r="R138" s="60">
        <v>0</v>
      </c>
      <c r="S138" s="65">
        <v>137.54202000000001</v>
      </c>
      <c r="T138" s="41"/>
      <c r="U138" s="60">
        <v>54.004899999999999</v>
      </c>
      <c r="V138" s="41"/>
      <c r="W138" s="65">
        <v>350.70755000000003</v>
      </c>
      <c r="X138" s="44">
        <v>191.54692</v>
      </c>
      <c r="Y138" s="44">
        <v>159.16063</v>
      </c>
      <c r="Z138" s="54"/>
      <c r="AA138" s="54"/>
      <c r="AB138" s="54"/>
      <c r="AC138" s="54"/>
    </row>
    <row r="139" spans="1:29" ht="12" customHeight="1" x14ac:dyDescent="0.2">
      <c r="A139" s="49">
        <v>2020</v>
      </c>
      <c r="B139" s="49" t="s">
        <v>5</v>
      </c>
      <c r="C139" s="60">
        <v>0</v>
      </c>
      <c r="D139" s="60">
        <v>0</v>
      </c>
      <c r="E139" s="60">
        <v>0</v>
      </c>
      <c r="F139" s="60">
        <v>0</v>
      </c>
      <c r="G139" s="60">
        <v>0</v>
      </c>
      <c r="H139" s="60">
        <v>165.88055</v>
      </c>
      <c r="I139" s="60">
        <v>160.33768000000001</v>
      </c>
      <c r="J139" s="65">
        <v>326.21823000000001</v>
      </c>
      <c r="K139" s="42"/>
      <c r="L139" s="60">
        <v>59.927910000000004</v>
      </c>
      <c r="M139" s="60">
        <v>19.259630000000001</v>
      </c>
      <c r="N139" s="60">
        <v>0</v>
      </c>
      <c r="O139" s="60">
        <v>15.133280000000001</v>
      </c>
      <c r="P139" s="60">
        <v>0</v>
      </c>
      <c r="Q139" s="60">
        <v>0</v>
      </c>
      <c r="R139" s="60">
        <v>0</v>
      </c>
      <c r="S139" s="65">
        <v>94.320820000000012</v>
      </c>
      <c r="T139" s="41"/>
      <c r="U139" s="60">
        <v>36.519869999999997</v>
      </c>
      <c r="V139" s="41"/>
      <c r="W139" s="65">
        <v>457.05892000000006</v>
      </c>
      <c r="X139" s="44">
        <v>130.84069</v>
      </c>
      <c r="Y139" s="44">
        <v>326.21823000000001</v>
      </c>
      <c r="Z139" s="54"/>
      <c r="AA139" s="54"/>
      <c r="AB139" s="54"/>
      <c r="AC139" s="54"/>
    </row>
    <row r="140" spans="1:29" ht="12" customHeight="1" x14ac:dyDescent="0.2">
      <c r="A140" s="49">
        <v>2020</v>
      </c>
      <c r="B140" s="49" t="s">
        <v>6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73.609850000000009</v>
      </c>
      <c r="I140" s="60">
        <v>7.17903</v>
      </c>
      <c r="J140" s="65">
        <v>80.788880000000006</v>
      </c>
      <c r="K140" s="42"/>
      <c r="L140" s="60">
        <v>10.67149</v>
      </c>
      <c r="M140" s="60">
        <v>11.311</v>
      </c>
      <c r="N140" s="60">
        <v>0</v>
      </c>
      <c r="O140" s="60">
        <v>28.111129999999999</v>
      </c>
      <c r="P140" s="60">
        <v>15.974</v>
      </c>
      <c r="Q140" s="60">
        <v>0</v>
      </c>
      <c r="R140" s="60">
        <v>0</v>
      </c>
      <c r="S140" s="65">
        <v>66.067620000000005</v>
      </c>
      <c r="T140" s="41"/>
      <c r="U140" s="60">
        <v>15.46813</v>
      </c>
      <c r="V140" s="41"/>
      <c r="W140" s="65">
        <v>162.32463000000001</v>
      </c>
      <c r="X140" s="44">
        <v>81.535750000000007</v>
      </c>
      <c r="Y140" s="44">
        <v>80.788880000000006</v>
      </c>
      <c r="Z140" s="54"/>
      <c r="AA140" s="54"/>
      <c r="AB140" s="54"/>
      <c r="AC140" s="54"/>
    </row>
    <row r="141" spans="1:29" ht="12" customHeight="1" x14ac:dyDescent="0.2">
      <c r="A141" s="49">
        <v>2020</v>
      </c>
      <c r="B141" s="49" t="s">
        <v>7</v>
      </c>
      <c r="C141" s="60">
        <v>0</v>
      </c>
      <c r="D141" s="60">
        <v>0</v>
      </c>
      <c r="E141" s="60">
        <v>0</v>
      </c>
      <c r="F141" s="60">
        <v>0</v>
      </c>
      <c r="G141" s="60">
        <v>0</v>
      </c>
      <c r="H141" s="60">
        <v>154.31468999999998</v>
      </c>
      <c r="I141" s="60">
        <v>1071.31375</v>
      </c>
      <c r="J141" s="65">
        <v>1225.62844</v>
      </c>
      <c r="K141" s="42"/>
      <c r="L141" s="60">
        <v>8.9509100000000004</v>
      </c>
      <c r="M141" s="60">
        <v>8.1057799999999993</v>
      </c>
      <c r="N141" s="60">
        <v>0</v>
      </c>
      <c r="O141" s="60">
        <v>96.122129999999999</v>
      </c>
      <c r="P141" s="60">
        <v>0</v>
      </c>
      <c r="Q141" s="60">
        <v>0</v>
      </c>
      <c r="R141" s="60">
        <v>0</v>
      </c>
      <c r="S141" s="65">
        <v>113.17882</v>
      </c>
      <c r="T141" s="41"/>
      <c r="U141" s="60">
        <v>14.606579999999999</v>
      </c>
      <c r="V141" s="41"/>
      <c r="W141" s="65">
        <v>1353.4138399999999</v>
      </c>
      <c r="X141" s="44">
        <v>127.7854</v>
      </c>
      <c r="Y141" s="44">
        <v>1225.62844</v>
      </c>
      <c r="Z141" s="54"/>
      <c r="AA141" s="54"/>
      <c r="AB141" s="54"/>
      <c r="AC141" s="54"/>
    </row>
    <row r="142" spans="1:29" ht="12" customHeight="1" x14ac:dyDescent="0.2">
      <c r="A142" s="49">
        <v>2020</v>
      </c>
      <c r="B142" s="49" t="s">
        <v>8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548.77634000000012</v>
      </c>
      <c r="I142" s="60">
        <v>729.67844000000002</v>
      </c>
      <c r="J142" s="65">
        <v>1278.45478</v>
      </c>
      <c r="K142" s="42"/>
      <c r="L142" s="60">
        <v>13.652709999999999</v>
      </c>
      <c r="M142" s="60">
        <v>8.7951599999999992</v>
      </c>
      <c r="N142" s="60">
        <v>0</v>
      </c>
      <c r="O142" s="60">
        <v>48.939099999999996</v>
      </c>
      <c r="P142" s="60">
        <v>0</v>
      </c>
      <c r="Q142" s="60">
        <v>0</v>
      </c>
      <c r="R142" s="60">
        <v>0</v>
      </c>
      <c r="S142" s="65">
        <v>71.386969999999991</v>
      </c>
      <c r="T142" s="41"/>
      <c r="U142" s="60">
        <v>6.4600600000000004</v>
      </c>
      <c r="V142" s="41"/>
      <c r="W142" s="65">
        <v>1356.3018100000002</v>
      </c>
      <c r="X142" s="44">
        <v>77.84702999999999</v>
      </c>
      <c r="Y142" s="44">
        <v>1278.45478</v>
      </c>
      <c r="Z142" s="54"/>
      <c r="AA142" s="54"/>
      <c r="AB142" s="54"/>
      <c r="AC142" s="54"/>
    </row>
    <row r="143" spans="1:29" ht="12" customHeight="1" x14ac:dyDescent="0.2">
      <c r="A143" s="49">
        <v>2020</v>
      </c>
      <c r="B143" s="49" t="s">
        <v>9</v>
      </c>
      <c r="C143" s="60">
        <v>0</v>
      </c>
      <c r="D143" s="60">
        <v>0</v>
      </c>
      <c r="E143" s="60">
        <v>0</v>
      </c>
      <c r="F143" s="60">
        <v>0</v>
      </c>
      <c r="G143" s="60">
        <v>0</v>
      </c>
      <c r="H143" s="60">
        <v>1047.35988</v>
      </c>
      <c r="I143" s="60">
        <v>396.96009000000004</v>
      </c>
      <c r="J143" s="65">
        <v>1444.31997</v>
      </c>
      <c r="K143" s="42"/>
      <c r="L143" s="60">
        <v>10.94183</v>
      </c>
      <c r="M143" s="60">
        <v>7.6215000000000011</v>
      </c>
      <c r="N143" s="60">
        <v>0</v>
      </c>
      <c r="O143" s="60">
        <v>57.866999999999997</v>
      </c>
      <c r="P143" s="60">
        <v>0</v>
      </c>
      <c r="Q143" s="60">
        <v>0</v>
      </c>
      <c r="R143" s="60">
        <v>0</v>
      </c>
      <c r="S143" s="65">
        <v>76.430329999999998</v>
      </c>
      <c r="T143" s="41"/>
      <c r="U143" s="60">
        <v>19.202689999999997</v>
      </c>
      <c r="V143" s="41"/>
      <c r="W143" s="65">
        <v>1539.95299</v>
      </c>
      <c r="X143" s="44">
        <v>95.633019999999988</v>
      </c>
      <c r="Y143" s="44">
        <v>1444.31997</v>
      </c>
      <c r="Z143" s="54"/>
      <c r="AA143" s="54"/>
      <c r="AB143" s="54"/>
      <c r="AC143" s="54"/>
    </row>
    <row r="144" spans="1:29" ht="12" customHeight="1" x14ac:dyDescent="0.2">
      <c r="A144" s="63">
        <v>2020</v>
      </c>
      <c r="B144" s="50" t="s">
        <v>10</v>
      </c>
      <c r="C144" s="40">
        <v>0</v>
      </c>
      <c r="D144" s="40">
        <v>0</v>
      </c>
      <c r="E144" s="40">
        <v>0</v>
      </c>
      <c r="F144" s="40">
        <v>0</v>
      </c>
      <c r="G144" s="40">
        <v>0</v>
      </c>
      <c r="H144" s="40">
        <v>617.97389999999996</v>
      </c>
      <c r="I144" s="40">
        <v>13.67559</v>
      </c>
      <c r="J144" s="66">
        <v>631.64949000000001</v>
      </c>
      <c r="K144" s="42"/>
      <c r="L144" s="40">
        <v>48.355229999999999</v>
      </c>
      <c r="M144" s="40">
        <v>7.6149300000000002</v>
      </c>
      <c r="N144" s="40">
        <v>0</v>
      </c>
      <c r="O144" s="40">
        <v>0</v>
      </c>
      <c r="P144" s="40">
        <v>90.999209999999991</v>
      </c>
      <c r="Q144" s="40">
        <v>0</v>
      </c>
      <c r="R144" s="40">
        <v>0</v>
      </c>
      <c r="S144" s="66">
        <v>146.96937</v>
      </c>
      <c r="T144" s="41"/>
      <c r="U144" s="40">
        <v>29.305970000000002</v>
      </c>
      <c r="V144" s="41"/>
      <c r="W144" s="66">
        <v>807.92483000000004</v>
      </c>
      <c r="X144" s="44">
        <v>176.27534</v>
      </c>
      <c r="Y144" s="44">
        <v>631.64949000000001</v>
      </c>
      <c r="Z144" s="54"/>
      <c r="AA144" s="54"/>
      <c r="AB144" s="54"/>
      <c r="AC144" s="54"/>
    </row>
    <row r="145" spans="1:29" ht="12" customHeight="1" x14ac:dyDescent="0.2">
      <c r="A145" s="63">
        <v>2020</v>
      </c>
      <c r="B145" s="50" t="s">
        <v>11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727.68882999999994</v>
      </c>
      <c r="I145" s="40">
        <v>77.404100000000014</v>
      </c>
      <c r="J145" s="66">
        <v>805.09292999999991</v>
      </c>
      <c r="K145" s="42"/>
      <c r="L145" s="40">
        <v>37.435470000000002</v>
      </c>
      <c r="M145" s="40">
        <v>9.5868199999999995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66">
        <v>47.022289999999998</v>
      </c>
      <c r="T145" s="41"/>
      <c r="U145" s="40">
        <v>17.845790000000001</v>
      </c>
      <c r="V145" s="41"/>
      <c r="W145" s="66">
        <v>869.96100999999987</v>
      </c>
      <c r="X145" s="44">
        <v>64.868079999999992</v>
      </c>
      <c r="Y145" s="44">
        <v>805.09292999999991</v>
      </c>
      <c r="Z145" s="54"/>
      <c r="AA145" s="54"/>
      <c r="AB145" s="54"/>
      <c r="AC145" s="54"/>
    </row>
    <row r="146" spans="1:29" ht="12" customHeight="1" x14ac:dyDescent="0.2">
      <c r="A146" s="63">
        <v>2020</v>
      </c>
      <c r="B146" s="50" t="s">
        <v>12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1106.3820799999999</v>
      </c>
      <c r="I146" s="40">
        <v>1406.1376900000002</v>
      </c>
      <c r="J146" s="66">
        <v>2512.5197699999999</v>
      </c>
      <c r="K146" s="42"/>
      <c r="L146" s="40">
        <v>43.971160000000005</v>
      </c>
      <c r="M146" s="40">
        <v>12.419319999999999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66">
        <v>56.390480000000004</v>
      </c>
      <c r="T146" s="41"/>
      <c r="U146" s="40">
        <v>5.4075500000000005</v>
      </c>
      <c r="V146" s="41"/>
      <c r="W146" s="66">
        <v>2574.3177999999998</v>
      </c>
      <c r="X146" s="44">
        <v>61.798030000000004</v>
      </c>
      <c r="Y146" s="44">
        <v>2512.5197699999999</v>
      </c>
      <c r="Z146" s="54"/>
      <c r="AA146" s="54"/>
      <c r="AB146" s="54"/>
      <c r="AC146" s="54"/>
    </row>
    <row r="147" spans="1:29" ht="12" customHeight="1" x14ac:dyDescent="0.2">
      <c r="A147" s="63">
        <v>2020</v>
      </c>
      <c r="B147" s="50" t="s">
        <v>13</v>
      </c>
      <c r="C147" s="40">
        <v>0</v>
      </c>
      <c r="D147" s="40">
        <v>0</v>
      </c>
      <c r="E147" s="40">
        <v>0</v>
      </c>
      <c r="F147" s="40">
        <v>0</v>
      </c>
      <c r="G147" s="40">
        <v>0</v>
      </c>
      <c r="H147" s="40">
        <v>532.29016999999999</v>
      </c>
      <c r="I147" s="40">
        <v>737.01520999999991</v>
      </c>
      <c r="J147" s="66">
        <v>1269.3053799999998</v>
      </c>
      <c r="K147" s="42"/>
      <c r="L147" s="40">
        <v>54.113610000000001</v>
      </c>
      <c r="M147" s="40">
        <v>14.55</v>
      </c>
      <c r="N147" s="40">
        <v>0</v>
      </c>
      <c r="O147" s="40">
        <v>29.386779999999998</v>
      </c>
      <c r="P147" s="40">
        <v>0</v>
      </c>
      <c r="Q147" s="40">
        <v>0</v>
      </c>
      <c r="R147" s="40">
        <v>145.13882999999998</v>
      </c>
      <c r="S147" s="66">
        <v>243.18921999999998</v>
      </c>
      <c r="T147" s="41"/>
      <c r="U147" s="40">
        <v>23.634</v>
      </c>
      <c r="V147" s="41"/>
      <c r="W147" s="66">
        <v>1536.1285999999998</v>
      </c>
      <c r="X147" s="44">
        <v>266.82321999999999</v>
      </c>
      <c r="Y147" s="44">
        <v>1269.3053799999998</v>
      </c>
      <c r="Z147" s="54"/>
      <c r="AA147" s="54"/>
      <c r="AB147" s="54"/>
      <c r="AC147" s="54"/>
    </row>
    <row r="148" spans="1:29" ht="12" customHeight="1" x14ac:dyDescent="0.2">
      <c r="A148" s="63">
        <v>2020</v>
      </c>
      <c r="B148" s="50" t="s">
        <v>14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661.89275999999984</v>
      </c>
      <c r="I148" s="40">
        <v>7.0745899999999997</v>
      </c>
      <c r="J148" s="66">
        <v>668.96734999999978</v>
      </c>
      <c r="K148" s="42"/>
      <c r="L148" s="40">
        <v>50.476999999999997</v>
      </c>
      <c r="M148" s="40">
        <v>14.62293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66">
        <v>65.099930000000001</v>
      </c>
      <c r="T148" s="41"/>
      <c r="U148" s="40">
        <v>3.718</v>
      </c>
      <c r="V148" s="41"/>
      <c r="W148" s="66">
        <v>737.78527999999972</v>
      </c>
      <c r="X148" s="44">
        <v>68.817930000000004</v>
      </c>
      <c r="Y148" s="44">
        <v>668.96734999999978</v>
      </c>
      <c r="Z148" s="54"/>
      <c r="AA148" s="54"/>
      <c r="AB148" s="54"/>
      <c r="AC148" s="54"/>
    </row>
    <row r="149" spans="1:29" ht="12" customHeight="1" x14ac:dyDescent="0.2">
      <c r="A149" s="63">
        <v>2020</v>
      </c>
      <c r="B149" s="50" t="s">
        <v>15</v>
      </c>
      <c r="C149" s="81">
        <v>0</v>
      </c>
      <c r="D149" s="80">
        <v>0</v>
      </c>
      <c r="E149" s="80">
        <v>0</v>
      </c>
      <c r="F149" s="80">
        <v>0</v>
      </c>
      <c r="G149" s="80">
        <v>0</v>
      </c>
      <c r="H149" s="80">
        <v>6316.9575300000006</v>
      </c>
      <c r="I149" s="80">
        <v>5687.0968200000007</v>
      </c>
      <c r="J149" s="82">
        <v>12004.054349999999</v>
      </c>
      <c r="K149" s="83"/>
      <c r="L149" s="81">
        <v>542.99333000000001</v>
      </c>
      <c r="M149" s="80">
        <v>162.69505000000001</v>
      </c>
      <c r="N149" s="80">
        <v>0</v>
      </c>
      <c r="O149" s="80">
        <v>356.62011000000001</v>
      </c>
      <c r="P149" s="80">
        <v>124.24584999999999</v>
      </c>
      <c r="Q149" s="80">
        <v>0</v>
      </c>
      <c r="R149" s="80">
        <v>196.91928999999999</v>
      </c>
      <c r="S149" s="66">
        <v>1383.4736300000002</v>
      </c>
      <c r="T149" s="41"/>
      <c r="U149" s="80">
        <v>275.83610000000004</v>
      </c>
      <c r="V149" s="41"/>
      <c r="W149" s="66">
        <v>13663.364079999999</v>
      </c>
      <c r="X149" s="44">
        <v>1659.3097300000002</v>
      </c>
      <c r="Y149" s="44">
        <v>12004.054349999999</v>
      </c>
      <c r="Z149" s="54"/>
      <c r="AA149" s="54"/>
      <c r="AB149" s="54"/>
      <c r="AC149" s="54"/>
    </row>
    <row r="150" spans="1:29" ht="12" customHeight="1" x14ac:dyDescent="0.2">
      <c r="A150" s="49">
        <v>2021</v>
      </c>
      <c r="B150" s="49" t="s">
        <v>3</v>
      </c>
      <c r="C150" s="40">
        <v>0</v>
      </c>
      <c r="D150" s="40">
        <v>0</v>
      </c>
      <c r="E150" s="40">
        <v>0</v>
      </c>
      <c r="F150" s="40">
        <v>0</v>
      </c>
      <c r="G150" s="40">
        <v>0</v>
      </c>
      <c r="H150" s="40">
        <v>222.14483999999999</v>
      </c>
      <c r="I150" s="40">
        <v>228.01430000000002</v>
      </c>
      <c r="J150" s="67">
        <v>450.15913999999998</v>
      </c>
      <c r="K150" s="42"/>
      <c r="L150" s="40">
        <v>68.271799999999985</v>
      </c>
      <c r="M150" s="40">
        <v>14.798749999999998</v>
      </c>
      <c r="N150" s="40">
        <v>348.73172999999997</v>
      </c>
      <c r="O150" s="40">
        <v>929.86863000000005</v>
      </c>
      <c r="P150" s="40">
        <v>19.78162</v>
      </c>
      <c r="Q150" s="40">
        <v>0</v>
      </c>
      <c r="R150" s="40">
        <v>0</v>
      </c>
      <c r="S150" s="67">
        <v>1381.45253</v>
      </c>
      <c r="T150" s="41"/>
      <c r="U150" s="40">
        <v>19.520799999999998</v>
      </c>
      <c r="V150" s="41"/>
      <c r="W150" s="67">
        <v>1851.13247</v>
      </c>
      <c r="X150" s="44">
        <v>1400.97333</v>
      </c>
      <c r="Y150" s="44">
        <v>450.15913999999998</v>
      </c>
      <c r="Z150" s="54"/>
    </row>
    <row r="151" spans="1:29" ht="12" customHeight="1" x14ac:dyDescent="0.2">
      <c r="A151" s="49">
        <v>2021</v>
      </c>
      <c r="B151" s="49" t="s">
        <v>4</v>
      </c>
      <c r="C151" s="40">
        <v>0</v>
      </c>
      <c r="D151" s="40">
        <v>0</v>
      </c>
      <c r="E151" s="40">
        <v>0</v>
      </c>
      <c r="F151" s="40">
        <v>0</v>
      </c>
      <c r="G151" s="40">
        <v>0</v>
      </c>
      <c r="H151" s="40">
        <v>104.01560000000001</v>
      </c>
      <c r="I151" s="40">
        <v>2339.2886699999999</v>
      </c>
      <c r="J151" s="67">
        <v>2443.3042700000001</v>
      </c>
      <c r="K151" s="42"/>
      <c r="L151" s="40">
        <v>60.531529999999997</v>
      </c>
      <c r="M151" s="40">
        <v>13.12021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67">
        <v>73.65173999999999</v>
      </c>
      <c r="T151" s="41"/>
      <c r="U151" s="40">
        <v>0</v>
      </c>
      <c r="V151" s="41"/>
      <c r="W151" s="67">
        <v>2516.9560099999999</v>
      </c>
      <c r="X151" s="44">
        <v>73.65173999999999</v>
      </c>
      <c r="Y151" s="44">
        <v>2443.3042700000001</v>
      </c>
      <c r="Z151" s="54"/>
      <c r="AA151" s="54"/>
      <c r="AB151" s="54"/>
      <c r="AC151" s="54"/>
    </row>
    <row r="152" spans="1:29" ht="12" customHeight="1" x14ac:dyDescent="0.2">
      <c r="A152" s="49">
        <v>2021</v>
      </c>
      <c r="B152" s="49" t="s">
        <v>5</v>
      </c>
      <c r="C152" s="40">
        <v>0</v>
      </c>
      <c r="D152" s="40">
        <v>0</v>
      </c>
      <c r="E152" s="40">
        <v>0</v>
      </c>
      <c r="F152" s="40">
        <v>0</v>
      </c>
      <c r="G152" s="40">
        <v>0</v>
      </c>
      <c r="H152" s="40">
        <v>138.5017</v>
      </c>
      <c r="I152" s="40">
        <v>1267.4988000000001</v>
      </c>
      <c r="J152" s="67">
        <v>1406.0005000000001</v>
      </c>
      <c r="K152" s="42"/>
      <c r="L152" s="40">
        <v>89.249460000000013</v>
      </c>
      <c r="M152" s="40">
        <v>19.652380000000001</v>
      </c>
      <c r="N152" s="40">
        <v>2.8255100000000004</v>
      </c>
      <c r="O152" s="40">
        <v>0</v>
      </c>
      <c r="P152" s="40">
        <v>2.4121300000000003</v>
      </c>
      <c r="Q152" s="40">
        <v>0</v>
      </c>
      <c r="R152" s="40">
        <v>0</v>
      </c>
      <c r="S152" s="67">
        <v>114.13948000000002</v>
      </c>
      <c r="T152" s="41"/>
      <c r="U152" s="40">
        <v>38.47025</v>
      </c>
      <c r="V152" s="41"/>
      <c r="W152" s="67">
        <v>1558.6102300000002</v>
      </c>
      <c r="X152" s="44">
        <v>152.60973000000001</v>
      </c>
      <c r="Y152" s="44">
        <v>1406.0005000000001</v>
      </c>
      <c r="Z152" s="54"/>
      <c r="AA152" s="54"/>
      <c r="AB152" s="54"/>
      <c r="AC152" s="54"/>
    </row>
    <row r="153" spans="1:29" ht="12" customHeight="1" x14ac:dyDescent="0.2">
      <c r="A153" s="49">
        <v>2021</v>
      </c>
      <c r="B153" s="49" t="s">
        <v>6</v>
      </c>
      <c r="C153" s="40">
        <v>0</v>
      </c>
      <c r="D153" s="40">
        <v>0</v>
      </c>
      <c r="E153" s="40">
        <v>0</v>
      </c>
      <c r="F153" s="40">
        <v>0</v>
      </c>
      <c r="G153" s="40">
        <v>0</v>
      </c>
      <c r="H153" s="40">
        <v>308.57407000000001</v>
      </c>
      <c r="I153" s="40">
        <v>1431.4055800000001</v>
      </c>
      <c r="J153" s="67">
        <v>1739.9796500000002</v>
      </c>
      <c r="K153" s="42"/>
      <c r="L153" s="40">
        <v>100.34072</v>
      </c>
      <c r="M153" s="40">
        <v>10.202350000000001</v>
      </c>
      <c r="N153" s="40">
        <v>0.60086000000000006</v>
      </c>
      <c r="O153" s="40">
        <v>0</v>
      </c>
      <c r="P153" s="40">
        <v>66.688420000000008</v>
      </c>
      <c r="Q153" s="40">
        <v>0</v>
      </c>
      <c r="R153" s="40">
        <v>0</v>
      </c>
      <c r="S153" s="67">
        <v>177.83235000000002</v>
      </c>
      <c r="T153" s="41"/>
      <c r="U153" s="40">
        <v>18.628489999999999</v>
      </c>
      <c r="V153" s="41"/>
      <c r="W153" s="67">
        <v>1936.4404900000004</v>
      </c>
      <c r="X153" s="44">
        <v>196.46084000000002</v>
      </c>
      <c r="Y153" s="44">
        <v>1739.9796500000002</v>
      </c>
      <c r="Z153" s="54"/>
      <c r="AA153" s="54"/>
      <c r="AB153" s="54"/>
      <c r="AC153" s="54"/>
    </row>
    <row r="154" spans="1:29" ht="12" customHeight="1" x14ac:dyDescent="0.2">
      <c r="A154" s="49">
        <v>2021</v>
      </c>
      <c r="B154" s="49" t="s">
        <v>7</v>
      </c>
      <c r="C154" s="40">
        <v>0</v>
      </c>
      <c r="D154" s="40">
        <v>0</v>
      </c>
      <c r="E154" s="40">
        <v>0</v>
      </c>
      <c r="F154" s="40">
        <v>0</v>
      </c>
      <c r="G154" s="40">
        <v>0</v>
      </c>
      <c r="H154" s="40">
        <v>208.96616000000003</v>
      </c>
      <c r="I154" s="40">
        <v>1917.0609600000005</v>
      </c>
      <c r="J154" s="67">
        <v>2126.0271200000007</v>
      </c>
      <c r="K154" s="42"/>
      <c r="L154" s="40">
        <v>51.552709999999998</v>
      </c>
      <c r="M154" s="40">
        <v>8.4093700000000009</v>
      </c>
      <c r="N154" s="40">
        <v>1021.91452</v>
      </c>
      <c r="O154" s="40">
        <v>67.347700000000017</v>
      </c>
      <c r="P154" s="40">
        <v>37.816180000000003</v>
      </c>
      <c r="Q154" s="40">
        <v>0</v>
      </c>
      <c r="R154" s="40">
        <v>0</v>
      </c>
      <c r="S154" s="67">
        <v>1187.0404800000001</v>
      </c>
      <c r="T154" s="41"/>
      <c r="U154" s="40">
        <v>21.928979999999999</v>
      </c>
      <c r="V154" s="41"/>
      <c r="W154" s="67">
        <v>3334.9965800000009</v>
      </c>
      <c r="X154" s="44">
        <v>1208.96946</v>
      </c>
      <c r="Y154" s="44">
        <v>2126.0271200000007</v>
      </c>
      <c r="Z154" s="54"/>
      <c r="AA154" s="54"/>
      <c r="AB154" s="54"/>
      <c r="AC154" s="54"/>
    </row>
    <row r="155" spans="1:29" ht="12" customHeight="1" x14ac:dyDescent="0.2">
      <c r="A155" s="49">
        <v>2021</v>
      </c>
      <c r="B155" s="49" t="s">
        <v>8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526.10885999999994</v>
      </c>
      <c r="I155" s="40">
        <v>1264.6885500000001</v>
      </c>
      <c r="J155" s="67">
        <v>1790.7974100000001</v>
      </c>
      <c r="K155" s="42"/>
      <c r="L155" s="40">
        <v>58.750800000000005</v>
      </c>
      <c r="M155" s="40">
        <v>928.00623999999993</v>
      </c>
      <c r="N155" s="40">
        <v>0</v>
      </c>
      <c r="O155" s="40">
        <v>38.659930000000003</v>
      </c>
      <c r="P155" s="40">
        <v>1015.15433</v>
      </c>
      <c r="Q155" s="40">
        <v>0</v>
      </c>
      <c r="R155" s="40">
        <v>0</v>
      </c>
      <c r="S155" s="67">
        <v>2040.5713000000001</v>
      </c>
      <c r="T155" s="41"/>
      <c r="U155" s="40">
        <v>19.763159999999999</v>
      </c>
      <c r="V155" s="41"/>
      <c r="W155" s="67">
        <v>3851.1318700000002</v>
      </c>
      <c r="X155" s="44">
        <v>2060.33446</v>
      </c>
      <c r="Y155" s="44">
        <v>1790.7974100000001</v>
      </c>
      <c r="Z155" s="54"/>
      <c r="AA155" s="54"/>
      <c r="AB155" s="54"/>
      <c r="AC155" s="54"/>
    </row>
    <row r="156" spans="1:29" ht="12" customHeight="1" x14ac:dyDescent="0.2">
      <c r="A156" s="49">
        <v>2021</v>
      </c>
      <c r="B156" s="49" t="s">
        <v>9</v>
      </c>
      <c r="C156" s="40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984.86803000000009</v>
      </c>
      <c r="I156" s="40">
        <v>1537.4264799999999</v>
      </c>
      <c r="J156" s="67">
        <v>2522.2945099999997</v>
      </c>
      <c r="K156" s="42"/>
      <c r="L156" s="40">
        <v>1024.73999</v>
      </c>
      <c r="M156" s="40">
        <v>4.8973099999999992</v>
      </c>
      <c r="N156" s="40">
        <v>0</v>
      </c>
      <c r="O156" s="40">
        <v>921.22405000000003</v>
      </c>
      <c r="P156" s="40">
        <v>0</v>
      </c>
      <c r="Q156" s="40">
        <v>0</v>
      </c>
      <c r="R156" s="40">
        <v>29.792480000000001</v>
      </c>
      <c r="S156" s="67">
        <v>1980.6538300000002</v>
      </c>
      <c r="T156" s="41"/>
      <c r="U156" s="40">
        <v>41.400320000000001</v>
      </c>
      <c r="V156" s="41"/>
      <c r="W156" s="67">
        <v>4544.3486599999997</v>
      </c>
      <c r="X156" s="44">
        <v>2022.0541500000002</v>
      </c>
      <c r="Y156" s="44">
        <v>2522.2945099999997</v>
      </c>
      <c r="Z156" s="54"/>
      <c r="AA156" s="54"/>
      <c r="AB156" s="54"/>
      <c r="AC156" s="54"/>
    </row>
    <row r="157" spans="1:29" ht="12" customHeight="1" x14ac:dyDescent="0.2">
      <c r="A157" s="49">
        <v>2021</v>
      </c>
      <c r="B157" s="49" t="s">
        <v>10</v>
      </c>
      <c r="C157" s="40">
        <v>0</v>
      </c>
      <c r="D157" s="40">
        <v>0</v>
      </c>
      <c r="E157" s="40">
        <v>0</v>
      </c>
      <c r="F157" s="40">
        <v>0</v>
      </c>
      <c r="G157" s="40">
        <v>0</v>
      </c>
      <c r="H157" s="40">
        <v>293.68542000000002</v>
      </c>
      <c r="I157" s="40">
        <v>897.89427999999998</v>
      </c>
      <c r="J157" s="67">
        <v>1191.5797</v>
      </c>
      <c r="K157" s="42"/>
      <c r="L157" s="40">
        <v>1266.0303699999999</v>
      </c>
      <c r="M157" s="40">
        <v>4.0228799999999998</v>
      </c>
      <c r="N157" s="40">
        <v>0</v>
      </c>
      <c r="O157" s="40">
        <v>2009.1861899999999</v>
      </c>
      <c r="P157" s="40">
        <v>47.514870000000002</v>
      </c>
      <c r="Q157" s="40">
        <v>0</v>
      </c>
      <c r="R157" s="40">
        <v>1198.0142900000001</v>
      </c>
      <c r="S157" s="67">
        <v>4524.7685999999994</v>
      </c>
      <c r="T157" s="41"/>
      <c r="U157" s="40">
        <v>74.392350000000008</v>
      </c>
      <c r="V157" s="41"/>
      <c r="W157" s="67">
        <v>5790.7406499999997</v>
      </c>
      <c r="X157" s="44">
        <v>4599.1609499999995</v>
      </c>
      <c r="Y157" s="44">
        <v>1191.5797</v>
      </c>
      <c r="Z157" s="54"/>
      <c r="AA157" s="54"/>
      <c r="AB157" s="54"/>
      <c r="AC157" s="54"/>
    </row>
    <row r="158" spans="1:29" ht="12" customHeight="1" x14ac:dyDescent="0.2">
      <c r="A158" s="49">
        <v>2021</v>
      </c>
      <c r="B158" s="49" t="s">
        <v>11</v>
      </c>
      <c r="C158" s="40">
        <v>0</v>
      </c>
      <c r="D158" s="40">
        <v>0</v>
      </c>
      <c r="E158" s="40">
        <v>0</v>
      </c>
      <c r="F158" s="40">
        <v>0</v>
      </c>
      <c r="G158" s="40">
        <v>0</v>
      </c>
      <c r="H158" s="40">
        <v>576.90225999999996</v>
      </c>
      <c r="I158" s="40">
        <v>1375.63949</v>
      </c>
      <c r="J158" s="67">
        <v>1952.5417499999999</v>
      </c>
      <c r="K158" s="42"/>
      <c r="L158" s="40">
        <v>1016.69974</v>
      </c>
      <c r="M158" s="40">
        <v>5.1928900000000002</v>
      </c>
      <c r="N158" s="40">
        <v>0</v>
      </c>
      <c r="O158" s="40">
        <v>978.30789000000004</v>
      </c>
      <c r="P158" s="40">
        <v>0</v>
      </c>
      <c r="Q158" s="40">
        <v>0</v>
      </c>
      <c r="R158" s="40">
        <v>0</v>
      </c>
      <c r="S158" s="67">
        <v>2000.2005200000001</v>
      </c>
      <c r="T158" s="41"/>
      <c r="U158" s="40">
        <v>54.625259999999997</v>
      </c>
      <c r="V158" s="41"/>
      <c r="W158" s="67">
        <v>4007.3675299999995</v>
      </c>
      <c r="X158" s="44">
        <v>2054.8257800000001</v>
      </c>
      <c r="Y158" s="44">
        <v>1952.5417499999999</v>
      </c>
      <c r="Z158" s="54"/>
      <c r="AA158" s="54"/>
      <c r="AB158" s="54"/>
      <c r="AC158" s="54"/>
    </row>
    <row r="159" spans="1:29" ht="12" customHeight="1" x14ac:dyDescent="0.2">
      <c r="A159" s="49">
        <v>2021</v>
      </c>
      <c r="B159" s="49" t="s">
        <v>12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677.27592000000004</v>
      </c>
      <c r="I159" s="40">
        <v>976.24391999999989</v>
      </c>
      <c r="J159" s="67">
        <v>1653.5198399999999</v>
      </c>
      <c r="K159" s="42"/>
      <c r="L159" s="40">
        <v>42.225019999999994</v>
      </c>
      <c r="M159" s="40">
        <v>8.1482399999999995</v>
      </c>
      <c r="N159" s="40">
        <v>401.69134000000003</v>
      </c>
      <c r="O159" s="40">
        <v>65.424900000000008</v>
      </c>
      <c r="P159" s="40">
        <v>0</v>
      </c>
      <c r="Q159" s="40">
        <v>0</v>
      </c>
      <c r="R159" s="40">
        <v>3.91215</v>
      </c>
      <c r="S159" s="67">
        <v>521.40165000000002</v>
      </c>
      <c r="T159" s="41"/>
      <c r="U159" s="40">
        <v>23.35211</v>
      </c>
      <c r="V159" s="41"/>
      <c r="W159" s="67">
        <v>2198.2735999999995</v>
      </c>
      <c r="X159" s="44">
        <v>544.75376000000006</v>
      </c>
      <c r="Y159" s="44">
        <v>1653.5198399999999</v>
      </c>
      <c r="Z159" s="54"/>
      <c r="AA159" s="54"/>
      <c r="AB159" s="54"/>
      <c r="AC159" s="54"/>
    </row>
    <row r="160" spans="1:29" ht="12" customHeight="1" x14ac:dyDescent="0.2">
      <c r="A160" s="49">
        <v>2021</v>
      </c>
      <c r="B160" s="49" t="s">
        <v>13</v>
      </c>
      <c r="C160" s="40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402.59295999999995</v>
      </c>
      <c r="I160" s="40">
        <v>186.44305999999997</v>
      </c>
      <c r="J160" s="67">
        <v>589.03601999999989</v>
      </c>
      <c r="K160" s="42"/>
      <c r="L160" s="40">
        <v>414.20398</v>
      </c>
      <c r="M160" s="40">
        <v>10.5724</v>
      </c>
      <c r="N160" s="40">
        <v>1.9418199999999999</v>
      </c>
      <c r="O160" s="40">
        <v>42.840980000000002</v>
      </c>
      <c r="P160" s="40">
        <v>0</v>
      </c>
      <c r="Q160" s="40">
        <v>0</v>
      </c>
      <c r="R160" s="40">
        <v>1104.3515199999999</v>
      </c>
      <c r="S160" s="67">
        <v>1573.9106999999999</v>
      </c>
      <c r="T160" s="41"/>
      <c r="U160" s="40">
        <v>48.340110000000003</v>
      </c>
      <c r="V160" s="41"/>
      <c r="W160" s="67">
        <v>2211.28683</v>
      </c>
      <c r="X160" s="44">
        <v>1622.25081</v>
      </c>
      <c r="Y160" s="44">
        <v>589.03601999999989</v>
      </c>
      <c r="Z160" s="54"/>
      <c r="AA160" s="54"/>
      <c r="AB160" s="54"/>
      <c r="AC160" s="54"/>
    </row>
    <row r="161" spans="1:29" ht="12" customHeight="1" x14ac:dyDescent="0.2">
      <c r="A161" s="49">
        <v>2021</v>
      </c>
      <c r="B161" s="49" t="s">
        <v>14</v>
      </c>
      <c r="C161" s="40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522.40116999999998</v>
      </c>
      <c r="I161" s="40">
        <v>373.63663000000003</v>
      </c>
      <c r="J161" s="67">
        <v>896.03780000000006</v>
      </c>
      <c r="K161" s="42"/>
      <c r="L161" s="40">
        <v>64.265720000000002</v>
      </c>
      <c r="M161" s="40">
        <v>11.35553</v>
      </c>
      <c r="N161" s="40">
        <v>0</v>
      </c>
      <c r="O161" s="40">
        <v>32.398580000000003</v>
      </c>
      <c r="P161" s="40">
        <v>0</v>
      </c>
      <c r="Q161" s="40">
        <v>0</v>
      </c>
      <c r="R161" s="40">
        <v>930.80729000000008</v>
      </c>
      <c r="S161" s="67">
        <v>1038.8271200000001</v>
      </c>
      <c r="T161" s="41"/>
      <c r="U161" s="40">
        <v>20.234029999999997</v>
      </c>
      <c r="V161" s="41"/>
      <c r="W161" s="67">
        <v>1955.0989500000003</v>
      </c>
      <c r="X161" s="44">
        <v>1059.0611500000002</v>
      </c>
      <c r="Y161" s="44">
        <v>896.03780000000006</v>
      </c>
      <c r="Z161" s="54"/>
      <c r="AA161" s="54"/>
      <c r="AB161" s="54"/>
      <c r="AC161" s="54"/>
    </row>
    <row r="162" spans="1:29" s="11" customFormat="1" ht="12" customHeight="1" x14ac:dyDescent="0.2">
      <c r="A162" s="90">
        <v>2021</v>
      </c>
      <c r="B162" s="90" t="s">
        <v>15</v>
      </c>
      <c r="C162" s="81">
        <v>0</v>
      </c>
      <c r="D162" s="80">
        <v>0</v>
      </c>
      <c r="E162" s="80">
        <v>0</v>
      </c>
      <c r="F162" s="80">
        <v>0</v>
      </c>
      <c r="G162" s="80">
        <v>0</v>
      </c>
      <c r="H162" s="80">
        <v>4966.0369899999996</v>
      </c>
      <c r="I162" s="80">
        <v>13795.240720000003</v>
      </c>
      <c r="J162" s="91">
        <v>18761.277710000002</v>
      </c>
      <c r="K162" s="83"/>
      <c r="L162" s="81">
        <v>4256.8618400000005</v>
      </c>
      <c r="M162" s="80">
        <v>1038.3785499999999</v>
      </c>
      <c r="N162" s="80">
        <v>1777.70578</v>
      </c>
      <c r="O162" s="80">
        <v>5085.2588500000002</v>
      </c>
      <c r="P162" s="80">
        <v>1189.3675499999999</v>
      </c>
      <c r="Q162" s="80">
        <v>0</v>
      </c>
      <c r="R162" s="80">
        <v>3266.8777300000006</v>
      </c>
      <c r="S162" s="91">
        <v>16614.4503</v>
      </c>
      <c r="T162" s="92"/>
      <c r="U162" s="80">
        <v>380.65585999999996</v>
      </c>
      <c r="V162" s="92"/>
      <c r="W162" s="91">
        <v>35756.383870000005</v>
      </c>
      <c r="X162" s="93">
        <v>16995.106159999999</v>
      </c>
      <c r="Y162" s="93">
        <v>18761.277710000002</v>
      </c>
      <c r="Z162" s="94"/>
      <c r="AA162" s="94"/>
      <c r="AB162" s="94"/>
      <c r="AC162" s="94"/>
    </row>
    <row r="163" spans="1:29" ht="12" customHeight="1" x14ac:dyDescent="0.2">
      <c r="A163" s="63">
        <v>2022</v>
      </c>
      <c r="B163" s="50" t="s">
        <v>3</v>
      </c>
      <c r="C163" s="40">
        <v>0</v>
      </c>
      <c r="D163" s="40">
        <v>0</v>
      </c>
      <c r="E163" s="40">
        <v>0</v>
      </c>
      <c r="F163" s="40">
        <v>0</v>
      </c>
      <c r="G163" s="40">
        <v>0</v>
      </c>
      <c r="H163" s="40">
        <v>161.32077000000001</v>
      </c>
      <c r="I163" s="40">
        <v>1581.3700800000001</v>
      </c>
      <c r="J163" s="66">
        <v>1742.6908500000002</v>
      </c>
      <c r="K163" s="42"/>
      <c r="L163" s="40">
        <v>20.81147</v>
      </c>
      <c r="M163" s="40">
        <v>742.59067000000005</v>
      </c>
      <c r="N163" s="40">
        <v>27.501529999999999</v>
      </c>
      <c r="O163" s="40">
        <v>45.925539999999998</v>
      </c>
      <c r="P163" s="40">
        <v>0</v>
      </c>
      <c r="Q163" s="40">
        <v>0</v>
      </c>
      <c r="R163" s="40">
        <v>979.21812999999997</v>
      </c>
      <c r="S163" s="66">
        <v>1816.0473400000001</v>
      </c>
      <c r="T163" s="41"/>
      <c r="U163" s="40">
        <v>79.267400000000009</v>
      </c>
      <c r="V163" s="41"/>
      <c r="W163" s="66">
        <v>3638.0055900000002</v>
      </c>
      <c r="X163" s="44">
        <v>1895.31474</v>
      </c>
      <c r="Y163" s="44">
        <v>1742.6908500000002</v>
      </c>
      <c r="Z163" s="54"/>
      <c r="AA163" s="54"/>
      <c r="AB163" s="54"/>
      <c r="AC163" s="54"/>
    </row>
    <row r="164" spans="1:29" ht="12" customHeight="1" x14ac:dyDescent="0.2">
      <c r="A164" s="63">
        <v>2022</v>
      </c>
      <c r="B164" s="50" t="s">
        <v>4</v>
      </c>
      <c r="C164" s="40">
        <v>0</v>
      </c>
      <c r="D164" s="40">
        <v>0</v>
      </c>
      <c r="E164" s="40">
        <v>0</v>
      </c>
      <c r="F164" s="40">
        <v>0</v>
      </c>
      <c r="G164" s="40">
        <v>0</v>
      </c>
      <c r="H164" s="40">
        <v>132.32978999999997</v>
      </c>
      <c r="I164" s="40">
        <v>1596.3085599999997</v>
      </c>
      <c r="J164" s="66">
        <v>1728.6383499999997</v>
      </c>
      <c r="K164" s="42"/>
      <c r="L164" s="40">
        <v>113.13933</v>
      </c>
      <c r="M164" s="40">
        <v>9.0498700000000003</v>
      </c>
      <c r="N164" s="40">
        <v>941.74436000000003</v>
      </c>
      <c r="O164" s="40">
        <v>1004.9321600000001</v>
      </c>
      <c r="P164" s="40">
        <v>0</v>
      </c>
      <c r="Q164" s="40">
        <v>0</v>
      </c>
      <c r="R164" s="40">
        <v>0</v>
      </c>
      <c r="S164" s="66">
        <v>2068.8657199999998</v>
      </c>
      <c r="T164" s="41"/>
      <c r="U164" s="40">
        <v>41.043439999999997</v>
      </c>
      <c r="V164" s="41"/>
      <c r="W164" s="66">
        <v>3838.5475099999994</v>
      </c>
      <c r="X164" s="44">
        <v>2109.9091599999997</v>
      </c>
      <c r="Y164" s="44">
        <v>1728.6383499999997</v>
      </c>
      <c r="Z164" s="54"/>
      <c r="AA164" s="54"/>
      <c r="AB164" s="54"/>
      <c r="AC164" s="54"/>
    </row>
    <row r="165" spans="1:29" ht="12" customHeight="1" x14ac:dyDescent="0.2">
      <c r="A165" s="63">
        <v>2022</v>
      </c>
      <c r="B165" s="50" t="s">
        <v>5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134.92333000000002</v>
      </c>
      <c r="I165" s="40">
        <v>2603.0349800000013</v>
      </c>
      <c r="J165" s="66">
        <v>2737.9583100000013</v>
      </c>
      <c r="K165" s="42"/>
      <c r="L165" s="40">
        <v>45.832660000000004</v>
      </c>
      <c r="M165" s="40">
        <v>8.6506399999999992</v>
      </c>
      <c r="N165" s="40">
        <v>0</v>
      </c>
      <c r="O165" s="40">
        <v>27.709489999999999</v>
      </c>
      <c r="P165" s="40">
        <v>13.334</v>
      </c>
      <c r="Q165" s="40">
        <v>0</v>
      </c>
      <c r="R165" s="40">
        <v>0</v>
      </c>
      <c r="S165" s="66">
        <v>95.526790000000005</v>
      </c>
      <c r="T165" s="41"/>
      <c r="U165" s="40">
        <v>27.348969999999998</v>
      </c>
      <c r="V165" s="41"/>
      <c r="W165" s="66">
        <v>2860.8340700000012</v>
      </c>
      <c r="X165" s="44">
        <v>122.87576</v>
      </c>
      <c r="Y165" s="44">
        <v>2737.9583100000013</v>
      </c>
      <c r="Z165" s="54"/>
      <c r="AA165" s="54"/>
      <c r="AB165" s="54"/>
      <c r="AC165" s="54"/>
    </row>
    <row r="166" spans="1:29" ht="12" customHeight="1" x14ac:dyDescent="0.2">
      <c r="A166" s="63">
        <v>2022</v>
      </c>
      <c r="B166" s="50" t="s">
        <v>6</v>
      </c>
      <c r="C166" s="40">
        <v>0</v>
      </c>
      <c r="D166" s="40">
        <v>0</v>
      </c>
      <c r="E166" s="40">
        <v>0</v>
      </c>
      <c r="F166" s="40">
        <v>0</v>
      </c>
      <c r="G166" s="40">
        <v>0</v>
      </c>
      <c r="H166" s="40">
        <v>175.44833000000003</v>
      </c>
      <c r="I166" s="40">
        <v>5618.045420000004</v>
      </c>
      <c r="J166" s="66">
        <v>5793.4937500000042</v>
      </c>
      <c r="K166" s="42"/>
      <c r="L166" s="40">
        <v>109.81083</v>
      </c>
      <c r="M166" s="40">
        <v>10.04233</v>
      </c>
      <c r="N166" s="40">
        <v>1.71655</v>
      </c>
      <c r="O166" s="40">
        <v>1936.79107</v>
      </c>
      <c r="P166" s="40">
        <v>0</v>
      </c>
      <c r="Q166" s="40">
        <v>0</v>
      </c>
      <c r="R166" s="40">
        <v>0</v>
      </c>
      <c r="S166" s="66">
        <v>2058.36078</v>
      </c>
      <c r="T166" s="41"/>
      <c r="U166" s="40">
        <v>14.273790000000002</v>
      </c>
      <c r="V166" s="41"/>
      <c r="W166" s="66">
        <v>7866.1283200000044</v>
      </c>
      <c r="X166" s="44">
        <v>2072.6345700000002</v>
      </c>
      <c r="Y166" s="44">
        <v>5793.4937500000042</v>
      </c>
      <c r="Z166" s="54"/>
      <c r="AA166" s="54"/>
      <c r="AB166" s="54"/>
      <c r="AC166" s="54"/>
    </row>
    <row r="167" spans="1:29" ht="12" customHeight="1" x14ac:dyDescent="0.2">
      <c r="A167" s="63">
        <v>2022</v>
      </c>
      <c r="B167" s="50" t="s">
        <v>7</v>
      </c>
      <c r="C167" s="40">
        <v>0</v>
      </c>
      <c r="D167" s="40">
        <v>0</v>
      </c>
      <c r="E167" s="40">
        <v>0</v>
      </c>
      <c r="F167" s="40">
        <v>0</v>
      </c>
      <c r="G167" s="40">
        <v>0</v>
      </c>
      <c r="H167" s="40">
        <v>99.005300000000005</v>
      </c>
      <c r="I167" s="40">
        <v>6181.1917700000004</v>
      </c>
      <c r="J167" s="66">
        <v>6280.1970700000002</v>
      </c>
      <c r="K167" s="42"/>
      <c r="L167" s="40">
        <v>235.70635999999999</v>
      </c>
      <c r="M167" s="40">
        <v>33.15061</v>
      </c>
      <c r="N167" s="40">
        <v>1.7179599999999999</v>
      </c>
      <c r="O167" s="40">
        <v>0</v>
      </c>
      <c r="P167" s="40">
        <v>962.17211999999995</v>
      </c>
      <c r="Q167" s="40">
        <v>0</v>
      </c>
      <c r="R167" s="40">
        <v>250.12262999999999</v>
      </c>
      <c r="S167" s="66">
        <v>1482.86968</v>
      </c>
      <c r="T167" s="41"/>
      <c r="U167" s="40">
        <v>7.5830000000000002</v>
      </c>
      <c r="V167" s="41"/>
      <c r="W167" s="66">
        <v>7770.6497499999996</v>
      </c>
      <c r="X167" s="44">
        <v>1490.4526800000001</v>
      </c>
      <c r="Y167" s="44">
        <v>6280.1970700000002</v>
      </c>
      <c r="Z167" s="54"/>
      <c r="AA167" s="54"/>
      <c r="AB167" s="54"/>
      <c r="AC167" s="54"/>
    </row>
    <row r="168" spans="1:29" ht="12" customHeight="1" x14ac:dyDescent="0.2">
      <c r="A168" s="63">
        <v>2022</v>
      </c>
      <c r="B168" s="50" t="s">
        <v>8</v>
      </c>
      <c r="C168" s="40">
        <v>0</v>
      </c>
      <c r="D168" s="40">
        <v>0</v>
      </c>
      <c r="E168" s="40">
        <v>0</v>
      </c>
      <c r="F168" s="40">
        <v>0</v>
      </c>
      <c r="G168" s="40">
        <v>60</v>
      </c>
      <c r="H168" s="40">
        <v>189.28527000000003</v>
      </c>
      <c r="I168" s="40">
        <v>3051.3502799999978</v>
      </c>
      <c r="J168" s="66">
        <v>3300.6355499999977</v>
      </c>
      <c r="K168" s="42"/>
      <c r="L168" s="40">
        <v>139.94557</v>
      </c>
      <c r="M168" s="40">
        <v>15.301309999999999</v>
      </c>
      <c r="N168" s="40">
        <v>1.0311900000000001</v>
      </c>
      <c r="O168" s="40">
        <v>40.524519999999995</v>
      </c>
      <c r="P168" s="40">
        <v>0</v>
      </c>
      <c r="Q168" s="40">
        <v>0</v>
      </c>
      <c r="R168" s="40">
        <v>568.41205000000002</v>
      </c>
      <c r="S168" s="66">
        <v>765.21464000000003</v>
      </c>
      <c r="T168" s="41"/>
      <c r="U168" s="40">
        <v>21.683970000000002</v>
      </c>
      <c r="V168" s="41"/>
      <c r="W168" s="66">
        <v>4087.5341599999979</v>
      </c>
      <c r="X168" s="44">
        <v>786.89861000000008</v>
      </c>
      <c r="Y168" s="44">
        <v>3300.6355499999977</v>
      </c>
      <c r="Z168" s="54"/>
      <c r="AA168" s="54"/>
      <c r="AB168" s="54"/>
      <c r="AC168" s="54"/>
    </row>
    <row r="169" spans="1:29" ht="12" customHeight="1" x14ac:dyDescent="0.2">
      <c r="A169" s="63">
        <v>2022</v>
      </c>
      <c r="B169" s="50" t="s">
        <v>9</v>
      </c>
      <c r="C169" s="40">
        <v>0</v>
      </c>
      <c r="D169" s="40">
        <v>0</v>
      </c>
      <c r="E169" s="40">
        <v>0</v>
      </c>
      <c r="F169" s="40">
        <v>0</v>
      </c>
      <c r="G169" s="40">
        <v>172</v>
      </c>
      <c r="H169" s="40">
        <v>145.94993000000002</v>
      </c>
      <c r="I169" s="40">
        <v>3076.6948399999987</v>
      </c>
      <c r="J169" s="66">
        <v>3394.644769999999</v>
      </c>
      <c r="K169" s="42"/>
      <c r="L169" s="40">
        <v>345.60363000000001</v>
      </c>
      <c r="M169" s="40">
        <v>21.905619999999999</v>
      </c>
      <c r="N169" s="40">
        <v>17.518279999999997</v>
      </c>
      <c r="O169" s="40">
        <v>0</v>
      </c>
      <c r="P169" s="40">
        <v>50.286279999999998</v>
      </c>
      <c r="Q169" s="40">
        <v>0</v>
      </c>
      <c r="R169" s="40">
        <v>497.39839000000001</v>
      </c>
      <c r="S169" s="66">
        <v>932.71219999999994</v>
      </c>
      <c r="T169" s="41"/>
      <c r="U169" s="40">
        <v>21.855430000000002</v>
      </c>
      <c r="V169" s="41"/>
      <c r="W169" s="66">
        <v>4349.2123999999985</v>
      </c>
      <c r="X169" s="44">
        <v>954.56762999999989</v>
      </c>
      <c r="Y169" s="44">
        <v>3394.644769999999</v>
      </c>
      <c r="Z169" s="54"/>
      <c r="AA169" s="54"/>
      <c r="AB169" s="54"/>
      <c r="AC169" s="54"/>
    </row>
    <row r="170" spans="1:29" ht="12" customHeight="1" x14ac:dyDescent="0.2">
      <c r="A170" s="63">
        <v>2022</v>
      </c>
      <c r="B170" s="50" t="s">
        <v>10</v>
      </c>
      <c r="C170" s="40">
        <v>0</v>
      </c>
      <c r="D170" s="40">
        <v>0</v>
      </c>
      <c r="E170" s="40">
        <v>0</v>
      </c>
      <c r="F170" s="40">
        <v>0</v>
      </c>
      <c r="G170" s="40">
        <v>119.45</v>
      </c>
      <c r="H170" s="40">
        <v>598.98352</v>
      </c>
      <c r="I170" s="40">
        <v>1596.85277</v>
      </c>
      <c r="J170" s="66">
        <v>2315.28629</v>
      </c>
      <c r="K170" s="42"/>
      <c r="L170" s="40">
        <v>1391.56872</v>
      </c>
      <c r="M170" s="40">
        <v>323.81597000000005</v>
      </c>
      <c r="N170" s="40">
        <v>0</v>
      </c>
      <c r="O170" s="40">
        <v>2110.8560600000001</v>
      </c>
      <c r="P170" s="40">
        <v>0</v>
      </c>
      <c r="Q170" s="40">
        <v>0</v>
      </c>
      <c r="R170" s="40">
        <v>857.32680999999991</v>
      </c>
      <c r="S170" s="66">
        <v>4683.5675599999995</v>
      </c>
      <c r="T170" s="41"/>
      <c r="U170" s="40">
        <v>1.78118</v>
      </c>
      <c r="V170" s="41"/>
      <c r="W170" s="66">
        <v>7000.6350299999995</v>
      </c>
      <c r="X170" s="44">
        <v>4685.3487399999995</v>
      </c>
      <c r="Y170" s="44">
        <v>2315.28629</v>
      </c>
      <c r="Z170" s="54"/>
      <c r="AA170" s="54"/>
      <c r="AB170" s="54"/>
      <c r="AC170" s="54"/>
    </row>
    <row r="171" spans="1:29" ht="12" customHeight="1" x14ac:dyDescent="0.2">
      <c r="A171" s="63">
        <v>2022</v>
      </c>
      <c r="B171" s="50" t="s">
        <v>11</v>
      </c>
      <c r="C171" s="40">
        <v>0</v>
      </c>
      <c r="D171" s="40">
        <v>0</v>
      </c>
      <c r="E171" s="40">
        <v>0</v>
      </c>
      <c r="F171" s="40">
        <v>0</v>
      </c>
      <c r="G171" s="40">
        <v>122.5</v>
      </c>
      <c r="H171" s="40">
        <v>840.28614999999991</v>
      </c>
      <c r="I171" s="40">
        <v>1031.5062600000001</v>
      </c>
      <c r="J171" s="66">
        <v>1994.29241</v>
      </c>
      <c r="K171" s="42"/>
      <c r="L171" s="40">
        <v>377.60469000000001</v>
      </c>
      <c r="M171" s="40">
        <v>19.843640000000001</v>
      </c>
      <c r="N171" s="40">
        <v>0</v>
      </c>
      <c r="O171" s="40">
        <v>49.652020000000007</v>
      </c>
      <c r="P171" s="40">
        <v>0</v>
      </c>
      <c r="Q171" s="40">
        <v>0</v>
      </c>
      <c r="R171" s="40">
        <v>653.86721999999986</v>
      </c>
      <c r="S171" s="66">
        <v>1100.9675699999998</v>
      </c>
      <c r="T171" s="41"/>
      <c r="U171" s="40">
        <v>1.7258399999999998</v>
      </c>
      <c r="V171" s="41"/>
      <c r="W171" s="66">
        <v>3096.9858199999999</v>
      </c>
      <c r="X171" s="44">
        <v>1102.6934099999999</v>
      </c>
      <c r="Y171" s="44">
        <v>1994.29241</v>
      </c>
      <c r="Z171" s="54"/>
      <c r="AA171" s="54"/>
      <c r="AB171" s="54"/>
      <c r="AC171" s="54"/>
    </row>
    <row r="172" spans="1:29" ht="12" customHeight="1" x14ac:dyDescent="0.2">
      <c r="A172" s="63">
        <v>2022</v>
      </c>
      <c r="B172" s="50" t="s">
        <v>12</v>
      </c>
      <c r="C172" s="40">
        <v>0</v>
      </c>
      <c r="D172" s="40">
        <v>0</v>
      </c>
      <c r="E172" s="40">
        <v>0</v>
      </c>
      <c r="F172" s="40">
        <v>0</v>
      </c>
      <c r="G172" s="40">
        <v>328</v>
      </c>
      <c r="H172" s="40">
        <v>1841.0186899999999</v>
      </c>
      <c r="I172" s="40">
        <v>647.35590000000002</v>
      </c>
      <c r="J172" s="66">
        <v>2816.3745899999999</v>
      </c>
      <c r="K172" s="42"/>
      <c r="L172" s="40">
        <v>982.39776000000006</v>
      </c>
      <c r="M172" s="40">
        <v>23.141839999999998</v>
      </c>
      <c r="N172" s="40">
        <v>435.67658</v>
      </c>
      <c r="O172" s="40">
        <v>1121.9810600000001</v>
      </c>
      <c r="P172" s="40">
        <v>112.37257000000001</v>
      </c>
      <c r="Q172" s="40">
        <v>0</v>
      </c>
      <c r="R172" s="40">
        <v>1510.9318599999999</v>
      </c>
      <c r="S172" s="66">
        <v>4186.5016700000006</v>
      </c>
      <c r="T172" s="41"/>
      <c r="U172" s="40">
        <v>0.43563000000000002</v>
      </c>
      <c r="V172" s="41"/>
      <c r="W172" s="66">
        <v>7003.3118900000009</v>
      </c>
      <c r="X172" s="44">
        <v>4186.9373000000005</v>
      </c>
      <c r="Y172" s="44">
        <v>2816.3745899999999</v>
      </c>
      <c r="Z172" s="54"/>
      <c r="AA172" s="54"/>
      <c r="AB172" s="54"/>
      <c r="AC172" s="54"/>
    </row>
    <row r="173" spans="1:29" ht="12" customHeight="1" x14ac:dyDescent="0.2">
      <c r="A173" s="63">
        <v>2022</v>
      </c>
      <c r="B173" s="50" t="s">
        <v>13</v>
      </c>
      <c r="C173" s="40">
        <v>0</v>
      </c>
      <c r="D173" s="40">
        <v>0</v>
      </c>
      <c r="E173" s="40">
        <v>0</v>
      </c>
      <c r="F173" s="40">
        <v>0</v>
      </c>
      <c r="G173" s="40">
        <v>552.82000000000005</v>
      </c>
      <c r="H173" s="40">
        <v>594.30841999999996</v>
      </c>
      <c r="I173" s="40">
        <v>3112.0738899999997</v>
      </c>
      <c r="J173" s="66">
        <v>4259.2023099999997</v>
      </c>
      <c r="K173" s="42"/>
      <c r="L173" s="40">
        <v>478.78242999999998</v>
      </c>
      <c r="M173" s="40">
        <v>24.741669999999999</v>
      </c>
      <c r="N173" s="40">
        <v>1196.0673199999999</v>
      </c>
      <c r="O173" s="40">
        <v>19.667249999999999</v>
      </c>
      <c r="P173" s="40">
        <v>110.92627</v>
      </c>
      <c r="Q173" s="40">
        <v>0</v>
      </c>
      <c r="R173" s="40">
        <v>214.17587</v>
      </c>
      <c r="S173" s="66">
        <v>2044.3608099999997</v>
      </c>
      <c r="T173" s="41"/>
      <c r="U173" s="40">
        <v>10.147260000000001</v>
      </c>
      <c r="V173" s="41"/>
      <c r="W173" s="66">
        <v>6313.7103799999986</v>
      </c>
      <c r="X173" s="44">
        <v>2054.5080699999999</v>
      </c>
      <c r="Y173" s="44">
        <v>4259.2023099999997</v>
      </c>
      <c r="Z173" s="54"/>
      <c r="AA173" s="54"/>
      <c r="AB173" s="54"/>
      <c r="AC173" s="54"/>
    </row>
    <row r="174" spans="1:29" ht="12" customHeight="1" x14ac:dyDescent="0.2">
      <c r="A174" s="63">
        <v>2022</v>
      </c>
      <c r="B174" s="50" t="s">
        <v>14</v>
      </c>
      <c r="C174" s="40">
        <v>0</v>
      </c>
      <c r="D174" s="40">
        <v>0</v>
      </c>
      <c r="E174" s="40">
        <v>0</v>
      </c>
      <c r="F174" s="40">
        <v>0</v>
      </c>
      <c r="G174" s="40">
        <v>527</v>
      </c>
      <c r="H174" s="40">
        <v>966.81626999999992</v>
      </c>
      <c r="I174" s="40">
        <v>5140.2460599999995</v>
      </c>
      <c r="J174" s="66">
        <v>6634.0623299999988</v>
      </c>
      <c r="K174" s="42"/>
      <c r="L174" s="40">
        <v>935.34505999999999</v>
      </c>
      <c r="M174" s="40">
        <v>37.43974</v>
      </c>
      <c r="N174" s="40">
        <v>607.56179000000009</v>
      </c>
      <c r="O174" s="40">
        <v>637.64402000000007</v>
      </c>
      <c r="P174" s="40">
        <v>0</v>
      </c>
      <c r="Q174" s="40">
        <v>0</v>
      </c>
      <c r="R174" s="40">
        <v>1597.9932099999999</v>
      </c>
      <c r="S174" s="66">
        <v>3815.9838200000004</v>
      </c>
      <c r="T174" s="41"/>
      <c r="U174" s="40">
        <v>20.800599999999999</v>
      </c>
      <c r="V174" s="41"/>
      <c r="W174" s="66">
        <v>10470.846749999999</v>
      </c>
      <c r="X174" s="44">
        <v>3836.7844200000004</v>
      </c>
      <c r="Y174" s="44">
        <v>6634.0623299999988</v>
      </c>
      <c r="Z174" s="54"/>
      <c r="AA174" s="54"/>
      <c r="AB174" s="54"/>
      <c r="AC174" s="54"/>
    </row>
    <row r="175" spans="1:29" s="11" customFormat="1" ht="12" customHeight="1" x14ac:dyDescent="0.2">
      <c r="A175" s="95">
        <v>2022</v>
      </c>
      <c r="B175" s="96" t="s">
        <v>15</v>
      </c>
      <c r="C175" s="81">
        <v>0</v>
      </c>
      <c r="D175" s="80">
        <v>0</v>
      </c>
      <c r="E175" s="80">
        <v>0</v>
      </c>
      <c r="F175" s="80">
        <v>0</v>
      </c>
      <c r="G175" s="80">
        <v>1881.77</v>
      </c>
      <c r="H175" s="80">
        <v>5879.6757700000007</v>
      </c>
      <c r="I175" s="80">
        <v>35236.030810000004</v>
      </c>
      <c r="J175" s="97">
        <v>42997.476580000002</v>
      </c>
      <c r="K175" s="83"/>
      <c r="L175" s="81">
        <v>5176.5485099999996</v>
      </c>
      <c r="M175" s="80">
        <v>1269.6739100000002</v>
      </c>
      <c r="N175" s="80">
        <v>3230.5355599999998</v>
      </c>
      <c r="O175" s="80">
        <v>6995.6831900000006</v>
      </c>
      <c r="P175" s="80">
        <v>1249.0912399999997</v>
      </c>
      <c r="Q175" s="80">
        <v>0</v>
      </c>
      <c r="R175" s="80">
        <v>7129.4461699999993</v>
      </c>
      <c r="S175" s="82">
        <v>25050.978579999999</v>
      </c>
      <c r="T175" s="92"/>
      <c r="U175" s="80">
        <v>247.94651000000005</v>
      </c>
      <c r="V175" s="92"/>
      <c r="W175" s="82">
        <v>68296.401669999992</v>
      </c>
      <c r="X175" s="93">
        <v>25298.925090000001</v>
      </c>
      <c r="Y175" s="93">
        <v>42997.476580000002</v>
      </c>
      <c r="Z175" s="94"/>
      <c r="AA175" s="94"/>
      <c r="AB175" s="94"/>
      <c r="AC175" s="94"/>
    </row>
    <row r="176" spans="1:29" ht="12" customHeight="1" x14ac:dyDescent="0.2">
      <c r="A176" s="49">
        <v>2023</v>
      </c>
      <c r="B176" s="49" t="s">
        <v>3</v>
      </c>
      <c r="C176" s="40">
        <v>0</v>
      </c>
      <c r="D176" s="40">
        <v>0</v>
      </c>
      <c r="E176" s="40">
        <v>0</v>
      </c>
      <c r="F176" s="40">
        <v>0</v>
      </c>
      <c r="G176" s="40">
        <v>536</v>
      </c>
      <c r="H176" s="40">
        <v>562.77664000000004</v>
      </c>
      <c r="I176" s="40">
        <v>3059.7040200000006</v>
      </c>
      <c r="J176" s="67">
        <v>4158.4806600000011</v>
      </c>
      <c r="K176" s="42"/>
      <c r="L176" s="40">
        <v>940.8994100000001</v>
      </c>
      <c r="M176" s="40">
        <v>35.084389999999999</v>
      </c>
      <c r="N176" s="40">
        <v>427.76236</v>
      </c>
      <c r="O176" s="40">
        <v>508.04581999999994</v>
      </c>
      <c r="P176" s="40">
        <v>303.86730999999997</v>
      </c>
      <c r="Q176" s="40">
        <v>0</v>
      </c>
      <c r="R176" s="40">
        <v>1002.9294200000001</v>
      </c>
      <c r="S176" s="67">
        <v>3218.58871</v>
      </c>
      <c r="T176" s="41"/>
      <c r="U176" s="40">
        <v>3.0361700000000003</v>
      </c>
      <c r="V176" s="41"/>
      <c r="W176" s="67">
        <v>7380.1055400000014</v>
      </c>
      <c r="X176" s="44">
        <v>3221.6248799999998</v>
      </c>
      <c r="Y176" s="44">
        <v>4158.4806600000011</v>
      </c>
      <c r="Z176" s="54"/>
      <c r="AA176" s="54"/>
      <c r="AB176" s="54"/>
      <c r="AC176" s="54"/>
    </row>
    <row r="177" spans="1:29" ht="12" customHeight="1" x14ac:dyDescent="0.2">
      <c r="A177" s="49">
        <v>2023</v>
      </c>
      <c r="B177" s="49" t="s">
        <v>4</v>
      </c>
      <c r="C177" s="40">
        <v>0</v>
      </c>
      <c r="D177" s="40">
        <v>0</v>
      </c>
      <c r="E177" s="40">
        <v>0</v>
      </c>
      <c r="F177" s="40">
        <v>0</v>
      </c>
      <c r="G177" s="40">
        <v>680</v>
      </c>
      <c r="H177" s="40">
        <v>1334.3240399999997</v>
      </c>
      <c r="I177" s="40">
        <v>1367.4540699999998</v>
      </c>
      <c r="J177" s="67">
        <v>3381.7781099999993</v>
      </c>
      <c r="K177" s="42"/>
      <c r="L177" s="40">
        <v>496.47917000000007</v>
      </c>
      <c r="M177" s="40">
        <v>28.051870000000001</v>
      </c>
      <c r="N177" s="40">
        <v>427.51597999999996</v>
      </c>
      <c r="O177" s="40">
        <v>39.447420000000001</v>
      </c>
      <c r="P177" s="40">
        <v>61.875749999999996</v>
      </c>
      <c r="Q177" s="40">
        <v>0</v>
      </c>
      <c r="R177" s="40">
        <v>551.96186999999998</v>
      </c>
      <c r="S177" s="67">
        <v>1605.3320599999997</v>
      </c>
      <c r="T177" s="41"/>
      <c r="U177" s="40">
        <v>6.5404099999999987</v>
      </c>
      <c r="V177" s="41"/>
      <c r="W177" s="67">
        <v>4993.6505799999986</v>
      </c>
      <c r="X177" s="44">
        <v>1611.8724699999998</v>
      </c>
      <c r="Y177" s="44">
        <v>3381.7781099999993</v>
      </c>
      <c r="Z177" s="54"/>
      <c r="AA177" s="54"/>
      <c r="AB177" s="54"/>
      <c r="AC177" s="54"/>
    </row>
    <row r="178" spans="1:29" ht="12" customHeight="1" x14ac:dyDescent="0.2">
      <c r="A178" s="49">
        <v>2023</v>
      </c>
      <c r="B178" s="49" t="s">
        <v>5</v>
      </c>
      <c r="C178" s="40">
        <v>0</v>
      </c>
      <c r="D178" s="40">
        <v>0</v>
      </c>
      <c r="E178" s="40">
        <v>0</v>
      </c>
      <c r="F178" s="40">
        <v>0</v>
      </c>
      <c r="G178" s="40">
        <v>820</v>
      </c>
      <c r="H178" s="40">
        <v>894.52283999999986</v>
      </c>
      <c r="I178" s="40">
        <v>3707.2966599999991</v>
      </c>
      <c r="J178" s="67">
        <v>5421.8194999999987</v>
      </c>
      <c r="K178" s="42"/>
      <c r="L178" s="40">
        <v>878.69682999999998</v>
      </c>
      <c r="M178" s="40">
        <v>41.196449999999999</v>
      </c>
      <c r="N178" s="40">
        <v>489.31311999999997</v>
      </c>
      <c r="O178" s="40">
        <v>0.78400000000000003</v>
      </c>
      <c r="P178" s="40">
        <v>48.195</v>
      </c>
      <c r="Q178" s="40">
        <v>0</v>
      </c>
      <c r="R178" s="40">
        <v>909.05284000000006</v>
      </c>
      <c r="S178" s="67">
        <v>2367.2382400000001</v>
      </c>
      <c r="T178" s="41"/>
      <c r="U178" s="40">
        <v>25.960049999999995</v>
      </c>
      <c r="V178" s="41"/>
      <c r="W178" s="67">
        <v>7815.0177899999981</v>
      </c>
      <c r="X178" s="44">
        <v>2393.1982900000003</v>
      </c>
      <c r="Y178" s="44">
        <v>5421.8194999999987</v>
      </c>
      <c r="Z178" s="54"/>
      <c r="AA178" s="54"/>
      <c r="AB178" s="54"/>
      <c r="AC178" s="54"/>
    </row>
    <row r="179" spans="1:29" ht="12" customHeight="1" x14ac:dyDescent="0.2">
      <c r="A179" s="49">
        <v>2023</v>
      </c>
      <c r="B179" s="49" t="s">
        <v>6</v>
      </c>
      <c r="C179" s="40">
        <v>0</v>
      </c>
      <c r="D179" s="40">
        <v>0</v>
      </c>
      <c r="E179" s="40">
        <v>0</v>
      </c>
      <c r="F179" s="40">
        <v>0</v>
      </c>
      <c r="G179" s="40">
        <v>834</v>
      </c>
      <c r="H179" s="40">
        <v>244.77356</v>
      </c>
      <c r="I179" s="40">
        <v>6581.4361399999971</v>
      </c>
      <c r="J179" s="67">
        <v>7660.2096999999976</v>
      </c>
      <c r="K179" s="42"/>
      <c r="L179" s="40">
        <v>1040.8457800000001</v>
      </c>
      <c r="M179" s="40">
        <v>47.882989999999999</v>
      </c>
      <c r="N179" s="40">
        <v>0</v>
      </c>
      <c r="O179" s="40">
        <v>0</v>
      </c>
      <c r="P179" s="40">
        <v>108.90281</v>
      </c>
      <c r="Q179" s="40">
        <v>0</v>
      </c>
      <c r="R179" s="40">
        <v>452.85581999999999</v>
      </c>
      <c r="S179" s="67">
        <v>1650.4874000000002</v>
      </c>
      <c r="T179" s="41"/>
      <c r="U179" s="40">
        <v>16.171170000000004</v>
      </c>
      <c r="V179" s="41"/>
      <c r="W179" s="67">
        <v>9326.8682699999972</v>
      </c>
      <c r="X179" s="44">
        <v>1666.6585700000003</v>
      </c>
      <c r="Y179" s="44">
        <v>7660.2096999999976</v>
      </c>
      <c r="Z179" s="54"/>
      <c r="AA179" s="54"/>
      <c r="AB179" s="54"/>
      <c r="AC179" s="54"/>
    </row>
    <row r="180" spans="1:29" ht="12" customHeight="1" x14ac:dyDescent="0.2">
      <c r="A180" s="49">
        <v>2023</v>
      </c>
      <c r="B180" s="49" t="s">
        <v>7</v>
      </c>
      <c r="C180" s="40">
        <v>0</v>
      </c>
      <c r="D180" s="40">
        <v>0</v>
      </c>
      <c r="E180" s="40">
        <v>0</v>
      </c>
      <c r="F180" s="40">
        <v>0</v>
      </c>
      <c r="G180" s="40">
        <v>868</v>
      </c>
      <c r="H180" s="40">
        <v>234.04202000000001</v>
      </c>
      <c r="I180" s="40">
        <v>6226.5198900000005</v>
      </c>
      <c r="J180" s="67">
        <v>7328.5619100000004</v>
      </c>
      <c r="K180" s="42"/>
      <c r="L180" s="40">
        <v>161.50065000000001</v>
      </c>
      <c r="M180" s="40">
        <v>656.08973000000003</v>
      </c>
      <c r="N180" s="40">
        <v>958.37231000000008</v>
      </c>
      <c r="O180" s="40">
        <v>60.071930000000002</v>
      </c>
      <c r="P180" s="40">
        <v>412.40219000000002</v>
      </c>
      <c r="Q180" s="40">
        <v>0</v>
      </c>
      <c r="R180" s="40">
        <v>0</v>
      </c>
      <c r="S180" s="67">
        <v>2248.4368100000002</v>
      </c>
      <c r="T180" s="41"/>
      <c r="U180" s="40">
        <v>5.39</v>
      </c>
      <c r="V180" s="41"/>
      <c r="W180" s="67">
        <v>9582.388719999999</v>
      </c>
      <c r="X180" s="44">
        <v>2253.82681</v>
      </c>
      <c r="Y180" s="44">
        <v>7328.5619100000004</v>
      </c>
      <c r="Z180" s="54"/>
      <c r="AA180" s="54"/>
      <c r="AB180" s="54"/>
      <c r="AC180" s="54"/>
    </row>
    <row r="181" spans="1:29" ht="12" customHeight="1" x14ac:dyDescent="0.2">
      <c r="A181" s="49">
        <v>2023</v>
      </c>
      <c r="B181" s="49" t="s">
        <v>8</v>
      </c>
      <c r="C181" s="40">
        <v>0</v>
      </c>
      <c r="D181" s="40">
        <v>0</v>
      </c>
      <c r="E181" s="40">
        <v>0</v>
      </c>
      <c r="F181" s="40">
        <v>0</v>
      </c>
      <c r="G181" s="40">
        <v>840</v>
      </c>
      <c r="H181" s="40">
        <v>261.99269999999996</v>
      </c>
      <c r="I181" s="40">
        <v>3891.0983800000026</v>
      </c>
      <c r="J181" s="67">
        <v>4993.0910800000029</v>
      </c>
      <c r="K181" s="42"/>
      <c r="L181" s="40">
        <v>97.718959999999996</v>
      </c>
      <c r="M181" s="40">
        <v>52.462629999999997</v>
      </c>
      <c r="N181" s="40">
        <v>125.965</v>
      </c>
      <c r="O181" s="40">
        <v>98.584339999999997</v>
      </c>
      <c r="P181" s="40">
        <v>81.125339999999994</v>
      </c>
      <c r="Q181" s="40">
        <v>0</v>
      </c>
      <c r="R181" s="40">
        <v>37.67</v>
      </c>
      <c r="S181" s="67">
        <v>493.52627000000001</v>
      </c>
      <c r="T181" s="41"/>
      <c r="U181" s="40">
        <v>3.3310599999999995</v>
      </c>
      <c r="V181" s="41"/>
      <c r="W181" s="67">
        <v>5489.9484100000036</v>
      </c>
      <c r="X181" s="44">
        <v>496.85732999999999</v>
      </c>
      <c r="Y181" s="44">
        <v>4993.0910800000029</v>
      </c>
      <c r="Z181" s="54"/>
      <c r="AA181" s="54"/>
      <c r="AB181" s="54"/>
      <c r="AC181" s="54"/>
    </row>
    <row r="182" spans="1:29" ht="12" customHeight="1" x14ac:dyDescent="0.2">
      <c r="A182" s="49">
        <v>2023</v>
      </c>
      <c r="B182" s="49" t="s">
        <v>9</v>
      </c>
      <c r="C182" s="40">
        <v>0</v>
      </c>
      <c r="D182" s="40">
        <v>0</v>
      </c>
      <c r="E182" s="40">
        <v>0</v>
      </c>
      <c r="F182" s="40">
        <v>0</v>
      </c>
      <c r="G182" s="40">
        <v>840</v>
      </c>
      <c r="H182" s="40">
        <v>461.14868000000001</v>
      </c>
      <c r="I182" s="40">
        <v>2010.9614199999996</v>
      </c>
      <c r="J182" s="67">
        <v>3312.1100999999999</v>
      </c>
      <c r="K182" s="42"/>
      <c r="L182" s="40">
        <v>216.77882</v>
      </c>
      <c r="M182" s="40">
        <v>97.94126</v>
      </c>
      <c r="N182" s="40">
        <v>27.609919999999999</v>
      </c>
      <c r="O182" s="40">
        <v>101.67567000000001</v>
      </c>
      <c r="P182" s="40">
        <v>0</v>
      </c>
      <c r="Q182" s="40">
        <v>0</v>
      </c>
      <c r="R182" s="40">
        <v>0</v>
      </c>
      <c r="S182" s="67">
        <v>444.00567000000001</v>
      </c>
      <c r="T182" s="41"/>
      <c r="U182" s="40">
        <v>5.3174999999999999</v>
      </c>
      <c r="V182" s="41"/>
      <c r="W182" s="67">
        <v>3761.43327</v>
      </c>
      <c r="X182" s="44">
        <v>449.32317</v>
      </c>
      <c r="Y182" s="44">
        <v>3312.1100999999999</v>
      </c>
      <c r="Z182" s="54"/>
      <c r="AA182" s="54"/>
      <c r="AB182" s="54"/>
      <c r="AC182" s="54"/>
    </row>
    <row r="183" spans="1:29" ht="12" customHeight="1" x14ac:dyDescent="0.2">
      <c r="A183" s="49">
        <v>2023</v>
      </c>
      <c r="B183" s="49" t="s">
        <v>10</v>
      </c>
      <c r="C183" s="40">
        <v>0</v>
      </c>
      <c r="D183" s="40">
        <v>0</v>
      </c>
      <c r="E183" s="40">
        <v>0</v>
      </c>
      <c r="F183" s="40">
        <v>0</v>
      </c>
      <c r="G183" s="40">
        <v>958</v>
      </c>
      <c r="H183" s="40">
        <v>470.14670000000081</v>
      </c>
      <c r="I183" s="40">
        <v>1143.0598799999998</v>
      </c>
      <c r="J183" s="67">
        <v>2571.2065800000005</v>
      </c>
      <c r="K183" s="42"/>
      <c r="L183" s="40">
        <v>197.13656000000003</v>
      </c>
      <c r="M183" s="40">
        <v>42.620140000000013</v>
      </c>
      <c r="N183" s="40">
        <v>1135.3537099999999</v>
      </c>
      <c r="O183" s="40">
        <v>34.203489999999995</v>
      </c>
      <c r="P183" s="40">
        <v>0</v>
      </c>
      <c r="Q183" s="40">
        <v>0</v>
      </c>
      <c r="R183" s="40">
        <v>904.39562999999998</v>
      </c>
      <c r="S183" s="67">
        <v>2313.7095300000001</v>
      </c>
      <c r="T183" s="41"/>
      <c r="U183" s="40">
        <v>19.153410000000001</v>
      </c>
      <c r="V183" s="41"/>
      <c r="W183" s="67">
        <v>4904.06952</v>
      </c>
      <c r="X183" s="44">
        <v>2332.86294</v>
      </c>
      <c r="Y183" s="44">
        <v>2571.2065800000005</v>
      </c>
      <c r="Z183" s="54"/>
      <c r="AA183" s="54"/>
      <c r="AB183" s="54"/>
      <c r="AC183" s="54"/>
    </row>
    <row r="184" spans="1:29" ht="12" customHeight="1" x14ac:dyDescent="0.2">
      <c r="A184" s="49">
        <v>2023</v>
      </c>
      <c r="B184" s="49" t="s">
        <v>11</v>
      </c>
      <c r="C184" s="40">
        <v>0</v>
      </c>
      <c r="D184" s="40">
        <v>0</v>
      </c>
      <c r="E184" s="40">
        <v>0</v>
      </c>
      <c r="F184" s="40">
        <v>0</v>
      </c>
      <c r="G184" s="40">
        <v>880</v>
      </c>
      <c r="H184" s="40">
        <v>428.43566000000004</v>
      </c>
      <c r="I184" s="40">
        <v>1498.3167900000003</v>
      </c>
      <c r="J184" s="67">
        <v>2806.7524500000004</v>
      </c>
      <c r="K184" s="42"/>
      <c r="L184" s="40">
        <v>327.72151000000002</v>
      </c>
      <c r="M184" s="40">
        <v>29.719720000000002</v>
      </c>
      <c r="N184" s="40">
        <v>0</v>
      </c>
      <c r="O184" s="40">
        <v>63.046910000000004</v>
      </c>
      <c r="P184" s="40">
        <v>110.89107000000001</v>
      </c>
      <c r="Q184" s="40">
        <v>0</v>
      </c>
      <c r="R184" s="40">
        <v>161.85495</v>
      </c>
      <c r="S184" s="67">
        <v>693.23416000000009</v>
      </c>
      <c r="T184" s="41"/>
      <c r="U184" s="40">
        <v>24.5962</v>
      </c>
      <c r="V184" s="41"/>
      <c r="W184" s="67">
        <v>3524.5828100000003</v>
      </c>
      <c r="X184" s="44">
        <v>717.83036000000004</v>
      </c>
      <c r="Y184" s="44">
        <v>2806.7524500000004</v>
      </c>
      <c r="Z184" s="54"/>
      <c r="AA184" s="54"/>
      <c r="AB184" s="54"/>
      <c r="AC184" s="54"/>
    </row>
    <row r="185" spans="1:29" ht="12" customHeight="1" x14ac:dyDescent="0.2">
      <c r="A185" s="49">
        <v>2023</v>
      </c>
      <c r="B185" s="49" t="s">
        <v>12</v>
      </c>
      <c r="C185" s="40">
        <v>0</v>
      </c>
      <c r="D185" s="40">
        <v>0</v>
      </c>
      <c r="E185" s="40">
        <v>0</v>
      </c>
      <c r="F185" s="40">
        <v>0</v>
      </c>
      <c r="G185" s="40">
        <v>806</v>
      </c>
      <c r="H185" s="40">
        <v>525.80962999999997</v>
      </c>
      <c r="I185" s="40">
        <v>2266.8897700000011</v>
      </c>
      <c r="J185" s="67">
        <v>3598.6994000000013</v>
      </c>
      <c r="K185" s="42"/>
      <c r="L185" s="40">
        <v>280.31988999999999</v>
      </c>
      <c r="M185" s="40">
        <v>737.62771999999984</v>
      </c>
      <c r="N185" s="40">
        <v>1.7527300000000001</v>
      </c>
      <c r="O185" s="40">
        <v>0</v>
      </c>
      <c r="P185" s="40">
        <v>17.96968</v>
      </c>
      <c r="Q185" s="40">
        <v>0</v>
      </c>
      <c r="R185" s="40">
        <v>1693.49693</v>
      </c>
      <c r="S185" s="67">
        <v>2731.1669499999998</v>
      </c>
      <c r="T185" s="41"/>
      <c r="U185" s="40">
        <v>20.537980000000005</v>
      </c>
      <c r="V185" s="41"/>
      <c r="W185" s="67">
        <v>6350.4043300000012</v>
      </c>
      <c r="X185" s="44">
        <v>2751.7049299999999</v>
      </c>
      <c r="Y185" s="44">
        <v>3598.6994000000013</v>
      </c>
      <c r="Z185" s="54"/>
      <c r="AA185" s="54"/>
      <c r="AB185" s="54"/>
      <c r="AC185" s="54"/>
    </row>
    <row r="186" spans="1:29" ht="12" customHeight="1" x14ac:dyDescent="0.2">
      <c r="A186" s="49">
        <v>2023</v>
      </c>
      <c r="B186" s="49" t="s">
        <v>13</v>
      </c>
      <c r="C186" s="40">
        <v>0</v>
      </c>
      <c r="D186" s="40">
        <v>0</v>
      </c>
      <c r="E186" s="40">
        <v>0</v>
      </c>
      <c r="F186" s="40">
        <v>0</v>
      </c>
      <c r="G186" s="40">
        <v>600</v>
      </c>
      <c r="H186" s="40">
        <v>678.63978999999995</v>
      </c>
      <c r="I186" s="40">
        <v>3993.6191600000034</v>
      </c>
      <c r="J186" s="67">
        <v>5272.2589500000031</v>
      </c>
      <c r="K186" s="42"/>
      <c r="L186" s="40">
        <v>301.66408000000001</v>
      </c>
      <c r="M186" s="40">
        <v>47.107009999999995</v>
      </c>
      <c r="N186" s="40">
        <v>481.64848000000001</v>
      </c>
      <c r="O186" s="40">
        <v>57.012860000000003</v>
      </c>
      <c r="P186" s="40">
        <v>111.80789</v>
      </c>
      <c r="Q186" s="40">
        <v>0</v>
      </c>
      <c r="R186" s="40">
        <v>1848.1572699999999</v>
      </c>
      <c r="S186" s="67">
        <v>2847.39759</v>
      </c>
      <c r="T186" s="41"/>
      <c r="U186" s="40">
        <v>0</v>
      </c>
      <c r="V186" s="41"/>
      <c r="W186" s="67">
        <v>8119.6565400000036</v>
      </c>
      <c r="X186" s="44">
        <v>2847.39759</v>
      </c>
      <c r="Y186" s="44">
        <v>5272.2589500000031</v>
      </c>
      <c r="Z186" s="54"/>
      <c r="AA186" s="54"/>
      <c r="AB186" s="54"/>
      <c r="AC186" s="54"/>
    </row>
    <row r="187" spans="1:29" ht="12" customHeight="1" x14ac:dyDescent="0.2">
      <c r="A187" s="49">
        <v>2023</v>
      </c>
      <c r="B187" s="49" t="s">
        <v>14</v>
      </c>
      <c r="C187" s="40">
        <v>0</v>
      </c>
      <c r="D187" s="40">
        <v>0</v>
      </c>
      <c r="E187" s="40">
        <v>0</v>
      </c>
      <c r="F187" s="40">
        <v>0</v>
      </c>
      <c r="G187" s="40">
        <v>809</v>
      </c>
      <c r="H187" s="40">
        <v>361.00761000000006</v>
      </c>
      <c r="I187" s="40">
        <v>1486.79071</v>
      </c>
      <c r="J187" s="67">
        <v>2656.7983199999999</v>
      </c>
      <c r="K187" s="42"/>
      <c r="L187" s="40">
        <v>102.75084</v>
      </c>
      <c r="M187" s="40">
        <v>62.468660000000007</v>
      </c>
      <c r="N187" s="40">
        <v>1166.2815000000001</v>
      </c>
      <c r="O187" s="40">
        <v>139.73026999999999</v>
      </c>
      <c r="P187" s="40">
        <v>0</v>
      </c>
      <c r="Q187" s="40">
        <v>2.96529</v>
      </c>
      <c r="R187" s="40">
        <v>0</v>
      </c>
      <c r="S187" s="67">
        <v>1474.1965600000001</v>
      </c>
      <c r="T187" s="41"/>
      <c r="U187" s="40">
        <v>0</v>
      </c>
      <c r="V187" s="41"/>
      <c r="W187" s="67">
        <v>4130.9948800000002</v>
      </c>
      <c r="X187" s="44">
        <v>1474.1965600000001</v>
      </c>
      <c r="Y187" s="44">
        <v>2656.7983199999999</v>
      </c>
      <c r="Z187" s="54"/>
      <c r="AA187" s="54"/>
      <c r="AB187" s="54"/>
      <c r="AC187" s="54"/>
    </row>
    <row r="188" spans="1:29" ht="12" customHeight="1" x14ac:dyDescent="0.2">
      <c r="A188" s="49">
        <v>2023</v>
      </c>
      <c r="B188" s="49" t="s">
        <v>15</v>
      </c>
      <c r="C188" s="81">
        <v>0</v>
      </c>
      <c r="D188" s="80">
        <v>0</v>
      </c>
      <c r="E188" s="80">
        <v>0</v>
      </c>
      <c r="F188" s="80">
        <v>0</v>
      </c>
      <c r="G188" s="80">
        <v>9471</v>
      </c>
      <c r="H188" s="80">
        <v>6457.6198700000004</v>
      </c>
      <c r="I188" s="80">
        <v>37233.146890000011</v>
      </c>
      <c r="J188" s="91">
        <v>53161.766759999999</v>
      </c>
      <c r="K188" s="83"/>
      <c r="L188" s="81">
        <v>5042.5124999999998</v>
      </c>
      <c r="M188" s="80">
        <v>1878.2525699999999</v>
      </c>
      <c r="N188" s="80">
        <v>5241.5751099999998</v>
      </c>
      <c r="O188" s="80">
        <v>1102.6027099999999</v>
      </c>
      <c r="P188" s="80">
        <v>1257.0370399999999</v>
      </c>
      <c r="Q188" s="80">
        <v>2.96529</v>
      </c>
      <c r="R188" s="80">
        <v>7562.3747299999995</v>
      </c>
      <c r="S188" s="91">
        <v>22087.319950000001</v>
      </c>
      <c r="T188" s="92"/>
      <c r="U188" s="80">
        <v>130.03395</v>
      </c>
      <c r="V188" s="92"/>
      <c r="W188" s="91">
        <v>75379.12066</v>
      </c>
      <c r="X188" s="93">
        <v>22217.353900000002</v>
      </c>
      <c r="Y188" s="93">
        <v>53161.766759999999</v>
      </c>
      <c r="Z188" s="54"/>
      <c r="AA188" s="54"/>
      <c r="AB188" s="54"/>
      <c r="AC188" s="54"/>
    </row>
    <row r="189" spans="1:29" ht="12" customHeight="1" x14ac:dyDescent="0.2">
      <c r="A189" s="63">
        <v>2024</v>
      </c>
      <c r="B189" s="50" t="s">
        <v>3</v>
      </c>
      <c r="C189" s="40">
        <v>0</v>
      </c>
      <c r="D189" s="40">
        <v>0</v>
      </c>
      <c r="E189" s="40">
        <v>0</v>
      </c>
      <c r="F189" s="40">
        <v>0</v>
      </c>
      <c r="G189" s="40">
        <v>868</v>
      </c>
      <c r="H189" s="40">
        <v>563.35573999999986</v>
      </c>
      <c r="I189" s="40">
        <v>604.81740999999977</v>
      </c>
      <c r="J189" s="66">
        <v>2036.1731499999996</v>
      </c>
      <c r="K189" s="42"/>
      <c r="L189" s="40">
        <v>300.30877000000004</v>
      </c>
      <c r="M189" s="40">
        <v>62.33614</v>
      </c>
      <c r="N189" s="40">
        <v>1.63476</v>
      </c>
      <c r="O189" s="40">
        <v>684.98009000000002</v>
      </c>
      <c r="P189" s="40">
        <v>0</v>
      </c>
      <c r="Q189" s="40">
        <v>3.4942200000000003</v>
      </c>
      <c r="R189" s="40">
        <v>4.1099199999999998</v>
      </c>
      <c r="S189" s="66">
        <v>1056.8639000000001</v>
      </c>
      <c r="T189" s="41"/>
      <c r="U189" s="40">
        <v>0</v>
      </c>
      <c r="V189" s="41"/>
      <c r="W189" s="66">
        <v>3093.0370499999999</v>
      </c>
      <c r="X189" s="44">
        <v>1056.8639000000001</v>
      </c>
      <c r="Y189" s="44">
        <v>2036.1731499999996</v>
      </c>
      <c r="Z189" s="54"/>
      <c r="AA189" s="54"/>
      <c r="AB189" s="54"/>
      <c r="AC189" s="54"/>
    </row>
    <row r="190" spans="1:29" ht="12" customHeight="1" x14ac:dyDescent="0.2">
      <c r="A190" s="63">
        <v>2024</v>
      </c>
      <c r="B190" s="50" t="s">
        <v>4</v>
      </c>
      <c r="C190" s="40">
        <v>0</v>
      </c>
      <c r="D190" s="40">
        <v>0</v>
      </c>
      <c r="E190" s="40">
        <v>0</v>
      </c>
      <c r="F190" s="40">
        <v>0</v>
      </c>
      <c r="G190" s="40">
        <v>464</v>
      </c>
      <c r="H190" s="40">
        <v>413.06210999999996</v>
      </c>
      <c r="I190" s="40">
        <v>712.18298000000004</v>
      </c>
      <c r="J190" s="66">
        <v>1589.2450899999999</v>
      </c>
      <c r="K190" s="42"/>
      <c r="L190" s="40">
        <v>254.04241999999996</v>
      </c>
      <c r="M190" s="40">
        <v>50.287329999999997</v>
      </c>
      <c r="N190" s="40">
        <v>0</v>
      </c>
      <c r="O190" s="40">
        <v>90.653360000000006</v>
      </c>
      <c r="P190" s="40">
        <v>0</v>
      </c>
      <c r="Q190" s="40">
        <v>4.3022699999999992</v>
      </c>
      <c r="R190" s="40">
        <v>24.86814</v>
      </c>
      <c r="S190" s="66">
        <v>424.15352000000001</v>
      </c>
      <c r="T190" s="41"/>
      <c r="U190" s="40">
        <v>0</v>
      </c>
      <c r="V190" s="41"/>
      <c r="W190" s="66">
        <v>2013.39861</v>
      </c>
      <c r="X190" s="44">
        <v>424.15352000000001</v>
      </c>
      <c r="Y190" s="44">
        <v>1589.2450899999999</v>
      </c>
      <c r="Z190" s="54"/>
      <c r="AA190" s="54"/>
      <c r="AB190" s="54"/>
      <c r="AC190" s="54"/>
    </row>
    <row r="191" spans="1:29" ht="12" customHeight="1" x14ac:dyDescent="0.2">
      <c r="A191" s="63">
        <v>2024</v>
      </c>
      <c r="B191" s="50" t="s">
        <v>5</v>
      </c>
      <c r="C191" s="40">
        <v>0</v>
      </c>
      <c r="D191" s="40">
        <v>0</v>
      </c>
      <c r="E191" s="40">
        <v>0</v>
      </c>
      <c r="F191" s="40">
        <v>0</v>
      </c>
      <c r="G191" s="40">
        <v>712</v>
      </c>
      <c r="H191" s="40">
        <v>639.93132000000003</v>
      </c>
      <c r="I191" s="40">
        <v>1244.6792800000001</v>
      </c>
      <c r="J191" s="66">
        <v>2596.6106</v>
      </c>
      <c r="K191" s="42"/>
      <c r="L191" s="40">
        <v>242.51533000000006</v>
      </c>
      <c r="M191" s="40">
        <v>51.253700000000002</v>
      </c>
      <c r="N191" s="40">
        <v>0.28502</v>
      </c>
      <c r="O191" s="40">
        <v>173.36974000000001</v>
      </c>
      <c r="P191" s="40">
        <v>1.1839999999999999</v>
      </c>
      <c r="Q191" s="40">
        <v>2.8861899999999996</v>
      </c>
      <c r="R191" s="40">
        <v>196.94376</v>
      </c>
      <c r="S191" s="66">
        <v>668.43774000000008</v>
      </c>
      <c r="T191" s="41"/>
      <c r="U191" s="40">
        <v>0</v>
      </c>
      <c r="V191" s="41"/>
      <c r="W191" s="66">
        <v>3265.0483400000003</v>
      </c>
      <c r="X191" s="44">
        <v>668.43774000000008</v>
      </c>
      <c r="Y191" s="44">
        <v>2596.6106</v>
      </c>
      <c r="Z191" s="54"/>
      <c r="AA191" s="54"/>
      <c r="AB191" s="54"/>
      <c r="AC191" s="54"/>
    </row>
    <row r="192" spans="1:29" ht="12" customHeight="1" x14ac:dyDescent="0.2">
      <c r="A192" s="63">
        <v>2024</v>
      </c>
      <c r="B192" s="50" t="s">
        <v>6</v>
      </c>
      <c r="C192" s="40">
        <v>0</v>
      </c>
      <c r="D192" s="40">
        <v>0</v>
      </c>
      <c r="E192" s="40">
        <v>0</v>
      </c>
      <c r="F192" s="40">
        <v>0</v>
      </c>
      <c r="G192" s="40">
        <v>780</v>
      </c>
      <c r="H192" s="40">
        <v>321.92197000000004</v>
      </c>
      <c r="I192" s="40">
        <v>977.9688000000001</v>
      </c>
      <c r="J192" s="66">
        <v>2079.89077</v>
      </c>
      <c r="K192" s="42"/>
      <c r="L192" s="40">
        <v>338.25083000000001</v>
      </c>
      <c r="M192" s="40">
        <v>58.786610000000003</v>
      </c>
      <c r="N192" s="40">
        <v>25.294460000000004</v>
      </c>
      <c r="O192" s="40">
        <v>38.53877</v>
      </c>
      <c r="P192" s="40">
        <v>92.29807000000001</v>
      </c>
      <c r="Q192" s="40">
        <v>323.10658999999998</v>
      </c>
      <c r="R192" s="40">
        <v>1.7457199999999997</v>
      </c>
      <c r="S192" s="66">
        <v>878.02105000000006</v>
      </c>
      <c r="T192" s="41"/>
      <c r="U192" s="40">
        <v>0</v>
      </c>
      <c r="V192" s="41"/>
      <c r="W192" s="66">
        <v>2957.9118200000003</v>
      </c>
      <c r="X192" s="44">
        <v>878.02105000000006</v>
      </c>
      <c r="Y192" s="44">
        <v>2079.89077</v>
      </c>
      <c r="Z192" s="54"/>
      <c r="AA192" s="54"/>
      <c r="AB192" s="54"/>
      <c r="AC192" s="54"/>
    </row>
    <row r="193" spans="1:29" ht="12" customHeight="1" x14ac:dyDescent="0.2">
      <c r="A193" s="63">
        <v>2024</v>
      </c>
      <c r="B193" s="50" t="s">
        <v>7</v>
      </c>
      <c r="C193" s="40">
        <v>0</v>
      </c>
      <c r="D193" s="40">
        <v>0</v>
      </c>
      <c r="E193" s="40">
        <v>0</v>
      </c>
      <c r="F193" s="40">
        <v>0</v>
      </c>
      <c r="G193" s="40">
        <v>822</v>
      </c>
      <c r="H193" s="40">
        <v>297.65474999999998</v>
      </c>
      <c r="I193" s="40">
        <v>931.15256999999986</v>
      </c>
      <c r="J193" s="66">
        <v>2050.8073199999999</v>
      </c>
      <c r="K193" s="42"/>
      <c r="L193" s="40">
        <v>293.62526000000008</v>
      </c>
      <c r="M193" s="40">
        <v>64.394959999999998</v>
      </c>
      <c r="N193" s="40">
        <v>0.78179999999999994</v>
      </c>
      <c r="O193" s="40">
        <v>216.04900000000001</v>
      </c>
      <c r="P193" s="40">
        <v>929.19567000000006</v>
      </c>
      <c r="Q193" s="40">
        <v>0.89081999999999995</v>
      </c>
      <c r="R193" s="40">
        <v>0</v>
      </c>
      <c r="S193" s="66">
        <v>1504.9375100000002</v>
      </c>
      <c r="T193" s="41"/>
      <c r="U193" s="40">
        <v>0</v>
      </c>
      <c r="V193" s="41"/>
      <c r="W193" s="66">
        <v>3555.7448300000001</v>
      </c>
      <c r="X193" s="44">
        <v>1504.9375100000002</v>
      </c>
      <c r="Y193" s="44">
        <v>2050.8073199999999</v>
      </c>
      <c r="Z193" s="54"/>
      <c r="AA193" s="54"/>
      <c r="AB193" s="54"/>
      <c r="AC193" s="54"/>
    </row>
    <row r="194" spans="1:29" ht="12" customHeight="1" x14ac:dyDescent="0.2">
      <c r="A194" s="63">
        <v>2024</v>
      </c>
      <c r="B194" s="50" t="s">
        <v>8</v>
      </c>
      <c r="C194" s="40">
        <v>0</v>
      </c>
      <c r="D194" s="40">
        <v>0</v>
      </c>
      <c r="E194" s="40">
        <v>0</v>
      </c>
      <c r="F194" s="40">
        <v>0</v>
      </c>
      <c r="G194" s="40">
        <v>798</v>
      </c>
      <c r="H194" s="40">
        <v>269.33433999999994</v>
      </c>
      <c r="I194" s="40">
        <v>1036.7963999999999</v>
      </c>
      <c r="J194" s="66">
        <v>2104.1307399999996</v>
      </c>
      <c r="K194" s="42"/>
      <c r="L194" s="40">
        <v>327.55489999999992</v>
      </c>
      <c r="M194" s="40">
        <v>61.383499999999998</v>
      </c>
      <c r="N194" s="40">
        <v>0.30246000000000001</v>
      </c>
      <c r="O194" s="40">
        <v>244.75549000000001</v>
      </c>
      <c r="P194" s="40">
        <v>209.69921999999997</v>
      </c>
      <c r="Q194" s="40">
        <v>2.07925</v>
      </c>
      <c r="R194" s="40">
        <v>1075.69165</v>
      </c>
      <c r="S194" s="66">
        <v>1921.4664699999998</v>
      </c>
      <c r="T194" s="41"/>
      <c r="U194" s="40">
        <v>0</v>
      </c>
      <c r="V194" s="41"/>
      <c r="W194" s="66">
        <v>4025.5972099999994</v>
      </c>
      <c r="X194" s="44">
        <v>1921.4664699999998</v>
      </c>
      <c r="Y194" s="44">
        <v>2104.1307399999996</v>
      </c>
      <c r="Z194" s="54"/>
      <c r="AA194" s="54"/>
      <c r="AB194" s="54"/>
      <c r="AC194" s="54"/>
    </row>
    <row r="195" spans="1:29" ht="12" customHeight="1" x14ac:dyDescent="0.2">
      <c r="A195" s="63">
        <v>2024</v>
      </c>
      <c r="B195" s="50" t="s">
        <v>9</v>
      </c>
      <c r="C195" s="40">
        <v>0</v>
      </c>
      <c r="D195" s="40">
        <v>0</v>
      </c>
      <c r="E195" s="40">
        <v>0</v>
      </c>
      <c r="F195" s="40">
        <v>0</v>
      </c>
      <c r="G195" s="40">
        <v>854</v>
      </c>
      <c r="H195" s="40">
        <v>247.71912</v>
      </c>
      <c r="I195" s="40">
        <v>1283.0145500000003</v>
      </c>
      <c r="J195" s="66">
        <v>2384.7336700000005</v>
      </c>
      <c r="K195" s="42"/>
      <c r="L195" s="40">
        <v>341.49243999999987</v>
      </c>
      <c r="M195" s="40">
        <v>59.509009999999996</v>
      </c>
      <c r="N195" s="40">
        <v>1102.1188500000001</v>
      </c>
      <c r="O195" s="40">
        <v>232.60397000000003</v>
      </c>
      <c r="P195" s="40">
        <v>0</v>
      </c>
      <c r="Q195" s="40">
        <v>679.61777000000006</v>
      </c>
      <c r="R195" s="40">
        <v>884.63814000000002</v>
      </c>
      <c r="S195" s="66">
        <v>3299.9801800000005</v>
      </c>
      <c r="T195" s="41"/>
      <c r="U195" s="40">
        <v>0</v>
      </c>
      <c r="V195" s="41"/>
      <c r="W195" s="66">
        <v>5684.713850000001</v>
      </c>
      <c r="X195" s="44">
        <v>3299.9801800000005</v>
      </c>
      <c r="Y195" s="44">
        <v>2384.7336700000005</v>
      </c>
      <c r="Z195" s="54"/>
      <c r="AA195" s="54"/>
      <c r="AB195" s="54"/>
      <c r="AC195" s="54"/>
    </row>
    <row r="196" spans="1:29" ht="12" customHeight="1" x14ac:dyDescent="0.2">
      <c r="A196" s="63">
        <v>2024</v>
      </c>
      <c r="B196" s="50" t="s">
        <v>10</v>
      </c>
      <c r="C196" s="40">
        <v>0</v>
      </c>
      <c r="D196" s="40">
        <v>0</v>
      </c>
      <c r="E196" s="40">
        <v>0</v>
      </c>
      <c r="F196" s="40">
        <v>0</v>
      </c>
      <c r="G196" s="40">
        <v>992</v>
      </c>
      <c r="H196" s="40">
        <v>183.68778000000006</v>
      </c>
      <c r="I196" s="40">
        <v>615.12298999999996</v>
      </c>
      <c r="J196" s="66">
        <v>1790.81077</v>
      </c>
      <c r="K196" s="42"/>
      <c r="L196" s="40">
        <v>220.57560000000004</v>
      </c>
      <c r="M196" s="40">
        <v>60.371409999999997</v>
      </c>
      <c r="N196" s="40">
        <v>0</v>
      </c>
      <c r="O196" s="40">
        <v>171.12407000000002</v>
      </c>
      <c r="P196" s="40">
        <v>0</v>
      </c>
      <c r="Q196" s="40">
        <v>131.80591000000001</v>
      </c>
      <c r="R196" s="40">
        <v>0</v>
      </c>
      <c r="S196" s="66">
        <v>583.87699000000009</v>
      </c>
      <c r="T196" s="41"/>
      <c r="U196" s="40">
        <v>0</v>
      </c>
      <c r="V196" s="41"/>
      <c r="W196" s="66">
        <v>2374.6877600000003</v>
      </c>
      <c r="X196" s="44">
        <v>583.87699000000009</v>
      </c>
      <c r="Y196" s="44">
        <v>1790.81077</v>
      </c>
      <c r="Z196" s="54"/>
      <c r="AA196" s="54"/>
      <c r="AB196" s="54"/>
      <c r="AC196" s="54"/>
    </row>
    <row r="197" spans="1:29" ht="12" customHeight="1" x14ac:dyDescent="0.2">
      <c r="A197" s="63">
        <v>2024</v>
      </c>
      <c r="B197" s="50" t="s">
        <v>11</v>
      </c>
      <c r="C197" s="40">
        <v>0</v>
      </c>
      <c r="D197" s="40">
        <v>0</v>
      </c>
      <c r="E197" s="40">
        <v>0</v>
      </c>
      <c r="F197" s="40">
        <v>0</v>
      </c>
      <c r="G197" s="40">
        <v>900</v>
      </c>
      <c r="H197" s="40">
        <v>244.35682</v>
      </c>
      <c r="I197" s="40">
        <v>499.96648999999996</v>
      </c>
      <c r="J197" s="66">
        <v>1644.32331</v>
      </c>
      <c r="K197" s="42"/>
      <c r="L197" s="40">
        <v>423.9982</v>
      </c>
      <c r="M197" s="40">
        <v>62.377820000000007</v>
      </c>
      <c r="N197" s="40">
        <v>3.1604800000000002</v>
      </c>
      <c r="O197" s="40">
        <v>282.28306999999995</v>
      </c>
      <c r="P197" s="40">
        <v>30.416</v>
      </c>
      <c r="Q197" s="40">
        <v>2.9805699999999997</v>
      </c>
      <c r="R197" s="40">
        <v>3.0283600000000002</v>
      </c>
      <c r="S197" s="66">
        <v>808.2444999999999</v>
      </c>
      <c r="T197" s="41"/>
      <c r="U197" s="40">
        <v>0</v>
      </c>
      <c r="V197" s="41"/>
      <c r="W197" s="66">
        <v>2452.56781</v>
      </c>
      <c r="X197" s="44">
        <v>808.2444999999999</v>
      </c>
      <c r="Y197" s="44">
        <v>1644.32331</v>
      </c>
      <c r="Z197" s="54"/>
      <c r="AA197" s="54"/>
      <c r="AB197" s="54"/>
      <c r="AC197" s="54"/>
    </row>
    <row r="198" spans="1:29" ht="12" customHeight="1" x14ac:dyDescent="0.2">
      <c r="A198" s="63">
        <v>2024</v>
      </c>
      <c r="B198" s="50" t="s">
        <v>12</v>
      </c>
      <c r="C198" s="40">
        <v>0</v>
      </c>
      <c r="D198" s="40">
        <v>0</v>
      </c>
      <c r="E198" s="40">
        <v>0</v>
      </c>
      <c r="F198" s="40">
        <v>0</v>
      </c>
      <c r="G198" s="40">
        <v>930</v>
      </c>
      <c r="H198" s="40">
        <v>307.61882999999995</v>
      </c>
      <c r="I198" s="40">
        <v>416.37214999999998</v>
      </c>
      <c r="J198" s="66">
        <v>1653.9909799999998</v>
      </c>
      <c r="K198" s="42"/>
      <c r="L198" s="40">
        <v>264.60401000000002</v>
      </c>
      <c r="M198" s="40">
        <v>66.827970000000008</v>
      </c>
      <c r="N198" s="40">
        <v>0.29855000000000004</v>
      </c>
      <c r="O198" s="40">
        <v>95.852159999999998</v>
      </c>
      <c r="P198" s="40">
        <v>98.537120000000002</v>
      </c>
      <c r="Q198" s="40">
        <v>0.58884999999999998</v>
      </c>
      <c r="R198" s="40">
        <v>0.55535000000000001</v>
      </c>
      <c r="S198" s="66">
        <v>527.26400999999987</v>
      </c>
      <c r="T198" s="41"/>
      <c r="U198" s="40">
        <v>0</v>
      </c>
      <c r="V198" s="41"/>
      <c r="W198" s="66">
        <v>2181.2549899999995</v>
      </c>
      <c r="X198" s="44">
        <v>527.26400999999987</v>
      </c>
      <c r="Y198" s="44">
        <v>1653.9909799999998</v>
      </c>
      <c r="Z198" s="54"/>
      <c r="AA198" s="54"/>
      <c r="AB198" s="54"/>
      <c r="AC198" s="54"/>
    </row>
    <row r="199" spans="1:29" ht="12" customHeight="1" x14ac:dyDescent="0.2">
      <c r="A199" s="63">
        <v>2024</v>
      </c>
      <c r="B199" s="50" t="s">
        <v>13</v>
      </c>
      <c r="C199" s="40">
        <v>0</v>
      </c>
      <c r="D199" s="40">
        <v>0</v>
      </c>
      <c r="E199" s="40">
        <v>0</v>
      </c>
      <c r="F199" s="40">
        <v>0</v>
      </c>
      <c r="G199" s="40">
        <v>928</v>
      </c>
      <c r="H199" s="40">
        <v>248.83872</v>
      </c>
      <c r="I199" s="40">
        <v>253.73863</v>
      </c>
      <c r="J199" s="66">
        <v>1430.57735</v>
      </c>
      <c r="K199" s="42"/>
      <c r="L199" s="40">
        <v>326.60462999999999</v>
      </c>
      <c r="M199" s="40">
        <v>52.224059999999994</v>
      </c>
      <c r="N199" s="40">
        <v>2.3517100000000002</v>
      </c>
      <c r="O199" s="40">
        <v>1277.6317200000003</v>
      </c>
      <c r="P199" s="40">
        <v>0</v>
      </c>
      <c r="Q199" s="40">
        <v>0.28499999999999998</v>
      </c>
      <c r="R199" s="40">
        <v>4.1301600000000001</v>
      </c>
      <c r="S199" s="66">
        <v>1663.2272800000003</v>
      </c>
      <c r="T199" s="41"/>
      <c r="U199" s="40">
        <v>0</v>
      </c>
      <c r="V199" s="41"/>
      <c r="W199" s="66">
        <v>3093.8046300000005</v>
      </c>
      <c r="X199" s="44">
        <v>1663.2272800000003</v>
      </c>
      <c r="Y199" s="44">
        <v>1430.57735</v>
      </c>
      <c r="Z199" s="54"/>
      <c r="AA199" s="54"/>
      <c r="AB199" s="54"/>
      <c r="AC199" s="54"/>
    </row>
    <row r="200" spans="1:29" ht="12" customHeight="1" x14ac:dyDescent="0.2">
      <c r="A200" s="63">
        <v>2024</v>
      </c>
      <c r="B200" s="50" t="s">
        <v>14</v>
      </c>
      <c r="C200" s="40">
        <v>0</v>
      </c>
      <c r="D200" s="40">
        <v>0</v>
      </c>
      <c r="E200" s="40">
        <v>0</v>
      </c>
      <c r="F200" s="40">
        <v>0</v>
      </c>
      <c r="G200" s="40">
        <v>655</v>
      </c>
      <c r="H200" s="40">
        <v>318.03608999999994</v>
      </c>
      <c r="I200" s="40">
        <v>132.64302999999998</v>
      </c>
      <c r="J200" s="66">
        <v>1105.67912</v>
      </c>
      <c r="K200" s="42"/>
      <c r="L200" s="40">
        <v>97.10566</v>
      </c>
      <c r="M200" s="40">
        <v>48.146949999999997</v>
      </c>
      <c r="N200" s="40">
        <v>170.67346000000001</v>
      </c>
      <c r="O200" s="40">
        <v>221.6782</v>
      </c>
      <c r="P200" s="40">
        <v>39.16339</v>
      </c>
      <c r="Q200" s="40">
        <v>1.1428099999999999</v>
      </c>
      <c r="R200" s="40">
        <v>3.6129600000000002</v>
      </c>
      <c r="S200" s="66">
        <v>581.52343000000019</v>
      </c>
      <c r="T200" s="41"/>
      <c r="U200" s="40">
        <v>0</v>
      </c>
      <c r="V200" s="41"/>
      <c r="W200" s="66">
        <v>1687.2025500000002</v>
      </c>
      <c r="X200" s="44">
        <v>581.52343000000019</v>
      </c>
      <c r="Y200" s="44">
        <v>1105.67912</v>
      </c>
      <c r="Z200" s="54"/>
      <c r="AA200" s="54"/>
      <c r="AB200" s="54"/>
      <c r="AC200" s="54"/>
    </row>
    <row r="201" spans="1:29" ht="12" customHeight="1" x14ac:dyDescent="0.2">
      <c r="A201" s="63">
        <v>2024</v>
      </c>
      <c r="B201" s="50" t="s">
        <v>15</v>
      </c>
      <c r="C201" s="40">
        <v>0</v>
      </c>
      <c r="D201" s="99">
        <v>0</v>
      </c>
      <c r="E201" s="99">
        <v>0</v>
      </c>
      <c r="F201" s="99">
        <v>0</v>
      </c>
      <c r="G201" s="80">
        <v>9703</v>
      </c>
      <c r="H201" s="80">
        <v>4055.5175900000004</v>
      </c>
      <c r="I201" s="80">
        <v>8708.4552799999983</v>
      </c>
      <c r="J201" s="97">
        <v>22466.972869999998</v>
      </c>
      <c r="K201" s="100"/>
      <c r="L201" s="80">
        <v>3430.67805</v>
      </c>
      <c r="M201" s="80">
        <v>697.89945999999998</v>
      </c>
      <c r="N201" s="80">
        <v>1306.90155</v>
      </c>
      <c r="O201" s="80">
        <v>3729.5196400000004</v>
      </c>
      <c r="P201" s="80">
        <v>1400.4934699999999</v>
      </c>
      <c r="Q201" s="80">
        <v>1153.1802500000003</v>
      </c>
      <c r="R201" s="80">
        <v>2199.3241600000001</v>
      </c>
      <c r="S201" s="66">
        <v>13917.996580000003</v>
      </c>
      <c r="T201" s="41"/>
      <c r="U201" s="80">
        <v>0</v>
      </c>
      <c r="V201" s="41"/>
      <c r="W201" s="66">
        <v>36384.969450000004</v>
      </c>
      <c r="X201" s="44">
        <v>13917.996580000003</v>
      </c>
      <c r="Y201" s="44">
        <v>22466.972869999998</v>
      </c>
      <c r="Z201" s="54"/>
      <c r="AA201" s="54"/>
      <c r="AB201" s="54"/>
      <c r="AC201" s="54"/>
    </row>
    <row r="202" spans="1:29" x14ac:dyDescent="0.2">
      <c r="A202" s="49">
        <v>2025</v>
      </c>
      <c r="B202" s="49" t="s">
        <v>3</v>
      </c>
      <c r="C202" s="40">
        <v>0</v>
      </c>
      <c r="D202" s="40">
        <v>0</v>
      </c>
      <c r="E202" s="40">
        <v>0</v>
      </c>
      <c r="F202" s="40">
        <v>0</v>
      </c>
      <c r="G202" s="40">
        <v>672</v>
      </c>
      <c r="H202" s="40">
        <v>420.06531000000007</v>
      </c>
      <c r="I202" s="40">
        <v>1415.3804799999996</v>
      </c>
      <c r="J202" s="67">
        <v>2507.4457899999998</v>
      </c>
      <c r="K202" s="42"/>
      <c r="L202" s="40">
        <v>98.579979999999992</v>
      </c>
      <c r="M202" s="40">
        <v>57.784730000000003</v>
      </c>
      <c r="N202" s="40">
        <v>151.01521</v>
      </c>
      <c r="O202" s="40">
        <v>239.96322000000001</v>
      </c>
      <c r="P202" s="40">
        <v>1.5139499999999999</v>
      </c>
      <c r="Q202" s="40">
        <v>0</v>
      </c>
      <c r="R202" s="40">
        <v>0</v>
      </c>
      <c r="S202" s="67">
        <v>548.85708999999997</v>
      </c>
      <c r="T202" s="41"/>
      <c r="U202" s="40">
        <v>0</v>
      </c>
      <c r="V202" s="41"/>
      <c r="W202" s="67">
        <v>3056.3028799999997</v>
      </c>
      <c r="X202" s="44">
        <v>548.85708999999997</v>
      </c>
      <c r="Y202" s="44">
        <v>2507.4457899999998</v>
      </c>
      <c r="Z202" s="54"/>
      <c r="AA202" s="54"/>
      <c r="AB202" s="54"/>
      <c r="AC202" s="54"/>
    </row>
    <row r="203" spans="1:29" x14ac:dyDescent="0.2">
      <c r="A203" s="49">
        <v>2025</v>
      </c>
      <c r="B203" s="49" t="s">
        <v>4</v>
      </c>
      <c r="C203" s="40">
        <v>0</v>
      </c>
      <c r="D203" s="40">
        <v>0</v>
      </c>
      <c r="E203" s="40">
        <v>0</v>
      </c>
      <c r="F203" s="40">
        <v>0</v>
      </c>
      <c r="G203" s="40">
        <v>700</v>
      </c>
      <c r="H203" s="40">
        <v>332.11745000000002</v>
      </c>
      <c r="I203" s="40">
        <v>2433.3665300000039</v>
      </c>
      <c r="J203" s="67">
        <v>3465.4839800000036</v>
      </c>
      <c r="K203" s="42"/>
      <c r="L203" s="40">
        <v>288.46147000000002</v>
      </c>
      <c r="M203" s="40">
        <v>57.008069999999989</v>
      </c>
      <c r="N203" s="40">
        <v>103.05789999999999</v>
      </c>
      <c r="O203" s="40">
        <v>211.93556000000001</v>
      </c>
      <c r="P203" s="40">
        <v>56.829879999999996</v>
      </c>
      <c r="Q203" s="40">
        <v>0</v>
      </c>
      <c r="R203" s="40">
        <v>55.261760000000002</v>
      </c>
      <c r="S203" s="67">
        <v>772.55463999999995</v>
      </c>
      <c r="T203" s="41"/>
      <c r="U203" s="40">
        <v>0</v>
      </c>
      <c r="V203" s="41"/>
      <c r="W203" s="67">
        <v>4238.0386200000039</v>
      </c>
      <c r="X203" s="44">
        <v>772.55463999999995</v>
      </c>
      <c r="Y203" s="44">
        <v>3465.4839800000036</v>
      </c>
      <c r="Z203" s="54"/>
      <c r="AA203" s="54"/>
      <c r="AB203" s="54"/>
      <c r="AC203" s="54"/>
    </row>
    <row r="204" spans="1:29" x14ac:dyDescent="0.2">
      <c r="A204" s="49">
        <v>2025</v>
      </c>
      <c r="B204" s="49" t="s">
        <v>5</v>
      </c>
      <c r="C204" s="40">
        <v>0</v>
      </c>
      <c r="D204" s="40">
        <v>0</v>
      </c>
      <c r="E204" s="40">
        <v>0</v>
      </c>
      <c r="F204" s="40">
        <v>0</v>
      </c>
      <c r="G204" s="40">
        <v>956</v>
      </c>
      <c r="H204" s="40">
        <v>1148.18129</v>
      </c>
      <c r="I204" s="40">
        <v>753.89354000000014</v>
      </c>
      <c r="J204" s="67">
        <v>2858.07483</v>
      </c>
      <c r="K204" s="42"/>
      <c r="L204" s="40">
        <v>275.50758000000002</v>
      </c>
      <c r="M204" s="40">
        <v>65.87372000000002</v>
      </c>
      <c r="N204" s="40">
        <v>192.32213000000002</v>
      </c>
      <c r="O204" s="40">
        <v>230.19191000000001</v>
      </c>
      <c r="P204" s="40">
        <v>70.230180000000004</v>
      </c>
      <c r="Q204" s="40">
        <v>3.6732699999999996</v>
      </c>
      <c r="R204" s="40">
        <v>2.5705100000000001</v>
      </c>
      <c r="S204" s="67">
        <v>840.36930000000007</v>
      </c>
      <c r="T204" s="41"/>
      <c r="U204" s="40">
        <v>0</v>
      </c>
      <c r="V204" s="41"/>
      <c r="W204" s="67">
        <v>3698.4441299999999</v>
      </c>
      <c r="X204" s="44">
        <v>840.36930000000007</v>
      </c>
      <c r="Y204" s="44">
        <v>2858.07483</v>
      </c>
      <c r="Z204" s="54"/>
      <c r="AA204" s="54"/>
      <c r="AB204" s="54"/>
      <c r="AC204" s="54"/>
    </row>
    <row r="205" spans="1:29" x14ac:dyDescent="0.2">
      <c r="A205" s="49">
        <v>2025</v>
      </c>
      <c r="B205" s="49" t="s">
        <v>6</v>
      </c>
      <c r="C205" s="40">
        <v>0</v>
      </c>
      <c r="D205" s="40">
        <v>0</v>
      </c>
      <c r="E205" s="40">
        <v>0</v>
      </c>
      <c r="F205" s="40">
        <v>0</v>
      </c>
      <c r="G205" s="40">
        <v>738</v>
      </c>
      <c r="H205" s="40">
        <v>210.86197999999999</v>
      </c>
      <c r="I205" s="40">
        <v>4415.4650500000016</v>
      </c>
      <c r="J205" s="67">
        <v>5364.3270300000013</v>
      </c>
      <c r="K205" s="42"/>
      <c r="L205" s="40">
        <v>159.80300000000003</v>
      </c>
      <c r="M205" s="40">
        <v>58.529660000000007</v>
      </c>
      <c r="N205" s="40">
        <v>333.83481</v>
      </c>
      <c r="O205" s="40">
        <v>189.93201999999999</v>
      </c>
      <c r="P205" s="40">
        <v>129.41696999999999</v>
      </c>
      <c r="Q205" s="40">
        <v>3.2804199999999999</v>
      </c>
      <c r="R205" s="40">
        <v>231.78294000000002</v>
      </c>
      <c r="S205" s="67">
        <v>1106.5798200000002</v>
      </c>
      <c r="T205" s="41"/>
      <c r="U205" s="40">
        <v>0</v>
      </c>
      <c r="V205" s="41"/>
      <c r="W205" s="67">
        <v>6470.9068500000012</v>
      </c>
      <c r="X205" s="44">
        <v>1106.5798200000002</v>
      </c>
      <c r="Y205" s="44">
        <v>5364.3270300000013</v>
      </c>
      <c r="Z205" s="54"/>
      <c r="AA205" s="54"/>
      <c r="AB205" s="54"/>
      <c r="AC205" s="54"/>
    </row>
    <row r="206" spans="1:29" x14ac:dyDescent="0.2">
      <c r="A206" s="49">
        <v>2025</v>
      </c>
      <c r="B206" s="49" t="s">
        <v>7</v>
      </c>
      <c r="C206" s="40">
        <v>0</v>
      </c>
      <c r="D206" s="40">
        <v>0</v>
      </c>
      <c r="E206" s="40">
        <v>0</v>
      </c>
      <c r="F206" s="40">
        <v>0</v>
      </c>
      <c r="G206" s="40">
        <v>823</v>
      </c>
      <c r="H206" s="40">
        <v>231.18607000000003</v>
      </c>
      <c r="I206" s="40">
        <v>1431.7793700000002</v>
      </c>
      <c r="J206" s="67">
        <v>2485.9654399999999</v>
      </c>
      <c r="K206" s="42"/>
      <c r="L206" s="40">
        <v>497.03448999999995</v>
      </c>
      <c r="M206" s="40">
        <v>49.085239999999999</v>
      </c>
      <c r="N206" s="40">
        <v>2.6535799999999998</v>
      </c>
      <c r="O206" s="40">
        <v>509.97526999999991</v>
      </c>
      <c r="P206" s="40">
        <v>55.06344</v>
      </c>
      <c r="Q206" s="40">
        <v>1.0883399999999999</v>
      </c>
      <c r="R206" s="40">
        <v>208.95538999999999</v>
      </c>
      <c r="S206" s="67">
        <v>1323.8557499999999</v>
      </c>
      <c r="T206" s="41"/>
      <c r="U206" s="40">
        <v>0</v>
      </c>
      <c r="V206" s="41"/>
      <c r="W206" s="67">
        <v>3809.8211899999997</v>
      </c>
      <c r="X206" s="44">
        <v>1323.8557499999999</v>
      </c>
      <c r="Y206" s="44">
        <v>2485.9654399999999</v>
      </c>
      <c r="Z206" s="54"/>
      <c r="AA206" s="54"/>
      <c r="AB206" s="54"/>
      <c r="AC206" s="54"/>
    </row>
    <row r="207" spans="1:29" x14ac:dyDescent="0.2">
      <c r="A207" s="49">
        <v>2025</v>
      </c>
      <c r="B207" s="49" t="s">
        <v>8</v>
      </c>
      <c r="C207" s="40">
        <v>0</v>
      </c>
      <c r="D207" s="40">
        <v>0</v>
      </c>
      <c r="E207" s="40">
        <v>0</v>
      </c>
      <c r="F207" s="40">
        <v>0</v>
      </c>
      <c r="G207" s="40">
        <v>858</v>
      </c>
      <c r="H207" s="40">
        <v>176.28126000000009</v>
      </c>
      <c r="I207" s="40">
        <v>224.00460999999999</v>
      </c>
      <c r="J207" s="67">
        <v>1258.2858700000002</v>
      </c>
      <c r="K207" s="42"/>
      <c r="L207" s="40">
        <v>254.09298999999999</v>
      </c>
      <c r="M207" s="40">
        <v>51.7072</v>
      </c>
      <c r="N207" s="40">
        <v>154.52720000000002</v>
      </c>
      <c r="O207" s="40">
        <v>281.96683000000002</v>
      </c>
      <c r="P207" s="40">
        <v>57.230230000000006</v>
      </c>
      <c r="Q207" s="40">
        <v>1.1552100000000001</v>
      </c>
      <c r="R207" s="40">
        <v>372.76665000000003</v>
      </c>
      <c r="S207" s="67">
        <v>1173.44631</v>
      </c>
      <c r="T207" s="41"/>
      <c r="U207" s="40">
        <v>0</v>
      </c>
      <c r="V207" s="41"/>
      <c r="W207" s="67">
        <v>2431.73218</v>
      </c>
      <c r="X207" s="44">
        <v>1173.44631</v>
      </c>
      <c r="Y207" s="44">
        <v>1258.2858700000002</v>
      </c>
      <c r="Z207" s="54"/>
      <c r="AA207" s="54"/>
      <c r="AB207" s="54"/>
      <c r="AC207" s="54"/>
    </row>
    <row r="208" spans="1:29" x14ac:dyDescent="0.2">
      <c r="A208" s="49">
        <v>2025</v>
      </c>
      <c r="B208" s="49" t="s">
        <v>9</v>
      </c>
      <c r="C208" s="40">
        <v>0</v>
      </c>
      <c r="D208" s="40">
        <v>0</v>
      </c>
      <c r="E208" s="40">
        <v>0</v>
      </c>
      <c r="F208" s="40">
        <v>0</v>
      </c>
      <c r="G208" s="40">
        <v>992</v>
      </c>
      <c r="H208" s="40">
        <v>642.18342999999959</v>
      </c>
      <c r="I208" s="40">
        <v>59.592429999999993</v>
      </c>
      <c r="J208" s="67">
        <v>1693.7758599999995</v>
      </c>
      <c r="K208" s="42"/>
      <c r="L208" s="40">
        <v>267.29300000000006</v>
      </c>
      <c r="M208" s="40">
        <v>54.540309999999998</v>
      </c>
      <c r="N208" s="40">
        <v>282.76974999999999</v>
      </c>
      <c r="O208" s="40">
        <v>141.21375</v>
      </c>
      <c r="P208" s="40">
        <v>27.966529999999999</v>
      </c>
      <c r="Q208" s="40">
        <v>0</v>
      </c>
      <c r="R208" s="40">
        <v>2.8132899999999998</v>
      </c>
      <c r="S208" s="67">
        <v>776.59663000000012</v>
      </c>
      <c r="T208" s="41"/>
      <c r="U208" s="40">
        <v>0</v>
      </c>
      <c r="V208" s="41"/>
      <c r="W208" s="67">
        <v>2470.3724899999997</v>
      </c>
      <c r="X208" s="44">
        <v>776.59663000000012</v>
      </c>
      <c r="Y208" s="44">
        <v>1693.7758599999995</v>
      </c>
      <c r="Z208" s="54"/>
      <c r="AA208" s="54"/>
      <c r="AB208" s="54"/>
      <c r="AC208" s="54"/>
    </row>
    <row r="209" spans="1:29" x14ac:dyDescent="0.2">
      <c r="A209" s="49">
        <v>2025</v>
      </c>
      <c r="B209" s="49" t="s">
        <v>10</v>
      </c>
      <c r="C209" s="40">
        <v>0</v>
      </c>
      <c r="D209" s="40">
        <v>0</v>
      </c>
      <c r="E209" s="40">
        <v>0</v>
      </c>
      <c r="F209" s="40">
        <v>0</v>
      </c>
      <c r="G209" s="40">
        <v>992</v>
      </c>
      <c r="H209" s="40">
        <v>315.37170999999995</v>
      </c>
      <c r="I209" s="40">
        <v>79.51385999999998</v>
      </c>
      <c r="J209" s="67">
        <v>1386.8855699999999</v>
      </c>
      <c r="K209" s="42"/>
      <c r="L209" s="40">
        <v>1259.4670199999998</v>
      </c>
      <c r="M209" s="40">
        <v>52.113930000000003</v>
      </c>
      <c r="N209" s="40">
        <v>205.12289999999999</v>
      </c>
      <c r="O209" s="40">
        <v>230.37395000000001</v>
      </c>
      <c r="P209" s="40">
        <v>49.414809999999996</v>
      </c>
      <c r="Q209" s="40">
        <v>0.86165999999999998</v>
      </c>
      <c r="R209" s="40">
        <v>165.73616000000001</v>
      </c>
      <c r="S209" s="67">
        <v>1963.0904299999997</v>
      </c>
      <c r="T209" s="41"/>
      <c r="U209" s="40">
        <v>0</v>
      </c>
      <c r="V209" s="41"/>
      <c r="W209" s="67">
        <v>3349.9759999999997</v>
      </c>
      <c r="X209" s="44">
        <v>1963.0904299999997</v>
      </c>
      <c r="Y209" s="44">
        <v>1386.8855699999999</v>
      </c>
      <c r="Z209" s="54"/>
      <c r="AA209" s="54"/>
      <c r="AB209" s="54"/>
      <c r="AC209" s="54"/>
    </row>
    <row r="210" spans="1:29" x14ac:dyDescent="0.2">
      <c r="A210" s="49">
        <v>2025</v>
      </c>
      <c r="B210" s="49" t="s">
        <v>11</v>
      </c>
      <c r="C210" s="40">
        <v>0</v>
      </c>
      <c r="D210" s="40">
        <v>0</v>
      </c>
      <c r="E210" s="40">
        <v>0</v>
      </c>
      <c r="F210" s="40">
        <v>0</v>
      </c>
      <c r="G210" s="40">
        <v>912</v>
      </c>
      <c r="H210" s="40">
        <v>280.63115000000005</v>
      </c>
      <c r="I210" s="40">
        <v>761.83369999999991</v>
      </c>
      <c r="J210" s="67">
        <v>1954.4648500000001</v>
      </c>
      <c r="K210" s="42"/>
      <c r="L210" s="40">
        <v>360.34709000000015</v>
      </c>
      <c r="M210" s="40">
        <v>52.153299999999987</v>
      </c>
      <c r="N210" s="40">
        <v>381.79366000000005</v>
      </c>
      <c r="O210" s="40">
        <v>127.17412</v>
      </c>
      <c r="P210" s="40">
        <v>118.04953999999999</v>
      </c>
      <c r="Q210" s="40">
        <v>0.31254000000000004</v>
      </c>
      <c r="R210" s="40">
        <v>205.53316999999998</v>
      </c>
      <c r="S210" s="67">
        <v>1245.3634200000001</v>
      </c>
      <c r="T210" s="41"/>
      <c r="U210" s="40">
        <v>0</v>
      </c>
      <c r="V210" s="41"/>
      <c r="W210" s="67">
        <v>3199.82827</v>
      </c>
      <c r="X210" s="44">
        <v>1245.3634200000001</v>
      </c>
      <c r="Y210" s="44">
        <v>1954.4648500000001</v>
      </c>
      <c r="Z210" s="54"/>
      <c r="AA210" s="54"/>
      <c r="AB210" s="54"/>
      <c r="AC210" s="54"/>
    </row>
    <row r="211" spans="1:29" x14ac:dyDescent="0.2">
      <c r="A211" s="49">
        <v>2025</v>
      </c>
      <c r="B211" s="49" t="s">
        <v>12</v>
      </c>
      <c r="C211" s="40">
        <v>0</v>
      </c>
      <c r="D211" s="40">
        <v>0</v>
      </c>
      <c r="E211" s="40">
        <v>0</v>
      </c>
      <c r="F211" s="40">
        <v>0</v>
      </c>
      <c r="G211" s="40">
        <v>976</v>
      </c>
      <c r="H211" s="40">
        <v>360.32347999999985</v>
      </c>
      <c r="I211" s="40">
        <v>1884.2417800000003</v>
      </c>
      <c r="J211" s="67">
        <v>3220.5652600000003</v>
      </c>
      <c r="K211" s="42"/>
      <c r="L211" s="40">
        <v>353.80006999999995</v>
      </c>
      <c r="M211" s="40">
        <v>57.592199999999998</v>
      </c>
      <c r="N211" s="40">
        <v>562.30237</v>
      </c>
      <c r="O211" s="40">
        <v>325.20871999999997</v>
      </c>
      <c r="P211" s="40">
        <v>1.0389600000000001</v>
      </c>
      <c r="Q211" s="40">
        <v>0.30648000000000003</v>
      </c>
      <c r="R211" s="40">
        <v>80.635840000000002</v>
      </c>
      <c r="S211" s="67">
        <v>1380.8846399999998</v>
      </c>
      <c r="T211" s="41"/>
      <c r="U211" s="40">
        <v>0</v>
      </c>
      <c r="V211" s="41"/>
      <c r="W211" s="67">
        <v>4601.4498999999996</v>
      </c>
      <c r="X211" s="44">
        <v>1380.8846399999998</v>
      </c>
      <c r="Y211" s="44">
        <v>3220.5652600000003</v>
      </c>
      <c r="Z211" s="54"/>
      <c r="AA211" s="54"/>
      <c r="AB211" s="54"/>
      <c r="AC211" s="54"/>
    </row>
    <row r="212" spans="1:29" x14ac:dyDescent="0.2">
      <c r="A212" s="49">
        <v>2025</v>
      </c>
      <c r="B212" s="49" t="s">
        <v>13</v>
      </c>
      <c r="C212" s="40">
        <v>0</v>
      </c>
      <c r="D212" s="40">
        <v>0</v>
      </c>
      <c r="E212" s="40">
        <v>0</v>
      </c>
      <c r="F212" s="40">
        <v>0</v>
      </c>
      <c r="G212" s="40">
        <v>840</v>
      </c>
      <c r="H212" s="40">
        <v>305.83405999999997</v>
      </c>
      <c r="I212" s="40">
        <v>88.406410000000008</v>
      </c>
      <c r="J212" s="67">
        <v>1234.24047</v>
      </c>
      <c r="K212" s="42"/>
      <c r="L212" s="40">
        <v>64.34447999999999</v>
      </c>
      <c r="M212" s="40">
        <v>64.131399999999985</v>
      </c>
      <c r="N212" s="40">
        <v>113.94955</v>
      </c>
      <c r="O212" s="40">
        <v>490.08696999999995</v>
      </c>
      <c r="P212" s="40">
        <v>32.516269999999999</v>
      </c>
      <c r="Q212" s="40">
        <v>0.57502999999999993</v>
      </c>
      <c r="R212" s="40">
        <v>1.6165999999999998</v>
      </c>
      <c r="S212" s="67">
        <v>767.22029999999972</v>
      </c>
      <c r="T212" s="41"/>
      <c r="U212" s="40">
        <v>0</v>
      </c>
      <c r="V212" s="41"/>
      <c r="W212" s="67">
        <v>2001.4607699999997</v>
      </c>
      <c r="X212" s="44">
        <v>767.22029999999972</v>
      </c>
      <c r="Y212" s="44">
        <v>1234.24047</v>
      </c>
      <c r="Z212" s="54"/>
      <c r="AA212" s="54"/>
      <c r="AB212" s="54"/>
      <c r="AC212" s="54"/>
    </row>
    <row r="213" spans="1:29" x14ac:dyDescent="0.2">
      <c r="A213" s="49">
        <v>2025</v>
      </c>
      <c r="B213" s="49" t="s">
        <v>14</v>
      </c>
      <c r="C213" s="40">
        <v>0</v>
      </c>
      <c r="D213" s="40">
        <v>0</v>
      </c>
      <c r="E213" s="40">
        <v>0</v>
      </c>
      <c r="F213" s="40">
        <v>0</v>
      </c>
      <c r="G213" s="40">
        <v>916</v>
      </c>
      <c r="H213" s="40">
        <v>301.63596999999999</v>
      </c>
      <c r="I213" s="40">
        <v>41.948440000000005</v>
      </c>
      <c r="J213" s="67">
        <v>1259.5844099999999</v>
      </c>
      <c r="K213" s="42"/>
      <c r="L213" s="40">
        <v>124.73578000000002</v>
      </c>
      <c r="M213" s="40">
        <v>53.793520000000001</v>
      </c>
      <c r="N213" s="40">
        <v>500.25497999999999</v>
      </c>
      <c r="O213" s="40">
        <v>441.74675999999999</v>
      </c>
      <c r="P213" s="40">
        <v>30.679580000000001</v>
      </c>
      <c r="Q213" s="40">
        <v>0</v>
      </c>
      <c r="R213" s="40">
        <v>0</v>
      </c>
      <c r="S213" s="67">
        <v>1151.2106200000001</v>
      </c>
      <c r="T213" s="41"/>
      <c r="U213" s="40">
        <v>0</v>
      </c>
      <c r="V213" s="41"/>
      <c r="W213" s="67">
        <v>2410.7950300000002</v>
      </c>
      <c r="X213" s="44">
        <v>1151.2106200000001</v>
      </c>
      <c r="Y213" s="44">
        <v>1259.5844099999999</v>
      </c>
      <c r="Z213" s="54"/>
      <c r="AA213" s="54"/>
      <c r="AB213" s="54"/>
      <c r="AC213" s="54"/>
    </row>
    <row r="214" spans="1:29" x14ac:dyDescent="0.2">
      <c r="A214" s="49">
        <v>2025</v>
      </c>
      <c r="B214" s="49" t="s">
        <v>15</v>
      </c>
      <c r="C214" s="40">
        <v>0</v>
      </c>
      <c r="D214" s="80">
        <v>0</v>
      </c>
      <c r="E214" s="80">
        <v>0</v>
      </c>
      <c r="F214" s="80">
        <v>0</v>
      </c>
      <c r="G214" s="80">
        <v>10375</v>
      </c>
      <c r="H214" s="80">
        <v>4724.6731600000003</v>
      </c>
      <c r="I214" s="80">
        <v>13589.426200000005</v>
      </c>
      <c r="J214" s="67">
        <v>28689.09936</v>
      </c>
      <c r="K214" s="42"/>
      <c r="L214" s="80">
        <v>4003.46695</v>
      </c>
      <c r="M214" s="80">
        <v>674.31328000000008</v>
      </c>
      <c r="N214" s="80">
        <v>2983.6040400000002</v>
      </c>
      <c r="O214" s="80">
        <v>3419.7690799999996</v>
      </c>
      <c r="P214" s="80">
        <v>629.95033999999987</v>
      </c>
      <c r="Q214" s="80">
        <v>11.252950000000002</v>
      </c>
      <c r="R214" s="80">
        <v>1327.6723099999999</v>
      </c>
      <c r="S214" s="67">
        <v>13050.028949999998</v>
      </c>
      <c r="T214" s="41"/>
      <c r="U214" s="99">
        <v>0</v>
      </c>
      <c r="V214" s="41"/>
      <c r="W214" s="67">
        <v>41739.12831</v>
      </c>
      <c r="X214" s="44">
        <v>13050.028949999998</v>
      </c>
      <c r="Y214" s="44">
        <v>28689.09936</v>
      </c>
      <c r="Z214" s="54"/>
      <c r="AA214" s="54"/>
      <c r="AB214" s="54"/>
      <c r="AC214" s="54"/>
    </row>
    <row r="215" spans="1:29" x14ac:dyDescent="0.2">
      <c r="A215" s="49">
        <v>2026</v>
      </c>
      <c r="B215" s="49" t="s">
        <v>3</v>
      </c>
      <c r="C215" s="40">
        <v>0</v>
      </c>
      <c r="D215" s="40">
        <v>0</v>
      </c>
      <c r="E215" s="40">
        <v>0</v>
      </c>
      <c r="F215" s="40">
        <v>0</v>
      </c>
      <c r="G215" s="40">
        <v>822</v>
      </c>
      <c r="H215" s="40">
        <v>941.07553999999982</v>
      </c>
      <c r="I215" s="40">
        <v>96.42667999999999</v>
      </c>
      <c r="J215" s="67">
        <v>1859.5022199999999</v>
      </c>
      <c r="K215" s="42"/>
      <c r="L215" s="40">
        <v>600.23913000000016</v>
      </c>
      <c r="M215" s="40">
        <v>51.463740000000001</v>
      </c>
      <c r="N215" s="40">
        <v>362.59884999999997</v>
      </c>
      <c r="O215" s="40">
        <v>271.06181000000004</v>
      </c>
      <c r="P215" s="40">
        <v>118.67868</v>
      </c>
      <c r="Q215" s="40">
        <v>0.32838999999999996</v>
      </c>
      <c r="R215" s="40">
        <v>870.7878199999999</v>
      </c>
      <c r="S215" s="67">
        <v>2275.1584199999998</v>
      </c>
      <c r="T215" s="41"/>
      <c r="U215" s="40">
        <v>0</v>
      </c>
      <c r="V215" s="41"/>
      <c r="W215" s="67">
        <v>4134.6606400000001</v>
      </c>
      <c r="X215" s="44">
        <v>2275.1584199999998</v>
      </c>
      <c r="Y215" s="44">
        <v>1859.5022199999999</v>
      </c>
      <c r="Z215" s="54"/>
      <c r="AA215" s="54"/>
      <c r="AB215" s="54"/>
      <c r="AC215" s="54"/>
    </row>
    <row r="216" spans="1:29" x14ac:dyDescent="0.2">
      <c r="A216" s="49">
        <v>2026</v>
      </c>
      <c r="B216" s="49" t="s">
        <v>4</v>
      </c>
      <c r="C216" s="40">
        <v>0</v>
      </c>
      <c r="D216" s="40">
        <v>0</v>
      </c>
      <c r="E216" s="40">
        <v>0</v>
      </c>
      <c r="F216" s="40">
        <v>0</v>
      </c>
      <c r="G216" s="40">
        <v>571.6</v>
      </c>
      <c r="H216" s="40">
        <v>1244.3922100000007</v>
      </c>
      <c r="I216" s="40">
        <v>1420.7252000000026</v>
      </c>
      <c r="J216" s="67">
        <v>3236.7174100000034</v>
      </c>
      <c r="K216" s="42"/>
      <c r="L216" s="40">
        <v>122.31186</v>
      </c>
      <c r="M216" s="40">
        <v>52.144409999999993</v>
      </c>
      <c r="N216" s="40">
        <v>175.05165</v>
      </c>
      <c r="O216" s="40">
        <v>217.32771</v>
      </c>
      <c r="P216" s="40">
        <v>0</v>
      </c>
      <c r="Q216" s="40">
        <v>0.29277999999999998</v>
      </c>
      <c r="R216" s="40">
        <v>1.34954</v>
      </c>
      <c r="S216" s="67">
        <v>568.47795000000008</v>
      </c>
      <c r="T216" s="41"/>
      <c r="U216" s="40">
        <v>0</v>
      </c>
      <c r="V216" s="41"/>
      <c r="W216" s="67">
        <v>3805.1953600000033</v>
      </c>
      <c r="X216" s="44">
        <v>568.47795000000008</v>
      </c>
      <c r="Y216" s="44">
        <v>3236.7174100000034</v>
      </c>
      <c r="Z216" s="54"/>
      <c r="AA216" s="54"/>
      <c r="AB216" s="54"/>
      <c r="AC216" s="54"/>
    </row>
    <row r="217" spans="1:29" x14ac:dyDescent="0.2">
      <c r="A217" s="49">
        <v>2026</v>
      </c>
      <c r="B217" s="49" t="s">
        <v>5</v>
      </c>
      <c r="C217" s="40">
        <v>0</v>
      </c>
      <c r="D217" s="40">
        <v>0</v>
      </c>
      <c r="E217" s="40">
        <v>0</v>
      </c>
      <c r="F217" s="40">
        <v>0</v>
      </c>
      <c r="G217" s="40">
        <v>584.19054000000006</v>
      </c>
      <c r="H217" s="40">
        <v>167.93048000000005</v>
      </c>
      <c r="I217" s="40">
        <v>2091.4429</v>
      </c>
      <c r="J217" s="67">
        <v>2843.5639200000001</v>
      </c>
      <c r="K217" s="42"/>
      <c r="L217" s="40">
        <v>283.25675999999999</v>
      </c>
      <c r="M217" s="40">
        <v>53.043219999999991</v>
      </c>
      <c r="N217" s="40">
        <v>333.24180000000001</v>
      </c>
      <c r="O217" s="40">
        <v>217.33771000000002</v>
      </c>
      <c r="P217" s="40">
        <v>1.28992</v>
      </c>
      <c r="Q217" s="40">
        <v>0</v>
      </c>
      <c r="R217" s="40">
        <v>234.50479000000001</v>
      </c>
      <c r="S217" s="67">
        <v>1122.6742000000002</v>
      </c>
      <c r="T217" s="41"/>
      <c r="U217" s="40">
        <v>0</v>
      </c>
      <c r="V217" s="41"/>
      <c r="W217" s="67">
        <v>3966.23812</v>
      </c>
      <c r="X217" s="44">
        <v>1122.6742000000002</v>
      </c>
      <c r="Y217" s="44">
        <v>2843.5639200000001</v>
      </c>
      <c r="Z217" s="54"/>
      <c r="AA217" s="54"/>
      <c r="AB217" s="54"/>
      <c r="AC217" s="54"/>
    </row>
    <row r="218" spans="1:29" x14ac:dyDescent="0.2">
      <c r="A218" s="49">
        <v>2026</v>
      </c>
      <c r="B218" s="49" t="s">
        <v>6</v>
      </c>
      <c r="C218" s="40">
        <v>0</v>
      </c>
      <c r="D218" s="40">
        <v>0</v>
      </c>
      <c r="E218" s="40">
        <v>0</v>
      </c>
      <c r="F218" s="40">
        <v>0</v>
      </c>
      <c r="G218" s="40">
        <v>341.66667999999999</v>
      </c>
      <c r="H218" s="40">
        <v>97.575870000000023</v>
      </c>
      <c r="I218" s="40">
        <v>2416.1674900000048</v>
      </c>
      <c r="J218" s="67">
        <v>2855.4100400000048</v>
      </c>
      <c r="K218" s="42"/>
      <c r="L218" s="40">
        <v>320.22028</v>
      </c>
      <c r="M218" s="40">
        <v>708.4199500000002</v>
      </c>
      <c r="N218" s="40">
        <v>206.56831</v>
      </c>
      <c r="O218" s="40">
        <v>328.28689000000014</v>
      </c>
      <c r="P218" s="40">
        <v>87.398709999999994</v>
      </c>
      <c r="Q218" s="40">
        <v>0.89160000000000006</v>
      </c>
      <c r="R218" s="40">
        <v>190.5496</v>
      </c>
      <c r="S218" s="67">
        <v>1842.3353400000001</v>
      </c>
      <c r="T218" s="41"/>
      <c r="U218" s="40">
        <v>0</v>
      </c>
      <c r="V218" s="41"/>
      <c r="W218" s="67">
        <v>4697.7453800000048</v>
      </c>
      <c r="X218" s="44">
        <v>1842.3353400000001</v>
      </c>
      <c r="Y218" s="44">
        <v>2855.4100400000048</v>
      </c>
      <c r="Z218" s="54"/>
      <c r="AA218" s="54"/>
      <c r="AB218" s="54"/>
      <c r="AC218" s="54"/>
    </row>
    <row r="219" spans="1:29" x14ac:dyDescent="0.2">
      <c r="A219" s="49">
        <v>2026</v>
      </c>
      <c r="B219" s="49" t="s">
        <v>7</v>
      </c>
      <c r="C219" s="40">
        <v>0</v>
      </c>
      <c r="D219" s="40">
        <v>0</v>
      </c>
      <c r="E219" s="40">
        <v>0</v>
      </c>
      <c r="F219" s="40">
        <v>0</v>
      </c>
      <c r="G219" s="40">
        <v>780.80700000000002</v>
      </c>
      <c r="H219" s="40">
        <v>116.70973000000001</v>
      </c>
      <c r="I219" s="40">
        <v>2065.3696900000004</v>
      </c>
      <c r="J219" s="67">
        <v>2962.8864200000007</v>
      </c>
      <c r="K219" s="42"/>
      <c r="L219" s="40">
        <v>620.78338999999994</v>
      </c>
      <c r="M219" s="40">
        <v>71.381209999999967</v>
      </c>
      <c r="N219" s="40">
        <v>48.876129999999996</v>
      </c>
      <c r="O219" s="40">
        <v>555.08205000000021</v>
      </c>
      <c r="P219" s="40">
        <v>152.63330000000002</v>
      </c>
      <c r="Q219" s="40">
        <v>0.22856000000000001</v>
      </c>
      <c r="R219" s="40">
        <v>0</v>
      </c>
      <c r="S219" s="67">
        <v>1448.9846400000001</v>
      </c>
      <c r="T219" s="41"/>
      <c r="U219" s="40">
        <v>0</v>
      </c>
      <c r="V219" s="41"/>
      <c r="W219" s="67">
        <v>4411.8710600000013</v>
      </c>
      <c r="X219" s="44">
        <v>1448.9846400000001</v>
      </c>
      <c r="Y219" s="44">
        <v>2962.8864200000007</v>
      </c>
      <c r="Z219" s="54"/>
      <c r="AA219" s="54"/>
      <c r="AB219" s="54"/>
      <c r="AC219" s="54"/>
    </row>
    <row r="220" spans="1:29" x14ac:dyDescent="0.2">
      <c r="A220" s="49" t="s">
        <v>36</v>
      </c>
      <c r="B220" s="49" t="s">
        <v>36</v>
      </c>
      <c r="C220" s="40">
        <v>0</v>
      </c>
      <c r="D220" s="40">
        <v>0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67">
        <v>0</v>
      </c>
      <c r="K220" s="42"/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67">
        <v>0</v>
      </c>
      <c r="T220" s="41"/>
      <c r="U220" s="40">
        <v>0</v>
      </c>
      <c r="V220" s="41"/>
      <c r="W220" s="67">
        <v>0</v>
      </c>
      <c r="X220" s="44">
        <v>0</v>
      </c>
      <c r="Y220" s="44">
        <v>0</v>
      </c>
      <c r="Z220" s="54"/>
      <c r="AA220" s="54"/>
      <c r="AB220" s="54"/>
      <c r="AC220" s="54"/>
    </row>
    <row r="221" spans="1:29" x14ac:dyDescent="0.2">
      <c r="A221" s="49" t="s">
        <v>36</v>
      </c>
      <c r="B221" s="49" t="s">
        <v>36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42"/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67">
        <v>0</v>
      </c>
      <c r="T221" s="41"/>
      <c r="U221" s="40">
        <v>0</v>
      </c>
      <c r="V221" s="41"/>
      <c r="W221" s="67">
        <v>0</v>
      </c>
      <c r="X221" s="44">
        <v>0</v>
      </c>
      <c r="Y221" s="44">
        <v>0</v>
      </c>
      <c r="Z221" s="54"/>
      <c r="AA221" s="54"/>
      <c r="AB221" s="54"/>
      <c r="AC221" s="54"/>
    </row>
    <row r="222" spans="1:29" x14ac:dyDescent="0.2">
      <c r="A222" s="49" t="s">
        <v>36</v>
      </c>
      <c r="B222" s="49" t="s">
        <v>36</v>
      </c>
      <c r="C222" s="40">
        <v>0</v>
      </c>
      <c r="D222" s="40">
        <v>0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42"/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67">
        <v>0</v>
      </c>
      <c r="T222" s="41"/>
      <c r="U222" s="40">
        <v>0</v>
      </c>
      <c r="V222" s="41"/>
      <c r="W222" s="67">
        <v>0</v>
      </c>
      <c r="X222" s="44">
        <v>0</v>
      </c>
      <c r="Y222" s="44">
        <v>0</v>
      </c>
      <c r="Z222" s="54"/>
      <c r="AA222" s="54"/>
      <c r="AB222" s="54"/>
      <c r="AC222" s="54"/>
    </row>
    <row r="223" spans="1:29" x14ac:dyDescent="0.2">
      <c r="A223" s="49" t="s">
        <v>36</v>
      </c>
      <c r="B223" s="49" t="s">
        <v>36</v>
      </c>
      <c r="C223" s="40">
        <v>0</v>
      </c>
      <c r="D223" s="40">
        <v>0</v>
      </c>
      <c r="E223" s="40">
        <v>0</v>
      </c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42"/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67">
        <v>0</v>
      </c>
      <c r="T223" s="41"/>
      <c r="U223" s="40">
        <v>0</v>
      </c>
      <c r="V223" s="41"/>
      <c r="W223" s="67">
        <v>0</v>
      </c>
      <c r="X223" s="44">
        <v>0</v>
      </c>
      <c r="Y223" s="44">
        <v>0</v>
      </c>
      <c r="Z223" s="54"/>
      <c r="AA223" s="54"/>
      <c r="AB223" s="54"/>
      <c r="AC223" s="54"/>
    </row>
    <row r="224" spans="1:29" x14ac:dyDescent="0.2">
      <c r="A224" s="49" t="s">
        <v>36</v>
      </c>
      <c r="B224" s="49" t="s">
        <v>36</v>
      </c>
      <c r="C224" s="40">
        <v>0</v>
      </c>
      <c r="D224" s="40">
        <v>0</v>
      </c>
      <c r="E224" s="40">
        <v>0</v>
      </c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42"/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67">
        <v>0</v>
      </c>
      <c r="T224" s="41"/>
      <c r="U224" s="40">
        <v>0</v>
      </c>
      <c r="V224" s="41"/>
      <c r="W224" s="67">
        <v>0</v>
      </c>
      <c r="X224" s="44">
        <v>0</v>
      </c>
      <c r="Y224" s="44">
        <v>0</v>
      </c>
      <c r="Z224" s="54"/>
      <c r="AA224" s="54"/>
      <c r="AB224" s="54"/>
      <c r="AC224" s="54"/>
    </row>
    <row r="225" spans="1:29" x14ac:dyDescent="0.2">
      <c r="A225" s="49" t="s">
        <v>36</v>
      </c>
      <c r="B225" s="49" t="s">
        <v>36</v>
      </c>
      <c r="C225" s="40">
        <v>0</v>
      </c>
      <c r="D225" s="40">
        <v>0</v>
      </c>
      <c r="E225" s="40">
        <v>0</v>
      </c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42"/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67">
        <v>0</v>
      </c>
      <c r="T225" s="41"/>
      <c r="U225" s="40">
        <v>0</v>
      </c>
      <c r="V225" s="41"/>
      <c r="W225" s="67">
        <v>0</v>
      </c>
      <c r="X225" s="44">
        <v>0</v>
      </c>
      <c r="Y225" s="44">
        <v>0</v>
      </c>
      <c r="Z225" s="54"/>
      <c r="AA225" s="54"/>
      <c r="AB225" s="54"/>
      <c r="AC225" s="54"/>
    </row>
    <row r="226" spans="1:29" x14ac:dyDescent="0.2">
      <c r="A226" s="49" t="s">
        <v>36</v>
      </c>
      <c r="B226" s="49" t="s">
        <v>36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42"/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67">
        <v>0</v>
      </c>
      <c r="T226" s="41"/>
      <c r="U226" s="40">
        <v>0</v>
      </c>
      <c r="V226" s="41"/>
      <c r="W226" s="67">
        <v>0</v>
      </c>
      <c r="X226" s="44">
        <v>0</v>
      </c>
      <c r="Y226" s="44">
        <v>0</v>
      </c>
      <c r="Z226" s="54"/>
      <c r="AA226" s="54"/>
      <c r="AB226" s="54"/>
      <c r="AC226" s="54"/>
    </row>
    <row r="227" spans="1:29" x14ac:dyDescent="0.2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42"/>
      <c r="L227" s="40"/>
      <c r="M227" s="40"/>
      <c r="N227" s="40"/>
      <c r="O227" s="40"/>
      <c r="P227" s="40"/>
      <c r="Q227" s="40"/>
      <c r="R227" s="40"/>
      <c r="S227" s="67"/>
      <c r="T227" s="41"/>
      <c r="U227" s="40"/>
      <c r="V227" s="41"/>
      <c r="W227" s="67"/>
      <c r="X227" s="44"/>
      <c r="Y227" s="44"/>
      <c r="Z227" s="54"/>
      <c r="AA227" s="54"/>
      <c r="AB227" s="54"/>
      <c r="AC227" s="54"/>
    </row>
    <row r="228" spans="1:29" x14ac:dyDescent="0.2">
      <c r="A228" s="49"/>
      <c r="B228" s="49" t="s">
        <v>36</v>
      </c>
      <c r="C228" s="40">
        <v>0</v>
      </c>
      <c r="D228" s="40">
        <v>0</v>
      </c>
      <c r="E228" s="40">
        <v>0</v>
      </c>
      <c r="F228" s="40"/>
      <c r="G228" s="40">
        <v>0</v>
      </c>
      <c r="H228" s="40">
        <v>0</v>
      </c>
      <c r="I228" s="40">
        <v>0</v>
      </c>
      <c r="J228" s="67">
        <v>0</v>
      </c>
      <c r="K228" s="42"/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/>
      <c r="R228" s="40">
        <v>0</v>
      </c>
      <c r="S228" s="67">
        <v>0</v>
      </c>
      <c r="T228" s="41"/>
      <c r="U228" s="40"/>
      <c r="V228" s="41"/>
      <c r="W228" s="67">
        <v>0</v>
      </c>
      <c r="X228" s="44">
        <v>0</v>
      </c>
      <c r="Y228" s="44">
        <v>0</v>
      </c>
      <c r="Z228" s="54"/>
      <c r="AA228" s="54"/>
      <c r="AB228" s="54"/>
      <c r="AC228" s="54"/>
    </row>
    <row r="229" spans="1:29" x14ac:dyDescent="0.2">
      <c r="A229" s="49"/>
      <c r="B229" s="49" t="s">
        <v>36</v>
      </c>
      <c r="C229" s="40">
        <v>0</v>
      </c>
      <c r="D229" s="40">
        <v>0</v>
      </c>
      <c r="E229" s="40">
        <v>0</v>
      </c>
      <c r="F229" s="40"/>
      <c r="G229" s="40">
        <v>0</v>
      </c>
      <c r="H229" s="40">
        <v>0</v>
      </c>
      <c r="I229" s="40">
        <v>0</v>
      </c>
      <c r="J229" s="67">
        <v>0</v>
      </c>
      <c r="K229" s="42"/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/>
      <c r="R229" s="40">
        <v>0</v>
      </c>
      <c r="S229" s="67">
        <v>0</v>
      </c>
      <c r="T229" s="41"/>
      <c r="U229" s="40"/>
      <c r="V229" s="41"/>
      <c r="W229" s="67">
        <v>0</v>
      </c>
      <c r="X229" s="44">
        <v>0</v>
      </c>
      <c r="Y229" s="44">
        <v>0</v>
      </c>
      <c r="Z229" s="54"/>
      <c r="AA229" s="54"/>
      <c r="AB229" s="54"/>
      <c r="AC229" s="54"/>
    </row>
    <row r="230" spans="1:29" x14ac:dyDescent="0.2">
      <c r="A230" s="49"/>
      <c r="B230" s="49" t="s">
        <v>36</v>
      </c>
      <c r="C230" s="40">
        <v>0</v>
      </c>
      <c r="D230" s="40">
        <v>0</v>
      </c>
      <c r="E230" s="40">
        <v>0</v>
      </c>
      <c r="F230" s="40"/>
      <c r="G230" s="40">
        <v>0</v>
      </c>
      <c r="H230" s="40">
        <v>0</v>
      </c>
      <c r="I230" s="40">
        <v>0</v>
      </c>
      <c r="J230" s="67">
        <v>0</v>
      </c>
      <c r="K230" s="42"/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/>
      <c r="R230" s="40">
        <v>0</v>
      </c>
      <c r="S230" s="67">
        <v>0</v>
      </c>
      <c r="T230" s="41"/>
      <c r="U230" s="40"/>
      <c r="V230" s="41"/>
      <c r="W230" s="67">
        <v>0</v>
      </c>
      <c r="X230" s="44">
        <v>0</v>
      </c>
      <c r="Y230" s="44">
        <v>0</v>
      </c>
      <c r="Z230" s="54"/>
      <c r="AA230" s="54"/>
      <c r="AB230" s="54"/>
      <c r="AC230" s="54"/>
    </row>
    <row r="231" spans="1:29" x14ac:dyDescent="0.2">
      <c r="A231" s="49"/>
      <c r="B231" s="49" t="s">
        <v>36</v>
      </c>
      <c r="C231" s="40">
        <v>0</v>
      </c>
      <c r="D231" s="40">
        <v>0</v>
      </c>
      <c r="E231" s="40">
        <v>0</v>
      </c>
      <c r="F231" s="40"/>
      <c r="G231" s="40">
        <v>0</v>
      </c>
      <c r="H231" s="40">
        <v>0</v>
      </c>
      <c r="I231" s="40">
        <v>0</v>
      </c>
      <c r="J231" s="67">
        <v>0</v>
      </c>
      <c r="K231" s="42"/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/>
      <c r="R231" s="40">
        <v>0</v>
      </c>
      <c r="S231" s="67">
        <v>0</v>
      </c>
      <c r="T231" s="41"/>
      <c r="U231" s="40"/>
      <c r="V231" s="41"/>
      <c r="W231" s="67">
        <v>0</v>
      </c>
      <c r="X231" s="44">
        <v>0</v>
      </c>
      <c r="Y231" s="44">
        <v>0</v>
      </c>
      <c r="Z231" s="54"/>
      <c r="AA231" s="54"/>
      <c r="AB231" s="54"/>
      <c r="AC231" s="54"/>
    </row>
    <row r="232" spans="1:29" x14ac:dyDescent="0.2">
      <c r="A232" s="49"/>
      <c r="B232" s="49" t="s">
        <v>36</v>
      </c>
      <c r="C232" s="40">
        <v>0</v>
      </c>
      <c r="D232" s="40">
        <v>0</v>
      </c>
      <c r="E232" s="40">
        <v>0</v>
      </c>
      <c r="F232" s="40"/>
      <c r="G232" s="40">
        <v>0</v>
      </c>
      <c r="H232" s="40">
        <v>0</v>
      </c>
      <c r="I232" s="40">
        <v>0</v>
      </c>
      <c r="J232" s="67">
        <v>0</v>
      </c>
      <c r="K232" s="42"/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/>
      <c r="R232" s="40">
        <v>0</v>
      </c>
      <c r="S232" s="67">
        <v>0</v>
      </c>
      <c r="T232" s="41"/>
      <c r="U232" s="40"/>
      <c r="V232" s="41"/>
      <c r="W232" s="67">
        <v>0</v>
      </c>
      <c r="X232" s="44">
        <v>0</v>
      </c>
      <c r="Y232" s="44">
        <v>0</v>
      </c>
      <c r="Z232" s="54"/>
      <c r="AA232" s="54"/>
      <c r="AB232" s="54"/>
      <c r="AC232" s="54"/>
    </row>
    <row r="233" spans="1:29" x14ac:dyDescent="0.2">
      <c r="A233" s="49"/>
      <c r="B233" s="49" t="s">
        <v>36</v>
      </c>
      <c r="C233" s="40">
        <v>0</v>
      </c>
      <c r="D233" s="40">
        <v>0</v>
      </c>
      <c r="E233" s="40">
        <v>0</v>
      </c>
      <c r="F233" s="40"/>
      <c r="G233" s="40">
        <v>0</v>
      </c>
      <c r="H233" s="40">
        <v>0</v>
      </c>
      <c r="I233" s="40">
        <v>0</v>
      </c>
      <c r="J233" s="67">
        <v>0</v>
      </c>
      <c r="K233" s="42"/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/>
      <c r="R233" s="40">
        <v>0</v>
      </c>
      <c r="S233" s="67">
        <v>0</v>
      </c>
      <c r="T233" s="41"/>
      <c r="U233" s="40"/>
      <c r="V233" s="41"/>
      <c r="W233" s="67">
        <v>0</v>
      </c>
      <c r="X233" s="44">
        <v>0</v>
      </c>
      <c r="Y233" s="44">
        <v>0</v>
      </c>
      <c r="Z233" s="54"/>
      <c r="AA233" s="54"/>
      <c r="AB233" s="54"/>
      <c r="AC233" s="54"/>
    </row>
    <row r="234" spans="1:29" x14ac:dyDescent="0.2">
      <c r="A234" s="49"/>
      <c r="B234" s="49" t="s">
        <v>36</v>
      </c>
      <c r="C234" s="40">
        <v>0</v>
      </c>
      <c r="D234" s="40">
        <v>0</v>
      </c>
      <c r="E234" s="40">
        <v>0</v>
      </c>
      <c r="F234" s="40"/>
      <c r="G234" s="40">
        <v>0</v>
      </c>
      <c r="H234" s="40">
        <v>0</v>
      </c>
      <c r="I234" s="40">
        <v>0</v>
      </c>
      <c r="J234" s="67">
        <v>0</v>
      </c>
      <c r="K234" s="42"/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/>
      <c r="R234" s="40">
        <v>0</v>
      </c>
      <c r="S234" s="67">
        <v>0</v>
      </c>
      <c r="T234" s="41"/>
      <c r="U234" s="40"/>
      <c r="V234" s="41"/>
      <c r="W234" s="67">
        <v>0</v>
      </c>
      <c r="X234" s="44">
        <v>0</v>
      </c>
      <c r="Y234" s="44">
        <v>0</v>
      </c>
      <c r="Z234" s="54"/>
      <c r="AA234" s="54"/>
      <c r="AB234" s="54"/>
      <c r="AC234" s="54"/>
    </row>
    <row r="235" spans="1:29" x14ac:dyDescent="0.2">
      <c r="A235" s="49"/>
      <c r="B235" s="49" t="s">
        <v>36</v>
      </c>
      <c r="C235" s="40">
        <v>0</v>
      </c>
      <c r="D235" s="40">
        <v>0</v>
      </c>
      <c r="E235" s="40">
        <v>0</v>
      </c>
      <c r="F235" s="40"/>
      <c r="G235" s="40">
        <v>0</v>
      </c>
      <c r="H235" s="40">
        <v>0</v>
      </c>
      <c r="I235" s="40">
        <v>0</v>
      </c>
      <c r="J235" s="67">
        <v>0</v>
      </c>
      <c r="K235" s="42"/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/>
      <c r="R235" s="40">
        <v>0</v>
      </c>
      <c r="S235" s="67">
        <v>0</v>
      </c>
      <c r="T235" s="41"/>
      <c r="U235" s="40"/>
      <c r="V235" s="41"/>
      <c r="W235" s="67">
        <v>0</v>
      </c>
      <c r="X235" s="44">
        <v>0</v>
      </c>
      <c r="Y235" s="44">
        <v>0</v>
      </c>
      <c r="Z235" s="54"/>
      <c r="AA235" s="54"/>
      <c r="AB235" s="54"/>
      <c r="AC235" s="54"/>
    </row>
    <row r="236" spans="1:29" x14ac:dyDescent="0.2">
      <c r="A236" s="49"/>
      <c r="B236" s="49" t="s">
        <v>36</v>
      </c>
      <c r="C236" s="40">
        <v>0</v>
      </c>
      <c r="D236" s="40">
        <v>0</v>
      </c>
      <c r="E236" s="40">
        <v>0</v>
      </c>
      <c r="F236" s="40"/>
      <c r="G236" s="40">
        <v>0</v>
      </c>
      <c r="H236" s="40">
        <v>0</v>
      </c>
      <c r="I236" s="40">
        <v>0</v>
      </c>
      <c r="J236" s="67">
        <v>0</v>
      </c>
      <c r="K236" s="42"/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/>
      <c r="R236" s="40">
        <v>0</v>
      </c>
      <c r="S236" s="67">
        <v>0</v>
      </c>
      <c r="T236" s="41"/>
      <c r="U236" s="40"/>
      <c r="V236" s="41"/>
      <c r="W236" s="67">
        <v>0</v>
      </c>
      <c r="X236" s="44">
        <v>0</v>
      </c>
      <c r="Y236" s="44">
        <v>0</v>
      </c>
      <c r="Z236" s="54"/>
      <c r="AA236" s="54"/>
      <c r="AB236" s="54"/>
      <c r="AC236" s="54"/>
    </row>
    <row r="237" spans="1:29" x14ac:dyDescent="0.2">
      <c r="A237" s="49"/>
      <c r="B237" s="49" t="s">
        <v>36</v>
      </c>
      <c r="C237" s="40">
        <v>0</v>
      </c>
      <c r="D237" s="40">
        <v>0</v>
      </c>
      <c r="E237" s="40">
        <v>0</v>
      </c>
      <c r="F237" s="40"/>
      <c r="G237" s="40">
        <v>0</v>
      </c>
      <c r="H237" s="40">
        <v>0</v>
      </c>
      <c r="I237" s="40">
        <v>0</v>
      </c>
      <c r="J237" s="67">
        <v>0</v>
      </c>
      <c r="K237" s="42"/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/>
      <c r="R237" s="40">
        <v>0</v>
      </c>
      <c r="S237" s="67">
        <v>0</v>
      </c>
      <c r="T237" s="41"/>
      <c r="U237" s="40"/>
      <c r="V237" s="41"/>
      <c r="W237" s="67">
        <v>0</v>
      </c>
      <c r="X237" s="44">
        <v>0</v>
      </c>
      <c r="Y237" s="44">
        <v>0</v>
      </c>
      <c r="Z237" s="54"/>
      <c r="AA237" s="54"/>
      <c r="AB237" s="54"/>
      <c r="AC237" s="54"/>
    </row>
    <row r="238" spans="1:29" x14ac:dyDescent="0.2">
      <c r="A238" s="49"/>
      <c r="B238" s="49" t="s">
        <v>36</v>
      </c>
      <c r="C238" s="40">
        <v>0</v>
      </c>
      <c r="D238" s="40">
        <v>0</v>
      </c>
      <c r="E238" s="40">
        <v>0</v>
      </c>
      <c r="F238" s="40"/>
      <c r="G238" s="40">
        <v>0</v>
      </c>
      <c r="H238" s="40">
        <v>0</v>
      </c>
      <c r="I238" s="40">
        <v>0</v>
      </c>
      <c r="J238" s="67">
        <v>0</v>
      </c>
      <c r="K238" s="42"/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/>
      <c r="R238" s="40">
        <v>0</v>
      </c>
      <c r="S238" s="67">
        <v>0</v>
      </c>
      <c r="T238" s="41"/>
      <c r="U238" s="40"/>
      <c r="V238" s="41"/>
      <c r="W238" s="67">
        <v>0</v>
      </c>
      <c r="X238" s="44">
        <v>0</v>
      </c>
      <c r="Y238" s="44">
        <v>0</v>
      </c>
      <c r="Z238" s="54"/>
      <c r="AA238" s="54"/>
      <c r="AB238" s="54"/>
      <c r="AC238" s="54"/>
    </row>
    <row r="239" spans="1:29" x14ac:dyDescent="0.2">
      <c r="A239" s="49"/>
      <c r="B239" s="49" t="s">
        <v>36</v>
      </c>
      <c r="C239" s="40">
        <v>0</v>
      </c>
      <c r="D239" s="40">
        <v>0</v>
      </c>
      <c r="E239" s="40">
        <v>0</v>
      </c>
      <c r="F239" s="40"/>
      <c r="G239" s="40">
        <v>0</v>
      </c>
      <c r="H239" s="40">
        <v>0</v>
      </c>
      <c r="I239" s="40">
        <v>0</v>
      </c>
      <c r="J239" s="67">
        <v>0</v>
      </c>
      <c r="K239" s="42"/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/>
      <c r="R239" s="40">
        <v>0</v>
      </c>
      <c r="S239" s="67">
        <v>0</v>
      </c>
      <c r="T239" s="41"/>
      <c r="U239" s="40"/>
      <c r="V239" s="41"/>
      <c r="W239" s="67">
        <v>0</v>
      </c>
      <c r="X239" s="44">
        <v>0</v>
      </c>
      <c r="Y239" s="44">
        <v>0</v>
      </c>
      <c r="Z239" s="54"/>
      <c r="AA239" s="54"/>
      <c r="AB239" s="54"/>
      <c r="AC239" s="54"/>
    </row>
    <row r="240" spans="1:29" x14ac:dyDescent="0.2">
      <c r="A240" s="49"/>
      <c r="B240" s="49" t="s">
        <v>36</v>
      </c>
      <c r="C240" s="40">
        <v>0</v>
      </c>
      <c r="D240" s="40">
        <v>0</v>
      </c>
      <c r="E240" s="40">
        <v>0</v>
      </c>
      <c r="F240" s="40"/>
      <c r="G240" s="40">
        <v>0</v>
      </c>
      <c r="H240" s="40">
        <v>0</v>
      </c>
      <c r="I240" s="40">
        <v>0</v>
      </c>
      <c r="J240" s="67">
        <v>0</v>
      </c>
      <c r="K240" s="42"/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/>
      <c r="R240" s="40">
        <v>0</v>
      </c>
      <c r="S240" s="67">
        <v>0</v>
      </c>
      <c r="T240" s="41"/>
      <c r="U240" s="40"/>
      <c r="V240" s="41"/>
      <c r="W240" s="67">
        <v>0</v>
      </c>
      <c r="X240" s="44">
        <v>0</v>
      </c>
      <c r="Y240" s="44">
        <v>0</v>
      </c>
      <c r="Z240" s="54"/>
      <c r="AA240" s="54"/>
      <c r="AB240" s="54"/>
      <c r="AC240" s="54"/>
    </row>
    <row r="241" spans="1:29" x14ac:dyDescent="0.2">
      <c r="A241" s="49"/>
      <c r="B241" s="49" t="s">
        <v>36</v>
      </c>
      <c r="C241" s="40">
        <v>0</v>
      </c>
      <c r="D241" s="40">
        <v>0</v>
      </c>
      <c r="E241" s="40">
        <v>0</v>
      </c>
      <c r="F241" s="40"/>
      <c r="G241" s="40">
        <v>0</v>
      </c>
      <c r="H241" s="40">
        <v>0</v>
      </c>
      <c r="I241" s="40">
        <v>0</v>
      </c>
      <c r="J241" s="67">
        <v>0</v>
      </c>
      <c r="K241" s="42"/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/>
      <c r="R241" s="40">
        <v>0</v>
      </c>
      <c r="S241" s="67">
        <v>0</v>
      </c>
      <c r="T241" s="41"/>
      <c r="U241" s="40"/>
      <c r="V241" s="41"/>
      <c r="W241" s="67">
        <v>0</v>
      </c>
      <c r="X241" s="44">
        <v>0</v>
      </c>
      <c r="Y241" s="44">
        <v>0</v>
      </c>
      <c r="Z241" s="54"/>
      <c r="AA241" s="54"/>
      <c r="AB241" s="54"/>
      <c r="AC241" s="54"/>
    </row>
    <row r="242" spans="1:29" x14ac:dyDescent="0.2">
      <c r="A242" s="49"/>
      <c r="B242" s="49" t="s">
        <v>36</v>
      </c>
      <c r="C242" s="40">
        <v>0</v>
      </c>
      <c r="D242" s="40">
        <v>0</v>
      </c>
      <c r="E242" s="40">
        <v>0</v>
      </c>
      <c r="F242" s="40"/>
      <c r="G242" s="40">
        <v>0</v>
      </c>
      <c r="H242" s="40">
        <v>0</v>
      </c>
      <c r="I242" s="40">
        <v>0</v>
      </c>
      <c r="J242" s="67">
        <v>0</v>
      </c>
      <c r="K242" s="42"/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/>
      <c r="R242" s="40">
        <v>0</v>
      </c>
      <c r="S242" s="67">
        <v>0</v>
      </c>
      <c r="T242" s="41"/>
      <c r="U242" s="40"/>
      <c r="V242" s="41"/>
      <c r="W242" s="67">
        <v>0</v>
      </c>
      <c r="X242" s="44">
        <v>0</v>
      </c>
      <c r="Y242" s="44">
        <v>0</v>
      </c>
      <c r="Z242" s="54"/>
      <c r="AA242" s="54"/>
      <c r="AB242" s="54"/>
      <c r="AC242" s="54"/>
    </row>
    <row r="243" spans="1:29" x14ac:dyDescent="0.2">
      <c r="A243" s="49"/>
      <c r="B243" s="49" t="s">
        <v>36</v>
      </c>
      <c r="C243" s="40">
        <v>0</v>
      </c>
      <c r="D243" s="40">
        <v>0</v>
      </c>
      <c r="E243" s="40">
        <v>0</v>
      </c>
      <c r="F243" s="40"/>
      <c r="G243" s="40">
        <v>0</v>
      </c>
      <c r="H243" s="40">
        <v>0</v>
      </c>
      <c r="I243" s="40">
        <v>0</v>
      </c>
      <c r="J243" s="67">
        <v>0</v>
      </c>
      <c r="K243" s="42"/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/>
      <c r="R243" s="40">
        <v>0</v>
      </c>
      <c r="S243" s="67">
        <v>0</v>
      </c>
      <c r="T243" s="41"/>
      <c r="U243" s="40"/>
      <c r="V243" s="41"/>
      <c r="W243" s="67">
        <v>0</v>
      </c>
      <c r="X243" s="44">
        <v>0</v>
      </c>
      <c r="Y243" s="44">
        <v>0</v>
      </c>
      <c r="Z243" s="54"/>
      <c r="AA243" s="54"/>
      <c r="AB243" s="54"/>
      <c r="AC243" s="54"/>
    </row>
    <row r="244" spans="1:29" x14ac:dyDescent="0.2">
      <c r="A244" s="49"/>
      <c r="B244" s="49" t="s">
        <v>36</v>
      </c>
      <c r="C244" s="40">
        <v>0</v>
      </c>
      <c r="D244" s="40">
        <v>0</v>
      </c>
      <c r="E244" s="40">
        <v>0</v>
      </c>
      <c r="F244" s="40"/>
      <c r="G244" s="40">
        <v>0</v>
      </c>
      <c r="H244" s="40">
        <v>0</v>
      </c>
      <c r="I244" s="40">
        <v>0</v>
      </c>
      <c r="J244" s="67">
        <v>0</v>
      </c>
      <c r="K244" s="42"/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/>
      <c r="R244" s="40">
        <v>0</v>
      </c>
      <c r="S244" s="67">
        <v>0</v>
      </c>
      <c r="T244" s="41"/>
      <c r="U244" s="40"/>
      <c r="V244" s="41"/>
      <c r="W244" s="67">
        <v>0</v>
      </c>
      <c r="X244" s="44">
        <v>0</v>
      </c>
      <c r="Y244" s="44">
        <v>0</v>
      </c>
      <c r="Z244" s="54"/>
      <c r="AA244" s="54"/>
      <c r="AB244" s="54"/>
      <c r="AC244" s="54"/>
    </row>
    <row r="245" spans="1:29" x14ac:dyDescent="0.2">
      <c r="A245" s="49"/>
      <c r="B245" s="49" t="s">
        <v>36</v>
      </c>
      <c r="C245" s="40">
        <v>0</v>
      </c>
      <c r="D245" s="40">
        <v>0</v>
      </c>
      <c r="E245" s="40">
        <v>0</v>
      </c>
      <c r="F245" s="40"/>
      <c r="G245" s="40">
        <v>0</v>
      </c>
      <c r="H245" s="40">
        <v>0</v>
      </c>
      <c r="I245" s="40">
        <v>0</v>
      </c>
      <c r="J245" s="67">
        <v>0</v>
      </c>
      <c r="K245" s="42"/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/>
      <c r="R245" s="40">
        <v>0</v>
      </c>
      <c r="S245" s="67">
        <v>0</v>
      </c>
      <c r="T245" s="41"/>
      <c r="U245" s="40"/>
      <c r="V245" s="41"/>
      <c r="W245" s="67">
        <v>0</v>
      </c>
      <c r="X245" s="44">
        <v>0</v>
      </c>
      <c r="Y245" s="44">
        <v>0</v>
      </c>
      <c r="Z245" s="54"/>
      <c r="AA245" s="54"/>
      <c r="AB245" s="54"/>
      <c r="AC245" s="54"/>
    </row>
    <row r="246" spans="1:29" x14ac:dyDescent="0.2">
      <c r="A246" s="49"/>
      <c r="B246" s="49" t="s">
        <v>36</v>
      </c>
      <c r="C246" s="40">
        <v>0</v>
      </c>
      <c r="D246" s="40">
        <v>0</v>
      </c>
      <c r="E246" s="40">
        <v>0</v>
      </c>
      <c r="F246" s="40"/>
      <c r="G246" s="40">
        <v>0</v>
      </c>
      <c r="H246" s="40">
        <v>0</v>
      </c>
      <c r="I246" s="40">
        <v>0</v>
      </c>
      <c r="J246" s="67">
        <v>0</v>
      </c>
      <c r="K246" s="42"/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/>
      <c r="R246" s="40">
        <v>0</v>
      </c>
      <c r="S246" s="67">
        <v>0</v>
      </c>
      <c r="T246" s="41"/>
      <c r="U246" s="40"/>
      <c r="V246" s="41"/>
      <c r="W246" s="67">
        <v>0</v>
      </c>
      <c r="X246" s="44">
        <v>0</v>
      </c>
      <c r="Y246" s="44">
        <v>0</v>
      </c>
      <c r="Z246" s="54"/>
      <c r="AA246" s="54"/>
      <c r="AB246" s="54"/>
      <c r="AC246" s="54"/>
    </row>
    <row r="247" spans="1:29" x14ac:dyDescent="0.2">
      <c r="A247" s="49"/>
      <c r="B247" s="49" t="s">
        <v>36</v>
      </c>
      <c r="C247" s="40">
        <v>0</v>
      </c>
      <c r="D247" s="40">
        <v>0</v>
      </c>
      <c r="E247" s="40">
        <v>0</v>
      </c>
      <c r="F247" s="40"/>
      <c r="G247" s="40">
        <v>0</v>
      </c>
      <c r="H247" s="40">
        <v>0</v>
      </c>
      <c r="I247" s="40">
        <v>0</v>
      </c>
      <c r="J247" s="67">
        <v>0</v>
      </c>
      <c r="K247" s="42"/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/>
      <c r="R247" s="40">
        <v>0</v>
      </c>
      <c r="S247" s="67">
        <v>0</v>
      </c>
      <c r="T247" s="41"/>
      <c r="U247" s="40"/>
      <c r="V247" s="41"/>
      <c r="W247" s="67">
        <v>0</v>
      </c>
      <c r="X247" s="44">
        <v>0</v>
      </c>
      <c r="Y247" s="44">
        <v>0</v>
      </c>
      <c r="Z247" s="54"/>
      <c r="AA247" s="54"/>
      <c r="AB247" s="54"/>
      <c r="AC247" s="54"/>
    </row>
    <row r="248" spans="1:29" x14ac:dyDescent="0.2">
      <c r="A248" s="49"/>
      <c r="B248" s="49" t="s">
        <v>36</v>
      </c>
      <c r="C248" s="40">
        <v>0</v>
      </c>
      <c r="D248" s="40">
        <v>0</v>
      </c>
      <c r="E248" s="40">
        <v>0</v>
      </c>
      <c r="F248" s="40"/>
      <c r="G248" s="40">
        <v>0</v>
      </c>
      <c r="H248" s="40">
        <v>0</v>
      </c>
      <c r="I248" s="40">
        <v>0</v>
      </c>
      <c r="J248" s="67">
        <v>0</v>
      </c>
      <c r="K248" s="42"/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/>
      <c r="R248" s="40">
        <v>0</v>
      </c>
      <c r="S248" s="67">
        <v>0</v>
      </c>
      <c r="T248" s="41"/>
      <c r="U248" s="40"/>
      <c r="V248" s="41"/>
      <c r="W248" s="67">
        <v>0</v>
      </c>
      <c r="X248" s="44">
        <v>0</v>
      </c>
      <c r="Y248" s="44">
        <v>0</v>
      </c>
      <c r="Z248" s="54"/>
      <c r="AA248" s="54"/>
      <c r="AB248" s="54"/>
      <c r="AC248" s="54"/>
    </row>
    <row r="249" spans="1:29" x14ac:dyDescent="0.2">
      <c r="A249" s="49"/>
      <c r="B249" s="49" t="s">
        <v>36</v>
      </c>
      <c r="C249" s="40">
        <v>0</v>
      </c>
      <c r="D249" s="40">
        <v>0</v>
      </c>
      <c r="E249" s="40">
        <v>0</v>
      </c>
      <c r="F249" s="40"/>
      <c r="G249" s="40">
        <v>0</v>
      </c>
      <c r="H249" s="40">
        <v>0</v>
      </c>
      <c r="I249" s="40">
        <v>0</v>
      </c>
      <c r="J249" s="67">
        <v>0</v>
      </c>
      <c r="K249" s="42"/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/>
      <c r="R249" s="40">
        <v>0</v>
      </c>
      <c r="S249" s="67">
        <v>0</v>
      </c>
      <c r="T249" s="41"/>
      <c r="U249" s="40"/>
      <c r="V249" s="41"/>
      <c r="W249" s="67">
        <v>0</v>
      </c>
      <c r="X249" s="44">
        <v>0</v>
      </c>
      <c r="Y249" s="44">
        <v>0</v>
      </c>
      <c r="Z249" s="54"/>
      <c r="AA249" s="54"/>
      <c r="AB249" s="54"/>
      <c r="AC249" s="54"/>
    </row>
    <row r="250" spans="1:29" x14ac:dyDescent="0.2">
      <c r="A250" s="49"/>
      <c r="B250" s="49" t="s">
        <v>36</v>
      </c>
      <c r="C250" s="40">
        <v>0</v>
      </c>
      <c r="D250" s="40">
        <v>0</v>
      </c>
      <c r="E250" s="40">
        <v>0</v>
      </c>
      <c r="F250" s="40"/>
      <c r="G250" s="40">
        <v>0</v>
      </c>
      <c r="H250" s="40">
        <v>0</v>
      </c>
      <c r="I250" s="40">
        <v>0</v>
      </c>
      <c r="J250" s="67">
        <v>0</v>
      </c>
      <c r="K250" s="42"/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/>
      <c r="R250" s="40">
        <v>0</v>
      </c>
      <c r="S250" s="67">
        <v>0</v>
      </c>
      <c r="T250" s="41"/>
      <c r="U250" s="40"/>
      <c r="V250" s="41"/>
      <c r="W250" s="67">
        <v>0</v>
      </c>
      <c r="X250" s="44">
        <v>0</v>
      </c>
      <c r="Y250" s="44">
        <v>0</v>
      </c>
      <c r="Z250" s="54"/>
      <c r="AA250" s="54"/>
      <c r="AB250" s="54"/>
      <c r="AC250" s="54"/>
    </row>
    <row r="251" spans="1:29" x14ac:dyDescent="0.2">
      <c r="A251" s="49"/>
      <c r="B251" s="49" t="s">
        <v>36</v>
      </c>
      <c r="C251" s="40">
        <v>0</v>
      </c>
      <c r="D251" s="40">
        <v>0</v>
      </c>
      <c r="E251" s="40">
        <v>0</v>
      </c>
      <c r="F251" s="40"/>
      <c r="G251" s="40">
        <v>0</v>
      </c>
      <c r="H251" s="40">
        <v>0</v>
      </c>
      <c r="I251" s="40">
        <v>0</v>
      </c>
      <c r="J251" s="67">
        <v>0</v>
      </c>
      <c r="K251" s="42"/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/>
      <c r="R251" s="40">
        <v>0</v>
      </c>
      <c r="S251" s="67">
        <v>0</v>
      </c>
      <c r="T251" s="41"/>
      <c r="U251" s="40"/>
      <c r="V251" s="41"/>
      <c r="W251" s="67">
        <v>0</v>
      </c>
      <c r="X251" s="44">
        <v>0</v>
      </c>
      <c r="Y251" s="44">
        <v>0</v>
      </c>
      <c r="Z251" s="54"/>
      <c r="AA251" s="54"/>
      <c r="AB251" s="54"/>
      <c r="AC251" s="54"/>
    </row>
    <row r="252" spans="1:29" x14ac:dyDescent="0.2">
      <c r="A252" s="49"/>
      <c r="B252" s="49" t="s">
        <v>36</v>
      </c>
      <c r="C252" s="40">
        <v>0</v>
      </c>
      <c r="D252" s="40">
        <v>0</v>
      </c>
      <c r="E252" s="40">
        <v>0</v>
      </c>
      <c r="F252" s="40"/>
      <c r="G252" s="40">
        <v>0</v>
      </c>
      <c r="H252" s="40">
        <v>0</v>
      </c>
      <c r="I252" s="40">
        <v>0</v>
      </c>
      <c r="J252" s="67">
        <v>0</v>
      </c>
      <c r="K252" s="43"/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/>
      <c r="R252" s="40">
        <v>0</v>
      </c>
      <c r="S252" s="67">
        <v>0</v>
      </c>
      <c r="T252" s="41"/>
      <c r="U252" s="40"/>
      <c r="V252" s="41"/>
      <c r="W252" s="67">
        <v>0</v>
      </c>
      <c r="X252" s="44">
        <v>0</v>
      </c>
      <c r="Y252" s="44">
        <v>0</v>
      </c>
      <c r="Z252" s="54"/>
      <c r="AA252" s="54"/>
      <c r="AB252" s="54"/>
      <c r="AC252" s="54"/>
    </row>
    <row r="253" spans="1:29" x14ac:dyDescent="0.2">
      <c r="A253" s="49"/>
      <c r="B253" s="49" t="s">
        <v>36</v>
      </c>
      <c r="C253" s="40">
        <v>0</v>
      </c>
      <c r="D253" s="40">
        <v>0</v>
      </c>
      <c r="E253" s="40">
        <v>0</v>
      </c>
      <c r="F253" s="40"/>
      <c r="G253" s="40">
        <v>0</v>
      </c>
      <c r="H253" s="40">
        <v>0</v>
      </c>
      <c r="I253" s="40">
        <v>0</v>
      </c>
      <c r="J253" s="67">
        <v>0</v>
      </c>
      <c r="K253" s="43"/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/>
      <c r="R253" s="40">
        <v>0</v>
      </c>
      <c r="S253" s="67">
        <v>0</v>
      </c>
      <c r="T253" s="41"/>
      <c r="U253" s="40"/>
      <c r="V253" s="41"/>
      <c r="W253" s="67">
        <v>0</v>
      </c>
      <c r="X253" s="44">
        <v>0</v>
      </c>
      <c r="Y253" s="44">
        <v>0</v>
      </c>
      <c r="Z253" s="54"/>
      <c r="AA253" s="54"/>
      <c r="AB253" s="54"/>
      <c r="AC253" s="54"/>
    </row>
    <row r="254" spans="1:29" x14ac:dyDescent="0.2">
      <c r="A254" s="49"/>
      <c r="B254" s="49" t="s">
        <v>36</v>
      </c>
      <c r="C254" s="40">
        <v>0</v>
      </c>
      <c r="D254" s="40">
        <v>0</v>
      </c>
      <c r="E254" s="40">
        <v>0</v>
      </c>
      <c r="F254" s="40"/>
      <c r="G254" s="40">
        <v>0</v>
      </c>
      <c r="H254" s="40">
        <v>0</v>
      </c>
      <c r="I254" s="40">
        <v>0</v>
      </c>
      <c r="J254" s="67">
        <v>0</v>
      </c>
      <c r="K254" s="43"/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/>
      <c r="R254" s="40">
        <v>0</v>
      </c>
      <c r="S254" s="67">
        <v>0</v>
      </c>
      <c r="T254" s="41"/>
      <c r="U254" s="40"/>
      <c r="V254" s="41"/>
      <c r="W254" s="67">
        <v>0</v>
      </c>
      <c r="X254" s="44">
        <v>0</v>
      </c>
      <c r="Y254" s="44">
        <v>0</v>
      </c>
      <c r="Z254" s="54"/>
      <c r="AA254" s="54"/>
      <c r="AB254" s="54"/>
      <c r="AC254" s="54"/>
    </row>
    <row r="255" spans="1:29" x14ac:dyDescent="0.2">
      <c r="A255" s="49"/>
      <c r="B255" s="49" t="s">
        <v>36</v>
      </c>
      <c r="C255" s="40">
        <v>0</v>
      </c>
      <c r="D255" s="40">
        <v>0</v>
      </c>
      <c r="E255" s="40">
        <v>0</v>
      </c>
      <c r="F255" s="40"/>
      <c r="G255" s="40">
        <v>0</v>
      </c>
      <c r="H255" s="40">
        <v>0</v>
      </c>
      <c r="I255" s="40">
        <v>0</v>
      </c>
      <c r="J255" s="67">
        <v>0</v>
      </c>
      <c r="K255" s="43"/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/>
      <c r="R255" s="40">
        <v>0</v>
      </c>
      <c r="S255" s="67">
        <v>0</v>
      </c>
      <c r="T255" s="41"/>
      <c r="U255" s="40"/>
      <c r="V255" s="41"/>
      <c r="W255" s="67">
        <v>0</v>
      </c>
      <c r="X255" s="44">
        <v>0</v>
      </c>
      <c r="Y255" s="44">
        <v>0</v>
      </c>
      <c r="Z255" s="54"/>
      <c r="AA255" s="54"/>
      <c r="AB255" s="54"/>
      <c r="AC255" s="54"/>
    </row>
    <row r="256" spans="1:29" x14ac:dyDescent="0.2">
      <c r="A256" s="49"/>
      <c r="B256" s="49" t="s">
        <v>36</v>
      </c>
      <c r="C256" s="40">
        <v>0</v>
      </c>
      <c r="D256" s="40">
        <v>0</v>
      </c>
      <c r="E256" s="40">
        <v>0</v>
      </c>
      <c r="F256" s="40"/>
      <c r="G256" s="40">
        <v>0</v>
      </c>
      <c r="H256" s="40">
        <v>0</v>
      </c>
      <c r="I256" s="40">
        <v>0</v>
      </c>
      <c r="J256" s="67">
        <v>0</v>
      </c>
      <c r="K256" s="43"/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/>
      <c r="R256" s="40">
        <v>0</v>
      </c>
      <c r="S256" s="67">
        <v>0</v>
      </c>
      <c r="T256" s="41"/>
      <c r="U256" s="40"/>
      <c r="V256" s="41"/>
      <c r="W256" s="67">
        <v>0</v>
      </c>
      <c r="X256" s="44">
        <v>0</v>
      </c>
      <c r="Y256" s="44">
        <v>0</v>
      </c>
      <c r="Z256" s="54"/>
      <c r="AA256" s="54"/>
      <c r="AB256" s="54"/>
      <c r="AC256" s="54"/>
    </row>
    <row r="257" spans="1:29" x14ac:dyDescent="0.2">
      <c r="A257" s="49"/>
      <c r="B257" s="49" t="s">
        <v>36</v>
      </c>
      <c r="C257" s="40">
        <v>0</v>
      </c>
      <c r="D257" s="40">
        <v>0</v>
      </c>
      <c r="E257" s="40">
        <v>0</v>
      </c>
      <c r="F257" s="40"/>
      <c r="G257" s="40">
        <v>0</v>
      </c>
      <c r="H257" s="40">
        <v>0</v>
      </c>
      <c r="I257" s="40">
        <v>0</v>
      </c>
      <c r="J257" s="67">
        <v>0</v>
      </c>
      <c r="K257" s="43"/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/>
      <c r="R257" s="40">
        <v>0</v>
      </c>
      <c r="S257" s="67">
        <v>0</v>
      </c>
      <c r="T257" s="41"/>
      <c r="U257" s="40"/>
      <c r="V257" s="41"/>
      <c r="W257" s="67">
        <v>0</v>
      </c>
      <c r="X257" s="44">
        <v>0</v>
      </c>
      <c r="Y257" s="44">
        <v>0</v>
      </c>
      <c r="Z257" s="54"/>
      <c r="AA257" s="54"/>
      <c r="AB257" s="54"/>
      <c r="AC257" s="54"/>
    </row>
    <row r="258" spans="1:29" x14ac:dyDescent="0.2">
      <c r="A258" s="49"/>
      <c r="B258" s="49" t="s">
        <v>36</v>
      </c>
      <c r="C258" s="40">
        <v>0</v>
      </c>
      <c r="D258" s="40">
        <v>0</v>
      </c>
      <c r="E258" s="40">
        <v>0</v>
      </c>
      <c r="F258" s="40"/>
      <c r="G258" s="40">
        <v>0</v>
      </c>
      <c r="H258" s="40">
        <v>0</v>
      </c>
      <c r="I258" s="40">
        <v>0</v>
      </c>
      <c r="J258" s="67">
        <v>0</v>
      </c>
      <c r="K258" s="43"/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/>
      <c r="R258" s="40">
        <v>0</v>
      </c>
      <c r="S258" s="67">
        <v>0</v>
      </c>
      <c r="T258" s="41"/>
      <c r="U258" s="40"/>
      <c r="V258" s="41"/>
      <c r="W258" s="67">
        <v>0</v>
      </c>
      <c r="X258" s="44">
        <v>0</v>
      </c>
      <c r="Y258" s="44">
        <v>0</v>
      </c>
      <c r="Z258" s="54"/>
      <c r="AA258" s="54"/>
      <c r="AB258" s="54"/>
      <c r="AC258" s="54"/>
    </row>
    <row r="259" spans="1:29" x14ac:dyDescent="0.2">
      <c r="A259" s="49"/>
      <c r="B259" s="49" t="s">
        <v>36</v>
      </c>
      <c r="C259" s="40">
        <v>0</v>
      </c>
      <c r="D259" s="40">
        <v>0</v>
      </c>
      <c r="E259" s="40">
        <v>0</v>
      </c>
      <c r="F259" s="40"/>
      <c r="G259" s="40">
        <v>0</v>
      </c>
      <c r="H259" s="40">
        <v>0</v>
      </c>
      <c r="I259" s="40">
        <v>0</v>
      </c>
      <c r="J259" s="67">
        <v>0</v>
      </c>
      <c r="K259" s="43"/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/>
      <c r="R259" s="40">
        <v>0</v>
      </c>
      <c r="S259" s="67">
        <v>0</v>
      </c>
      <c r="T259" s="41"/>
      <c r="U259" s="40"/>
      <c r="V259" s="41"/>
      <c r="W259" s="67">
        <v>0</v>
      </c>
      <c r="X259" s="44">
        <v>0</v>
      </c>
      <c r="Y259" s="44">
        <v>0</v>
      </c>
      <c r="Z259" s="54"/>
      <c r="AA259" s="54"/>
      <c r="AB259" s="54"/>
      <c r="AC259" s="54"/>
    </row>
    <row r="260" spans="1:29" x14ac:dyDescent="0.2">
      <c r="A260" s="49"/>
      <c r="B260" s="49" t="s">
        <v>36</v>
      </c>
      <c r="C260" s="40">
        <v>0</v>
      </c>
      <c r="D260" s="40">
        <v>0</v>
      </c>
      <c r="E260" s="40">
        <v>0</v>
      </c>
      <c r="F260" s="40"/>
      <c r="G260" s="40">
        <v>0</v>
      </c>
      <c r="H260" s="40">
        <v>0</v>
      </c>
      <c r="I260" s="40">
        <v>0</v>
      </c>
      <c r="J260" s="67">
        <v>0</v>
      </c>
      <c r="K260" s="43"/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/>
      <c r="R260" s="40">
        <v>0</v>
      </c>
      <c r="S260" s="67">
        <v>0</v>
      </c>
      <c r="T260" s="41"/>
      <c r="U260" s="40"/>
      <c r="V260" s="41"/>
      <c r="W260" s="67">
        <v>0</v>
      </c>
      <c r="X260" s="44">
        <v>0</v>
      </c>
      <c r="Y260" s="44">
        <v>0</v>
      </c>
      <c r="Z260" s="54"/>
      <c r="AA260" s="54"/>
      <c r="AB260" s="54"/>
      <c r="AC260" s="54"/>
    </row>
    <row r="261" spans="1:29" x14ac:dyDescent="0.2">
      <c r="A261" s="49"/>
      <c r="B261" s="49" t="s">
        <v>36</v>
      </c>
      <c r="C261" s="40">
        <v>0</v>
      </c>
      <c r="D261" s="40">
        <v>0</v>
      </c>
      <c r="E261" s="40">
        <v>0</v>
      </c>
      <c r="F261" s="40"/>
      <c r="G261" s="40">
        <v>0</v>
      </c>
      <c r="H261" s="40">
        <v>0</v>
      </c>
      <c r="I261" s="40">
        <v>0</v>
      </c>
      <c r="J261" s="67">
        <v>0</v>
      </c>
      <c r="K261" s="43"/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/>
      <c r="R261" s="40">
        <v>0</v>
      </c>
      <c r="S261" s="67">
        <v>0</v>
      </c>
      <c r="T261" s="41"/>
      <c r="U261" s="40"/>
      <c r="V261" s="41"/>
      <c r="W261" s="67">
        <v>0</v>
      </c>
      <c r="X261" s="44">
        <v>0</v>
      </c>
      <c r="Y261" s="44">
        <v>0</v>
      </c>
      <c r="Z261" s="54"/>
      <c r="AA261" s="54"/>
      <c r="AB261" s="54"/>
      <c r="AC261" s="54"/>
    </row>
    <row r="262" spans="1:29" x14ac:dyDescent="0.2">
      <c r="A262" s="49"/>
      <c r="B262" s="49" t="s">
        <v>36</v>
      </c>
      <c r="C262" s="40">
        <v>0</v>
      </c>
      <c r="D262" s="40">
        <v>0</v>
      </c>
      <c r="E262" s="40">
        <v>0</v>
      </c>
      <c r="F262" s="40"/>
      <c r="G262" s="40">
        <v>0</v>
      </c>
      <c r="H262" s="40">
        <v>0</v>
      </c>
      <c r="I262" s="40">
        <v>0</v>
      </c>
      <c r="J262" s="67">
        <v>0</v>
      </c>
      <c r="K262" s="43"/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/>
      <c r="R262" s="40">
        <v>0</v>
      </c>
      <c r="S262" s="67">
        <v>0</v>
      </c>
      <c r="T262" s="41"/>
      <c r="U262" s="40"/>
      <c r="V262" s="41"/>
      <c r="W262" s="67">
        <v>0</v>
      </c>
      <c r="X262" s="44">
        <v>0</v>
      </c>
      <c r="Y262" s="44">
        <v>0</v>
      </c>
      <c r="Z262" s="54"/>
      <c r="AA262" s="54"/>
      <c r="AB262" s="54"/>
      <c r="AC262" s="54"/>
    </row>
    <row r="263" spans="1:29" x14ac:dyDescent="0.2">
      <c r="A263" s="49"/>
      <c r="B263" s="49" t="s">
        <v>36</v>
      </c>
      <c r="C263" s="40">
        <v>0</v>
      </c>
      <c r="D263" s="40">
        <v>0</v>
      </c>
      <c r="E263" s="40">
        <v>0</v>
      </c>
      <c r="F263" s="40"/>
      <c r="G263" s="40">
        <v>0</v>
      </c>
      <c r="H263" s="40">
        <v>0</v>
      </c>
      <c r="I263" s="40">
        <v>0</v>
      </c>
      <c r="J263" s="67">
        <v>0</v>
      </c>
      <c r="K263" s="43"/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/>
      <c r="R263" s="40">
        <v>0</v>
      </c>
      <c r="S263" s="67">
        <v>0</v>
      </c>
      <c r="T263" s="41"/>
      <c r="U263" s="40"/>
      <c r="V263" s="41"/>
      <c r="W263" s="67">
        <v>0</v>
      </c>
      <c r="X263" s="44">
        <v>0</v>
      </c>
      <c r="Y263" s="44">
        <v>0</v>
      </c>
      <c r="Z263" s="54"/>
      <c r="AA263" s="54"/>
      <c r="AB263" s="54"/>
      <c r="AC263" s="54"/>
    </row>
    <row r="264" spans="1:29" x14ac:dyDescent="0.2">
      <c r="A264" s="49"/>
      <c r="B264" s="49" t="s">
        <v>36</v>
      </c>
      <c r="C264" s="40">
        <v>0</v>
      </c>
      <c r="D264" s="40">
        <v>0</v>
      </c>
      <c r="E264" s="40">
        <v>0</v>
      </c>
      <c r="F264" s="40"/>
      <c r="G264" s="40">
        <v>0</v>
      </c>
      <c r="H264" s="40">
        <v>0</v>
      </c>
      <c r="I264" s="40">
        <v>0</v>
      </c>
      <c r="J264" s="67">
        <v>0</v>
      </c>
      <c r="K264" s="43"/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/>
      <c r="R264" s="40">
        <v>0</v>
      </c>
      <c r="S264" s="67">
        <v>0</v>
      </c>
      <c r="T264" s="41"/>
      <c r="U264" s="40"/>
      <c r="V264" s="41"/>
      <c r="W264" s="67">
        <v>0</v>
      </c>
      <c r="X264" s="44">
        <v>0</v>
      </c>
      <c r="Y264" s="44">
        <v>0</v>
      </c>
      <c r="Z264" s="54"/>
      <c r="AA264" s="54"/>
      <c r="AB264" s="54"/>
      <c r="AC264" s="54"/>
    </row>
    <row r="265" spans="1:29" x14ac:dyDescent="0.2">
      <c r="A265" s="49"/>
      <c r="B265" s="49" t="s">
        <v>36</v>
      </c>
      <c r="C265" s="40">
        <v>0</v>
      </c>
      <c r="D265" s="40">
        <v>0</v>
      </c>
      <c r="E265" s="40">
        <v>0</v>
      </c>
      <c r="F265" s="40"/>
      <c r="G265" s="40">
        <v>0</v>
      </c>
      <c r="H265" s="40">
        <v>0</v>
      </c>
      <c r="I265" s="40">
        <v>0</v>
      </c>
      <c r="J265" s="67">
        <v>0</v>
      </c>
      <c r="K265" s="43"/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/>
      <c r="R265" s="40">
        <v>0</v>
      </c>
      <c r="S265" s="67">
        <v>0</v>
      </c>
      <c r="T265" s="41"/>
      <c r="U265" s="40"/>
      <c r="V265" s="41"/>
      <c r="W265" s="67">
        <v>0</v>
      </c>
      <c r="X265" s="44">
        <v>0</v>
      </c>
      <c r="Y265" s="44">
        <v>0</v>
      </c>
      <c r="Z265" s="54"/>
      <c r="AA265" s="54"/>
      <c r="AB265" s="54"/>
      <c r="AC265" s="54"/>
    </row>
    <row r="266" spans="1:29" x14ac:dyDescent="0.2">
      <c r="A266" s="49"/>
      <c r="B266" s="49" t="s">
        <v>36</v>
      </c>
      <c r="C266" s="40">
        <v>0</v>
      </c>
      <c r="D266" s="40">
        <v>0</v>
      </c>
      <c r="E266" s="40">
        <v>0</v>
      </c>
      <c r="F266" s="40"/>
      <c r="G266" s="40">
        <v>0</v>
      </c>
      <c r="H266" s="40">
        <v>0</v>
      </c>
      <c r="I266" s="40">
        <v>0</v>
      </c>
      <c r="J266" s="67">
        <v>0</v>
      </c>
      <c r="K266" s="43"/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/>
      <c r="R266" s="40">
        <v>0</v>
      </c>
      <c r="S266" s="67">
        <v>0</v>
      </c>
      <c r="T266" s="41"/>
      <c r="U266" s="40"/>
      <c r="V266" s="41"/>
      <c r="W266" s="67">
        <v>0</v>
      </c>
      <c r="X266" s="44">
        <v>0</v>
      </c>
      <c r="Y266" s="44">
        <v>0</v>
      </c>
      <c r="Z266" s="54"/>
      <c r="AA266" s="54"/>
      <c r="AB266" s="54"/>
      <c r="AC266" s="54"/>
    </row>
    <row r="267" spans="1:29" x14ac:dyDescent="0.2">
      <c r="A267" s="49"/>
      <c r="B267" s="49" t="s">
        <v>36</v>
      </c>
      <c r="C267" s="40">
        <v>0</v>
      </c>
      <c r="D267" s="40">
        <v>0</v>
      </c>
      <c r="E267" s="40">
        <v>0</v>
      </c>
      <c r="F267" s="40"/>
      <c r="G267" s="40">
        <v>0</v>
      </c>
      <c r="H267" s="40">
        <v>0</v>
      </c>
      <c r="I267" s="40">
        <v>0</v>
      </c>
      <c r="J267" s="67">
        <v>0</v>
      </c>
      <c r="K267" s="43"/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/>
      <c r="R267" s="40">
        <v>0</v>
      </c>
      <c r="S267" s="67">
        <v>0</v>
      </c>
      <c r="T267" s="41"/>
      <c r="U267" s="40"/>
      <c r="V267" s="41"/>
      <c r="W267" s="67">
        <v>0</v>
      </c>
      <c r="X267" s="44">
        <v>0</v>
      </c>
      <c r="Y267" s="44">
        <v>0</v>
      </c>
      <c r="Z267" s="54"/>
      <c r="AA267" s="54"/>
      <c r="AB267" s="54"/>
      <c r="AC267" s="54"/>
    </row>
    <row r="268" spans="1:29" x14ac:dyDescent="0.2">
      <c r="A268" s="49"/>
      <c r="B268" s="49" t="s">
        <v>36</v>
      </c>
      <c r="C268" s="40">
        <v>0</v>
      </c>
      <c r="D268" s="40">
        <v>0</v>
      </c>
      <c r="E268" s="40">
        <v>0</v>
      </c>
      <c r="F268" s="40"/>
      <c r="G268" s="40">
        <v>0</v>
      </c>
      <c r="H268" s="40">
        <v>0</v>
      </c>
      <c r="I268" s="40">
        <v>0</v>
      </c>
      <c r="J268" s="67">
        <v>0</v>
      </c>
      <c r="K268" s="43"/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/>
      <c r="R268" s="40">
        <v>0</v>
      </c>
      <c r="S268" s="67">
        <v>0</v>
      </c>
      <c r="T268" s="41"/>
      <c r="U268" s="40"/>
      <c r="V268" s="41"/>
      <c r="W268" s="67">
        <v>0</v>
      </c>
      <c r="X268" s="44">
        <v>0</v>
      </c>
      <c r="Y268" s="44">
        <v>0</v>
      </c>
      <c r="Z268" s="54"/>
      <c r="AA268" s="54"/>
      <c r="AB268" s="54"/>
      <c r="AC268" s="54"/>
    </row>
    <row r="269" spans="1:29" x14ac:dyDescent="0.2">
      <c r="A269" s="49"/>
      <c r="B269" s="49" t="s">
        <v>36</v>
      </c>
      <c r="C269" s="40">
        <v>0</v>
      </c>
      <c r="D269" s="40">
        <v>0</v>
      </c>
      <c r="E269" s="40">
        <v>0</v>
      </c>
      <c r="F269" s="40"/>
      <c r="G269" s="40">
        <v>0</v>
      </c>
      <c r="H269" s="40">
        <v>0</v>
      </c>
      <c r="I269" s="40">
        <v>0</v>
      </c>
      <c r="J269" s="67">
        <v>0</v>
      </c>
      <c r="K269" s="43"/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/>
      <c r="R269" s="40">
        <v>0</v>
      </c>
      <c r="S269" s="67">
        <v>0</v>
      </c>
      <c r="T269" s="41"/>
      <c r="U269" s="40"/>
      <c r="V269" s="41"/>
      <c r="W269" s="67">
        <v>0</v>
      </c>
      <c r="X269" s="44">
        <v>0</v>
      </c>
      <c r="Y269" s="44">
        <v>0</v>
      </c>
      <c r="Z269" s="54"/>
      <c r="AA269" s="54"/>
      <c r="AB269" s="54"/>
      <c r="AC269" s="54"/>
    </row>
    <row r="270" spans="1:29" x14ac:dyDescent="0.2">
      <c r="A270" s="49"/>
      <c r="B270" s="49" t="s">
        <v>36</v>
      </c>
      <c r="C270" s="40">
        <v>0</v>
      </c>
      <c r="D270" s="40">
        <v>0</v>
      </c>
      <c r="E270" s="40">
        <v>0</v>
      </c>
      <c r="F270" s="40"/>
      <c r="G270" s="40">
        <v>0</v>
      </c>
      <c r="H270" s="40">
        <v>0</v>
      </c>
      <c r="I270" s="40">
        <v>0</v>
      </c>
      <c r="J270" s="67">
        <v>0</v>
      </c>
      <c r="K270" s="43"/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/>
      <c r="R270" s="40">
        <v>0</v>
      </c>
      <c r="S270" s="67">
        <v>0</v>
      </c>
      <c r="T270" s="41"/>
      <c r="U270" s="40"/>
      <c r="V270" s="41"/>
      <c r="W270" s="67">
        <v>0</v>
      </c>
      <c r="X270" s="44">
        <v>0</v>
      </c>
      <c r="Y270" s="44">
        <v>0</v>
      </c>
      <c r="Z270" s="54"/>
      <c r="AA270" s="54"/>
      <c r="AB270" s="54"/>
      <c r="AC270" s="54"/>
    </row>
    <row r="271" spans="1:29" x14ac:dyDescent="0.2">
      <c r="A271" s="49"/>
      <c r="B271" s="49" t="s">
        <v>36</v>
      </c>
      <c r="C271" s="40">
        <v>0</v>
      </c>
      <c r="D271" s="40">
        <v>0</v>
      </c>
      <c r="E271" s="40">
        <v>0</v>
      </c>
      <c r="F271" s="40"/>
      <c r="G271" s="40">
        <v>0</v>
      </c>
      <c r="H271" s="40">
        <v>0</v>
      </c>
      <c r="I271" s="40">
        <v>0</v>
      </c>
      <c r="J271" s="67">
        <v>0</v>
      </c>
      <c r="K271" s="43"/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/>
      <c r="R271" s="40">
        <v>0</v>
      </c>
      <c r="S271" s="67">
        <v>0</v>
      </c>
      <c r="T271" s="41"/>
      <c r="U271" s="40"/>
      <c r="V271" s="41"/>
      <c r="W271" s="67">
        <v>0</v>
      </c>
      <c r="X271" s="44">
        <v>0</v>
      </c>
      <c r="Y271" s="44">
        <v>0</v>
      </c>
      <c r="Z271" s="54"/>
      <c r="AA271" s="54"/>
      <c r="AB271" s="54"/>
      <c r="AC271" s="54"/>
    </row>
    <row r="272" spans="1:29" x14ac:dyDescent="0.2">
      <c r="A272" s="49"/>
      <c r="B272" s="49" t="s">
        <v>36</v>
      </c>
      <c r="C272" s="40">
        <v>0</v>
      </c>
      <c r="D272" s="40">
        <v>0</v>
      </c>
      <c r="E272" s="40">
        <v>0</v>
      </c>
      <c r="F272" s="40"/>
      <c r="G272" s="40">
        <v>0</v>
      </c>
      <c r="H272" s="40">
        <v>0</v>
      </c>
      <c r="I272" s="40">
        <v>0</v>
      </c>
      <c r="J272" s="67">
        <v>0</v>
      </c>
      <c r="K272" s="43"/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/>
      <c r="R272" s="40">
        <v>0</v>
      </c>
      <c r="S272" s="67">
        <v>0</v>
      </c>
      <c r="T272" s="41"/>
      <c r="U272" s="40"/>
      <c r="V272" s="41"/>
      <c r="W272" s="67">
        <v>0</v>
      </c>
      <c r="X272" s="44">
        <v>0</v>
      </c>
      <c r="Y272" s="44">
        <v>0</v>
      </c>
      <c r="Z272" s="54"/>
      <c r="AA272" s="54"/>
      <c r="AB272" s="54"/>
      <c r="AC272" s="54"/>
    </row>
    <row r="273" spans="1:29" x14ac:dyDescent="0.2">
      <c r="A273" s="49"/>
      <c r="B273" s="49" t="s">
        <v>36</v>
      </c>
      <c r="C273" s="40">
        <v>0</v>
      </c>
      <c r="D273" s="40">
        <v>0</v>
      </c>
      <c r="E273" s="40">
        <v>0</v>
      </c>
      <c r="F273" s="40"/>
      <c r="G273" s="40">
        <v>0</v>
      </c>
      <c r="H273" s="40">
        <v>0</v>
      </c>
      <c r="I273" s="40">
        <v>0</v>
      </c>
      <c r="J273" s="67">
        <v>0</v>
      </c>
      <c r="K273" s="43"/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/>
      <c r="R273" s="40">
        <v>0</v>
      </c>
      <c r="S273" s="67">
        <v>0</v>
      </c>
      <c r="T273" s="41"/>
      <c r="U273" s="40"/>
      <c r="V273" s="41"/>
      <c r="W273" s="67">
        <v>0</v>
      </c>
      <c r="X273" s="44">
        <v>0</v>
      </c>
      <c r="Y273" s="44">
        <v>0</v>
      </c>
      <c r="Z273" s="54"/>
      <c r="AA273" s="54"/>
      <c r="AB273" s="54"/>
      <c r="AC273" s="54"/>
    </row>
    <row r="274" spans="1:29" x14ac:dyDescent="0.2">
      <c r="A274" s="49"/>
      <c r="B274" s="49" t="s">
        <v>36</v>
      </c>
      <c r="C274" s="40">
        <v>0</v>
      </c>
      <c r="D274" s="40">
        <v>0</v>
      </c>
      <c r="E274" s="40">
        <v>0</v>
      </c>
      <c r="F274" s="40"/>
      <c r="G274" s="40">
        <v>0</v>
      </c>
      <c r="H274" s="40">
        <v>0</v>
      </c>
      <c r="I274" s="40">
        <v>0</v>
      </c>
      <c r="J274" s="67">
        <v>0</v>
      </c>
      <c r="K274" s="43"/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/>
      <c r="R274" s="40">
        <v>0</v>
      </c>
      <c r="S274" s="67">
        <v>0</v>
      </c>
      <c r="T274" s="41"/>
      <c r="U274" s="40"/>
      <c r="V274" s="41"/>
      <c r="W274" s="67">
        <v>0</v>
      </c>
      <c r="X274" s="44">
        <v>0</v>
      </c>
      <c r="Y274" s="44">
        <v>0</v>
      </c>
      <c r="Z274" s="54"/>
      <c r="AA274" s="54"/>
      <c r="AB274" s="54"/>
      <c r="AC274" s="54"/>
    </row>
    <row r="275" spans="1:29" x14ac:dyDescent="0.2">
      <c r="A275" s="49"/>
      <c r="B275" s="49" t="s">
        <v>36</v>
      </c>
      <c r="C275" s="40">
        <v>0</v>
      </c>
      <c r="D275" s="40">
        <v>0</v>
      </c>
      <c r="E275" s="40">
        <v>0</v>
      </c>
      <c r="F275" s="40"/>
      <c r="G275" s="40">
        <v>0</v>
      </c>
      <c r="H275" s="40">
        <v>0</v>
      </c>
      <c r="I275" s="40">
        <v>0</v>
      </c>
      <c r="J275" s="67">
        <v>0</v>
      </c>
      <c r="K275" s="43"/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/>
      <c r="R275" s="40">
        <v>0</v>
      </c>
      <c r="S275" s="67">
        <v>0</v>
      </c>
      <c r="T275" s="41"/>
      <c r="U275" s="40"/>
      <c r="V275" s="41"/>
      <c r="W275" s="67">
        <v>0</v>
      </c>
      <c r="X275" s="44">
        <v>0</v>
      </c>
      <c r="Y275" s="44">
        <v>0</v>
      </c>
      <c r="Z275" s="54"/>
      <c r="AA275" s="54"/>
      <c r="AB275" s="54"/>
      <c r="AC275" s="54"/>
    </row>
    <row r="276" spans="1:29" x14ac:dyDescent="0.2">
      <c r="A276" s="49"/>
      <c r="B276" s="49" t="s">
        <v>36</v>
      </c>
      <c r="C276" s="40">
        <v>0</v>
      </c>
      <c r="D276" s="40">
        <v>0</v>
      </c>
      <c r="E276" s="40">
        <v>0</v>
      </c>
      <c r="F276" s="40"/>
      <c r="G276" s="40">
        <v>0</v>
      </c>
      <c r="H276" s="40">
        <v>0</v>
      </c>
      <c r="I276" s="40">
        <v>0</v>
      </c>
      <c r="J276" s="67">
        <v>0</v>
      </c>
      <c r="K276" s="43"/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/>
      <c r="R276" s="40">
        <v>0</v>
      </c>
      <c r="S276" s="67">
        <v>0</v>
      </c>
      <c r="T276" s="41"/>
      <c r="U276" s="40"/>
      <c r="V276" s="41"/>
      <c r="W276" s="67">
        <v>0</v>
      </c>
      <c r="X276" s="44">
        <v>0</v>
      </c>
      <c r="Y276" s="44">
        <v>0</v>
      </c>
      <c r="Z276" s="54"/>
      <c r="AA276" s="54"/>
      <c r="AB276" s="54"/>
      <c r="AC276" s="54"/>
    </row>
    <row r="277" spans="1:29" x14ac:dyDescent="0.2">
      <c r="A277" s="49"/>
      <c r="B277" s="49" t="s">
        <v>36</v>
      </c>
      <c r="C277" s="40">
        <v>0</v>
      </c>
      <c r="D277" s="40">
        <v>0</v>
      </c>
      <c r="E277" s="40">
        <v>0</v>
      </c>
      <c r="F277" s="40"/>
      <c r="G277" s="40">
        <v>0</v>
      </c>
      <c r="H277" s="40">
        <v>0</v>
      </c>
      <c r="I277" s="40">
        <v>0</v>
      </c>
      <c r="J277" s="67">
        <v>0</v>
      </c>
      <c r="K277" s="43"/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/>
      <c r="R277" s="40">
        <v>0</v>
      </c>
      <c r="S277" s="67">
        <v>0</v>
      </c>
      <c r="T277" s="41"/>
      <c r="U277" s="40"/>
      <c r="V277" s="41"/>
      <c r="W277" s="67">
        <v>0</v>
      </c>
      <c r="X277" s="44">
        <v>0</v>
      </c>
      <c r="Y277" s="44">
        <v>0</v>
      </c>
      <c r="Z277" s="54"/>
      <c r="AA277" s="54"/>
      <c r="AB277" s="54"/>
      <c r="AC277" s="54"/>
    </row>
    <row r="278" spans="1:29" x14ac:dyDescent="0.2">
      <c r="A278" s="49"/>
      <c r="B278" s="49" t="s">
        <v>36</v>
      </c>
      <c r="C278" s="40">
        <v>0</v>
      </c>
      <c r="D278" s="40">
        <v>0</v>
      </c>
      <c r="E278" s="40">
        <v>0</v>
      </c>
      <c r="F278" s="40"/>
      <c r="G278" s="40">
        <v>0</v>
      </c>
      <c r="H278" s="40">
        <v>0</v>
      </c>
      <c r="I278" s="40">
        <v>0</v>
      </c>
      <c r="J278" s="67">
        <v>0</v>
      </c>
      <c r="K278" s="43"/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/>
      <c r="R278" s="40">
        <v>0</v>
      </c>
      <c r="S278" s="67">
        <v>0</v>
      </c>
      <c r="T278" s="41"/>
      <c r="U278" s="40"/>
      <c r="V278" s="41"/>
      <c r="W278" s="67">
        <v>0</v>
      </c>
      <c r="X278" s="44">
        <v>0</v>
      </c>
      <c r="Y278" s="44">
        <v>0</v>
      </c>
      <c r="Z278" s="54"/>
      <c r="AA278" s="54"/>
      <c r="AB278" s="54"/>
      <c r="AC278" s="54"/>
    </row>
    <row r="279" spans="1:29" x14ac:dyDescent="0.2">
      <c r="A279" s="49"/>
      <c r="B279" s="49" t="s">
        <v>36</v>
      </c>
      <c r="C279" s="40">
        <v>0</v>
      </c>
      <c r="D279" s="40">
        <v>0</v>
      </c>
      <c r="E279" s="40">
        <v>0</v>
      </c>
      <c r="F279" s="40"/>
      <c r="G279" s="40">
        <v>0</v>
      </c>
      <c r="H279" s="40">
        <v>0</v>
      </c>
      <c r="I279" s="40">
        <v>0</v>
      </c>
      <c r="J279" s="67">
        <v>0</v>
      </c>
      <c r="K279" s="43"/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/>
      <c r="R279" s="40">
        <v>0</v>
      </c>
      <c r="S279" s="67">
        <v>0</v>
      </c>
      <c r="T279" s="41"/>
      <c r="U279" s="40"/>
      <c r="V279" s="41"/>
      <c r="W279" s="67">
        <v>0</v>
      </c>
      <c r="X279" s="44">
        <v>0</v>
      </c>
      <c r="Y279" s="44">
        <v>0</v>
      </c>
      <c r="Z279" s="54"/>
      <c r="AA279" s="54"/>
      <c r="AB279" s="54"/>
      <c r="AC279" s="54"/>
    </row>
    <row r="280" spans="1:29" x14ac:dyDescent="0.2">
      <c r="A280" s="49"/>
      <c r="B280" s="49" t="s">
        <v>36</v>
      </c>
      <c r="C280" s="40">
        <v>0</v>
      </c>
      <c r="D280" s="40">
        <v>0</v>
      </c>
      <c r="E280" s="40">
        <v>0</v>
      </c>
      <c r="F280" s="40"/>
      <c r="G280" s="40">
        <v>0</v>
      </c>
      <c r="H280" s="40">
        <v>0</v>
      </c>
      <c r="I280" s="40">
        <v>0</v>
      </c>
      <c r="J280" s="67">
        <v>0</v>
      </c>
      <c r="K280" s="43"/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/>
      <c r="R280" s="40">
        <v>0</v>
      </c>
      <c r="S280" s="67">
        <v>0</v>
      </c>
      <c r="T280" s="41"/>
      <c r="U280" s="40"/>
      <c r="V280" s="41"/>
      <c r="W280" s="67">
        <v>0</v>
      </c>
      <c r="X280" s="44">
        <v>0</v>
      </c>
      <c r="Y280" s="44">
        <v>0</v>
      </c>
      <c r="Z280" s="54"/>
      <c r="AA280" s="54"/>
      <c r="AB280" s="54"/>
      <c r="AC280" s="54"/>
    </row>
    <row r="281" spans="1:29" x14ac:dyDescent="0.2">
      <c r="A281" s="49"/>
      <c r="B281" s="49" t="s">
        <v>36</v>
      </c>
      <c r="C281" s="40">
        <v>0</v>
      </c>
      <c r="D281" s="40">
        <v>0</v>
      </c>
      <c r="E281" s="40">
        <v>0</v>
      </c>
      <c r="F281" s="40"/>
      <c r="G281" s="40">
        <v>0</v>
      </c>
      <c r="H281" s="40">
        <v>0</v>
      </c>
      <c r="I281" s="40">
        <v>0</v>
      </c>
      <c r="J281" s="67">
        <v>0</v>
      </c>
      <c r="K281" s="43"/>
      <c r="L281" s="40">
        <v>0</v>
      </c>
      <c r="M281" s="40">
        <v>0</v>
      </c>
      <c r="N281" s="40">
        <v>0</v>
      </c>
      <c r="O281" s="40">
        <v>0</v>
      </c>
      <c r="P281" s="40">
        <v>0</v>
      </c>
      <c r="Q281" s="40"/>
      <c r="R281" s="40">
        <v>0</v>
      </c>
      <c r="S281" s="67">
        <v>0</v>
      </c>
      <c r="T281" s="41"/>
      <c r="U281" s="40"/>
      <c r="V281" s="41"/>
      <c r="W281" s="67">
        <v>0</v>
      </c>
      <c r="X281" s="44">
        <v>0</v>
      </c>
      <c r="Y281" s="44">
        <v>0</v>
      </c>
      <c r="Z281" s="54"/>
      <c r="AA281" s="54"/>
      <c r="AB281" s="54"/>
      <c r="AC281" s="54"/>
    </row>
    <row r="282" spans="1:29" x14ac:dyDescent="0.2">
      <c r="A282" s="49"/>
      <c r="B282" s="49" t="s">
        <v>36</v>
      </c>
      <c r="C282" s="40">
        <v>0</v>
      </c>
      <c r="D282" s="40">
        <v>0</v>
      </c>
      <c r="E282" s="40">
        <v>0</v>
      </c>
      <c r="F282" s="40"/>
      <c r="G282" s="40">
        <v>0</v>
      </c>
      <c r="H282" s="40">
        <v>0</v>
      </c>
      <c r="I282" s="40">
        <v>0</v>
      </c>
      <c r="J282" s="67">
        <v>0</v>
      </c>
      <c r="K282" s="43"/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/>
      <c r="R282" s="40">
        <v>0</v>
      </c>
      <c r="S282" s="67">
        <v>0</v>
      </c>
      <c r="T282" s="41"/>
      <c r="U282" s="40"/>
      <c r="V282" s="41"/>
      <c r="W282" s="67">
        <v>0</v>
      </c>
      <c r="X282" s="44">
        <v>0</v>
      </c>
      <c r="Y282" s="44">
        <v>0</v>
      </c>
      <c r="Z282" s="54"/>
      <c r="AA282" s="54"/>
      <c r="AB282" s="54"/>
      <c r="AC282" s="54"/>
    </row>
    <row r="283" spans="1:29" x14ac:dyDescent="0.2">
      <c r="A283" s="49"/>
      <c r="B283" s="49" t="s">
        <v>36</v>
      </c>
      <c r="C283" s="40">
        <v>0</v>
      </c>
      <c r="D283" s="40">
        <v>0</v>
      </c>
      <c r="E283" s="40">
        <v>0</v>
      </c>
      <c r="F283" s="40"/>
      <c r="G283" s="40">
        <v>0</v>
      </c>
      <c r="H283" s="40">
        <v>0</v>
      </c>
      <c r="I283" s="40">
        <v>0</v>
      </c>
      <c r="J283" s="67">
        <v>0</v>
      </c>
      <c r="K283" s="43"/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/>
      <c r="R283" s="40">
        <v>0</v>
      </c>
      <c r="S283" s="67">
        <v>0</v>
      </c>
      <c r="T283" s="41"/>
      <c r="U283" s="40"/>
      <c r="V283" s="41"/>
      <c r="W283" s="67">
        <v>0</v>
      </c>
      <c r="X283" s="44">
        <v>0</v>
      </c>
      <c r="Y283" s="44">
        <v>0</v>
      </c>
      <c r="Z283" s="54"/>
      <c r="AA283" s="54"/>
      <c r="AB283" s="54"/>
      <c r="AC283" s="54"/>
    </row>
    <row r="284" spans="1:29" x14ac:dyDescent="0.2">
      <c r="A284" s="49"/>
      <c r="B284" s="49" t="s">
        <v>36</v>
      </c>
      <c r="C284" s="40">
        <v>0</v>
      </c>
      <c r="D284" s="40">
        <v>0</v>
      </c>
      <c r="E284" s="40">
        <v>0</v>
      </c>
      <c r="F284" s="40"/>
      <c r="G284" s="40">
        <v>0</v>
      </c>
      <c r="H284" s="40">
        <v>0</v>
      </c>
      <c r="I284" s="40">
        <v>0</v>
      </c>
      <c r="J284" s="67">
        <v>0</v>
      </c>
      <c r="K284" s="43"/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/>
      <c r="R284" s="40">
        <v>0</v>
      </c>
      <c r="S284" s="67">
        <v>0</v>
      </c>
      <c r="T284" s="41"/>
      <c r="U284" s="40"/>
      <c r="V284" s="41"/>
      <c r="W284" s="67">
        <v>0</v>
      </c>
      <c r="X284" s="44">
        <v>0</v>
      </c>
      <c r="Y284" s="44">
        <v>0</v>
      </c>
      <c r="Z284" s="54"/>
      <c r="AA284" s="54"/>
      <c r="AB284" s="54"/>
      <c r="AC284" s="54"/>
    </row>
    <row r="285" spans="1:29" x14ac:dyDescent="0.2">
      <c r="A285" s="49"/>
      <c r="B285" s="49" t="s">
        <v>36</v>
      </c>
      <c r="C285" s="40">
        <v>0</v>
      </c>
      <c r="D285" s="40">
        <v>0</v>
      </c>
      <c r="E285" s="40">
        <v>0</v>
      </c>
      <c r="F285" s="40"/>
      <c r="G285" s="40">
        <v>0</v>
      </c>
      <c r="H285" s="40">
        <v>0</v>
      </c>
      <c r="I285" s="40">
        <v>0</v>
      </c>
      <c r="J285" s="67">
        <v>0</v>
      </c>
      <c r="K285" s="43"/>
      <c r="L285" s="40">
        <v>0</v>
      </c>
      <c r="M285" s="40">
        <v>0</v>
      </c>
      <c r="N285" s="40">
        <v>0</v>
      </c>
      <c r="O285" s="40">
        <v>0</v>
      </c>
      <c r="P285" s="40">
        <v>0</v>
      </c>
      <c r="Q285" s="40"/>
      <c r="R285" s="40">
        <v>0</v>
      </c>
      <c r="S285" s="67">
        <v>0</v>
      </c>
      <c r="T285" s="41"/>
      <c r="U285" s="40"/>
      <c r="V285" s="41"/>
      <c r="W285" s="67">
        <v>0</v>
      </c>
      <c r="X285" s="44">
        <v>0</v>
      </c>
      <c r="Y285" s="44">
        <v>0</v>
      </c>
      <c r="Z285" s="54"/>
      <c r="AA285" s="54"/>
      <c r="AB285" s="54"/>
      <c r="AC285" s="54"/>
    </row>
    <row r="286" spans="1:29" x14ac:dyDescent="0.2">
      <c r="A286" s="49"/>
      <c r="B286" s="49" t="s">
        <v>36</v>
      </c>
      <c r="C286" s="40">
        <v>0</v>
      </c>
      <c r="D286" s="40">
        <v>0</v>
      </c>
      <c r="E286" s="40">
        <v>0</v>
      </c>
      <c r="F286" s="40"/>
      <c r="G286" s="40">
        <v>0</v>
      </c>
      <c r="H286" s="40">
        <v>0</v>
      </c>
      <c r="I286" s="40">
        <v>0</v>
      </c>
      <c r="J286" s="67">
        <v>0</v>
      </c>
      <c r="K286" s="43"/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/>
      <c r="R286" s="40">
        <v>0</v>
      </c>
      <c r="S286" s="67">
        <v>0</v>
      </c>
      <c r="T286" s="41"/>
      <c r="U286" s="40"/>
      <c r="V286" s="41"/>
      <c r="W286" s="67">
        <v>0</v>
      </c>
      <c r="X286" s="44">
        <v>0</v>
      </c>
      <c r="Y286" s="44">
        <v>0</v>
      </c>
      <c r="Z286" s="54"/>
      <c r="AA286" s="54"/>
      <c r="AB286" s="54"/>
      <c r="AC286" s="54"/>
    </row>
    <row r="287" spans="1:29" x14ac:dyDescent="0.2">
      <c r="A287" s="49"/>
      <c r="B287" s="49" t="s">
        <v>36</v>
      </c>
      <c r="C287" s="40">
        <v>0</v>
      </c>
      <c r="D287" s="40">
        <v>0</v>
      </c>
      <c r="E287" s="40">
        <v>0</v>
      </c>
      <c r="F287" s="40"/>
      <c r="G287" s="40">
        <v>0</v>
      </c>
      <c r="H287" s="40">
        <v>0</v>
      </c>
      <c r="I287" s="40">
        <v>0</v>
      </c>
      <c r="J287" s="67">
        <v>0</v>
      </c>
      <c r="K287" s="43"/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/>
      <c r="R287" s="40">
        <v>0</v>
      </c>
      <c r="S287" s="67">
        <v>0</v>
      </c>
      <c r="T287" s="41"/>
      <c r="U287" s="40"/>
      <c r="V287" s="41"/>
      <c r="W287" s="67">
        <v>0</v>
      </c>
      <c r="X287" s="44">
        <v>0</v>
      </c>
      <c r="Y287" s="44">
        <v>0</v>
      </c>
      <c r="Z287" s="54"/>
      <c r="AA287" s="54"/>
      <c r="AB287" s="54"/>
      <c r="AC287" s="54"/>
    </row>
    <row r="288" spans="1:29" x14ac:dyDescent="0.2">
      <c r="A288" s="49"/>
      <c r="B288" s="49" t="s">
        <v>36</v>
      </c>
      <c r="C288" s="40">
        <v>0</v>
      </c>
      <c r="D288" s="40">
        <v>0</v>
      </c>
      <c r="E288" s="40">
        <v>0</v>
      </c>
      <c r="F288" s="40"/>
      <c r="G288" s="40">
        <v>0</v>
      </c>
      <c r="H288" s="40">
        <v>0</v>
      </c>
      <c r="I288" s="40">
        <v>0</v>
      </c>
      <c r="J288" s="67">
        <v>0</v>
      </c>
      <c r="K288" s="43"/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/>
      <c r="R288" s="40">
        <v>0</v>
      </c>
      <c r="S288" s="67">
        <v>0</v>
      </c>
      <c r="T288" s="41"/>
      <c r="U288" s="40"/>
      <c r="V288" s="41"/>
      <c r="W288" s="67">
        <v>0</v>
      </c>
      <c r="X288" s="44">
        <v>0</v>
      </c>
      <c r="Y288" s="44">
        <v>0</v>
      </c>
      <c r="Z288" s="54"/>
      <c r="AA288" s="54"/>
      <c r="AB288" s="54"/>
      <c r="AC288" s="54"/>
    </row>
    <row r="289" spans="1:29" x14ac:dyDescent="0.2">
      <c r="A289" s="49"/>
      <c r="B289" s="49" t="s">
        <v>36</v>
      </c>
      <c r="C289" s="40">
        <v>0</v>
      </c>
      <c r="D289" s="40">
        <v>0</v>
      </c>
      <c r="E289" s="40">
        <v>0</v>
      </c>
      <c r="F289" s="40"/>
      <c r="G289" s="40">
        <v>0</v>
      </c>
      <c r="H289" s="40">
        <v>0</v>
      </c>
      <c r="I289" s="40">
        <v>0</v>
      </c>
      <c r="J289" s="67">
        <v>0</v>
      </c>
      <c r="K289" s="43"/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/>
      <c r="R289" s="40">
        <v>0</v>
      </c>
      <c r="S289" s="67">
        <v>0</v>
      </c>
      <c r="T289" s="41"/>
      <c r="U289" s="40"/>
      <c r="V289" s="41"/>
      <c r="W289" s="67">
        <v>0</v>
      </c>
      <c r="X289" s="44">
        <v>0</v>
      </c>
      <c r="Y289" s="44">
        <v>0</v>
      </c>
      <c r="Z289" s="54"/>
      <c r="AA289" s="54"/>
      <c r="AB289" s="54"/>
      <c r="AC289" s="54"/>
    </row>
    <row r="290" spans="1:29" x14ac:dyDescent="0.2">
      <c r="A290" s="49"/>
      <c r="B290" s="49" t="s">
        <v>36</v>
      </c>
      <c r="C290" s="40">
        <v>0</v>
      </c>
      <c r="D290" s="40">
        <v>0</v>
      </c>
      <c r="E290" s="40">
        <v>0</v>
      </c>
      <c r="F290" s="40"/>
      <c r="G290" s="40">
        <v>0</v>
      </c>
      <c r="H290" s="40">
        <v>0</v>
      </c>
      <c r="I290" s="40">
        <v>0</v>
      </c>
      <c r="J290" s="67">
        <v>0</v>
      </c>
      <c r="K290" s="43"/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/>
      <c r="R290" s="40">
        <v>0</v>
      </c>
      <c r="S290" s="67">
        <v>0</v>
      </c>
      <c r="T290" s="41"/>
      <c r="U290" s="40"/>
      <c r="V290" s="41"/>
      <c r="W290" s="67">
        <v>0</v>
      </c>
      <c r="X290" s="44">
        <v>0</v>
      </c>
      <c r="Y290" s="44">
        <v>0</v>
      </c>
      <c r="Z290" s="54"/>
      <c r="AA290" s="54"/>
      <c r="AB290" s="54"/>
      <c r="AC290" s="54"/>
    </row>
    <row r="291" spans="1:29" x14ac:dyDescent="0.2">
      <c r="A291" s="49"/>
      <c r="B291" s="49" t="s">
        <v>36</v>
      </c>
      <c r="C291" s="40">
        <v>0</v>
      </c>
      <c r="D291" s="40">
        <v>0</v>
      </c>
      <c r="E291" s="40">
        <v>0</v>
      </c>
      <c r="F291" s="40"/>
      <c r="G291" s="40">
        <v>0</v>
      </c>
      <c r="H291" s="40">
        <v>0</v>
      </c>
      <c r="I291" s="40">
        <v>0</v>
      </c>
      <c r="J291" s="67">
        <v>0</v>
      </c>
      <c r="K291" s="43"/>
      <c r="L291" s="40">
        <v>0</v>
      </c>
      <c r="M291" s="40">
        <v>0</v>
      </c>
      <c r="N291" s="40">
        <v>0</v>
      </c>
      <c r="O291" s="40">
        <v>0</v>
      </c>
      <c r="P291" s="40">
        <v>0</v>
      </c>
      <c r="Q291" s="40"/>
      <c r="R291" s="40">
        <v>0</v>
      </c>
      <c r="S291" s="67">
        <v>0</v>
      </c>
      <c r="T291" s="41"/>
      <c r="U291" s="40"/>
      <c r="V291" s="41"/>
      <c r="W291" s="67">
        <v>0</v>
      </c>
      <c r="X291" s="44">
        <v>0</v>
      </c>
      <c r="Y291" s="44">
        <v>0</v>
      </c>
      <c r="Z291" s="54"/>
      <c r="AA291" s="54"/>
      <c r="AB291" s="54"/>
      <c r="AC291" s="54"/>
    </row>
    <row r="292" spans="1:29" x14ac:dyDescent="0.2">
      <c r="A292" s="49"/>
      <c r="B292" s="49" t="s">
        <v>36</v>
      </c>
      <c r="C292" s="40">
        <v>0</v>
      </c>
      <c r="D292" s="40">
        <v>0</v>
      </c>
      <c r="E292" s="40">
        <v>0</v>
      </c>
      <c r="F292" s="40"/>
      <c r="G292" s="40">
        <v>0</v>
      </c>
      <c r="H292" s="40">
        <v>0</v>
      </c>
      <c r="I292" s="40">
        <v>0</v>
      </c>
      <c r="J292" s="67">
        <v>0</v>
      </c>
      <c r="K292" s="43"/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/>
      <c r="R292" s="40">
        <v>0</v>
      </c>
      <c r="S292" s="67">
        <v>0</v>
      </c>
      <c r="T292" s="41"/>
      <c r="U292" s="40"/>
      <c r="V292" s="41"/>
      <c r="W292" s="67">
        <v>0</v>
      </c>
      <c r="X292" s="44">
        <v>0</v>
      </c>
      <c r="Y292" s="44">
        <v>0</v>
      </c>
      <c r="Z292" s="54"/>
      <c r="AA292" s="54"/>
      <c r="AB292" s="54"/>
      <c r="AC292" s="54"/>
    </row>
    <row r="293" spans="1:29" x14ac:dyDescent="0.2">
      <c r="A293" s="49"/>
      <c r="B293" s="49" t="s">
        <v>36</v>
      </c>
      <c r="C293" s="40">
        <v>0</v>
      </c>
      <c r="D293" s="40">
        <v>0</v>
      </c>
      <c r="E293" s="40">
        <v>0</v>
      </c>
      <c r="F293" s="40"/>
      <c r="G293" s="40">
        <v>0</v>
      </c>
      <c r="H293" s="40">
        <v>0</v>
      </c>
      <c r="I293" s="40">
        <v>0</v>
      </c>
      <c r="J293" s="67">
        <v>0</v>
      </c>
      <c r="K293" s="43"/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/>
      <c r="R293" s="40">
        <v>0</v>
      </c>
      <c r="S293" s="67">
        <v>0</v>
      </c>
      <c r="T293" s="41"/>
      <c r="U293" s="40"/>
      <c r="V293" s="41"/>
      <c r="W293" s="67">
        <v>0</v>
      </c>
      <c r="X293" s="44">
        <v>0</v>
      </c>
      <c r="Y293" s="44">
        <v>0</v>
      </c>
      <c r="Z293" s="54"/>
      <c r="AA293" s="54"/>
      <c r="AB293" s="54"/>
      <c r="AC293" s="54"/>
    </row>
    <row r="294" spans="1:29" x14ac:dyDescent="0.2">
      <c r="A294" s="49"/>
      <c r="B294" s="49" t="s">
        <v>36</v>
      </c>
      <c r="C294" s="40">
        <v>0</v>
      </c>
      <c r="D294" s="40">
        <v>0</v>
      </c>
      <c r="E294" s="40">
        <v>0</v>
      </c>
      <c r="F294" s="40"/>
      <c r="G294" s="40">
        <v>0</v>
      </c>
      <c r="H294" s="40">
        <v>0</v>
      </c>
      <c r="I294" s="40">
        <v>0</v>
      </c>
      <c r="J294" s="67">
        <v>0</v>
      </c>
      <c r="K294" s="43"/>
      <c r="L294" s="40">
        <v>0</v>
      </c>
      <c r="M294" s="40">
        <v>0</v>
      </c>
      <c r="N294" s="40">
        <v>0</v>
      </c>
      <c r="O294" s="40">
        <v>0</v>
      </c>
      <c r="P294" s="40">
        <v>0</v>
      </c>
      <c r="Q294" s="40"/>
      <c r="R294" s="40">
        <v>0</v>
      </c>
      <c r="S294" s="67">
        <v>0</v>
      </c>
      <c r="T294" s="41"/>
      <c r="U294" s="40"/>
      <c r="V294" s="41"/>
      <c r="W294" s="67">
        <v>0</v>
      </c>
      <c r="X294" s="44">
        <v>0</v>
      </c>
      <c r="Y294" s="44">
        <v>0</v>
      </c>
      <c r="Z294" s="54"/>
      <c r="AA294" s="54"/>
      <c r="AB294" s="54"/>
      <c r="AC294" s="54"/>
    </row>
    <row r="295" spans="1:29" x14ac:dyDescent="0.2">
      <c r="A295" s="49"/>
      <c r="B295" s="49" t="s">
        <v>36</v>
      </c>
      <c r="C295" s="40">
        <v>0</v>
      </c>
      <c r="D295" s="40">
        <v>0</v>
      </c>
      <c r="E295" s="40">
        <v>0</v>
      </c>
      <c r="F295" s="40"/>
      <c r="G295" s="40">
        <v>0</v>
      </c>
      <c r="H295" s="40">
        <v>0</v>
      </c>
      <c r="I295" s="40">
        <v>0</v>
      </c>
      <c r="J295" s="67">
        <v>0</v>
      </c>
      <c r="K295" s="43"/>
      <c r="L295" s="40">
        <v>0</v>
      </c>
      <c r="M295" s="40">
        <v>0</v>
      </c>
      <c r="N295" s="40">
        <v>0</v>
      </c>
      <c r="O295" s="40">
        <v>0</v>
      </c>
      <c r="P295" s="40">
        <v>0</v>
      </c>
      <c r="Q295" s="40"/>
      <c r="R295" s="40">
        <v>0</v>
      </c>
      <c r="S295" s="67">
        <v>0</v>
      </c>
      <c r="T295" s="41"/>
      <c r="U295" s="40"/>
      <c r="V295" s="41"/>
      <c r="W295" s="67">
        <v>0</v>
      </c>
      <c r="X295" s="44">
        <v>0</v>
      </c>
      <c r="Y295" s="44">
        <v>0</v>
      </c>
      <c r="Z295" s="54"/>
      <c r="AA295" s="54"/>
      <c r="AB295" s="54"/>
      <c r="AC295" s="54"/>
    </row>
    <row r="296" spans="1:29" x14ac:dyDescent="0.2">
      <c r="A296" s="49"/>
      <c r="B296" s="49" t="s">
        <v>36</v>
      </c>
      <c r="C296" s="40">
        <v>0</v>
      </c>
      <c r="D296" s="40">
        <v>0</v>
      </c>
      <c r="E296" s="40">
        <v>0</v>
      </c>
      <c r="F296" s="40"/>
      <c r="G296" s="40">
        <v>0</v>
      </c>
      <c r="H296" s="40">
        <v>0</v>
      </c>
      <c r="I296" s="40">
        <v>0</v>
      </c>
      <c r="J296" s="67">
        <v>0</v>
      </c>
      <c r="K296" s="43"/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/>
      <c r="R296" s="40">
        <v>0</v>
      </c>
      <c r="S296" s="67">
        <v>0</v>
      </c>
      <c r="T296" s="41"/>
      <c r="U296" s="40"/>
      <c r="V296" s="41"/>
      <c r="W296" s="67">
        <v>0</v>
      </c>
      <c r="X296" s="44">
        <v>0</v>
      </c>
      <c r="Y296" s="44">
        <v>0</v>
      </c>
      <c r="Z296" s="54"/>
      <c r="AA296" s="54"/>
      <c r="AB296" s="54"/>
      <c r="AC296" s="54"/>
    </row>
    <row r="297" spans="1:29" x14ac:dyDescent="0.2">
      <c r="A297" s="49"/>
      <c r="B297" s="49" t="s">
        <v>36</v>
      </c>
      <c r="C297" s="40">
        <v>0</v>
      </c>
      <c r="D297" s="40">
        <v>0</v>
      </c>
      <c r="E297" s="40">
        <v>0</v>
      </c>
      <c r="F297" s="40"/>
      <c r="G297" s="40">
        <v>0</v>
      </c>
      <c r="H297" s="40">
        <v>0</v>
      </c>
      <c r="I297" s="40">
        <v>0</v>
      </c>
      <c r="J297" s="67">
        <v>0</v>
      </c>
      <c r="K297" s="43"/>
      <c r="L297" s="40">
        <v>0</v>
      </c>
      <c r="M297" s="40">
        <v>0</v>
      </c>
      <c r="N297" s="40">
        <v>0</v>
      </c>
      <c r="O297" s="40">
        <v>0</v>
      </c>
      <c r="P297" s="40">
        <v>0</v>
      </c>
      <c r="Q297" s="40"/>
      <c r="R297" s="40">
        <v>0</v>
      </c>
      <c r="S297" s="67">
        <v>0</v>
      </c>
      <c r="T297" s="41"/>
      <c r="U297" s="40"/>
      <c r="V297" s="41"/>
      <c r="W297" s="67">
        <v>0</v>
      </c>
      <c r="X297" s="44">
        <v>0</v>
      </c>
      <c r="Y297" s="44">
        <v>0</v>
      </c>
      <c r="Z297" s="54"/>
      <c r="AA297" s="54"/>
      <c r="AB297" s="54"/>
      <c r="AC297" s="54"/>
    </row>
    <row r="298" spans="1:29" x14ac:dyDescent="0.2">
      <c r="A298" s="49"/>
      <c r="B298" s="49" t="s">
        <v>36</v>
      </c>
      <c r="C298" s="40">
        <v>0</v>
      </c>
      <c r="D298" s="40">
        <v>0</v>
      </c>
      <c r="E298" s="40">
        <v>0</v>
      </c>
      <c r="F298" s="40"/>
      <c r="G298" s="40">
        <v>0</v>
      </c>
      <c r="H298" s="40">
        <v>0</v>
      </c>
      <c r="I298" s="40">
        <v>0</v>
      </c>
      <c r="J298" s="67">
        <v>0</v>
      </c>
      <c r="K298" s="43"/>
      <c r="L298" s="40">
        <v>0</v>
      </c>
      <c r="M298" s="40">
        <v>0</v>
      </c>
      <c r="N298" s="40">
        <v>0</v>
      </c>
      <c r="O298" s="40">
        <v>0</v>
      </c>
      <c r="P298" s="40">
        <v>0</v>
      </c>
      <c r="Q298" s="40"/>
      <c r="R298" s="40">
        <v>0</v>
      </c>
      <c r="S298" s="67">
        <v>0</v>
      </c>
      <c r="T298" s="41"/>
      <c r="U298" s="40"/>
      <c r="V298" s="41"/>
      <c r="W298" s="67">
        <v>0</v>
      </c>
      <c r="X298" s="44">
        <v>0</v>
      </c>
      <c r="Y298" s="44">
        <v>0</v>
      </c>
      <c r="Z298" s="54"/>
      <c r="AA298" s="54"/>
      <c r="AB298" s="54"/>
      <c r="AC298" s="54"/>
    </row>
    <row r="299" spans="1:29" x14ac:dyDescent="0.2">
      <c r="A299" s="49"/>
      <c r="B299" s="49" t="s">
        <v>36</v>
      </c>
      <c r="C299" s="40">
        <v>0</v>
      </c>
      <c r="D299" s="40">
        <v>0</v>
      </c>
      <c r="E299" s="40">
        <v>0</v>
      </c>
      <c r="F299" s="40"/>
      <c r="G299" s="40">
        <v>0</v>
      </c>
      <c r="H299" s="40">
        <v>0</v>
      </c>
      <c r="I299" s="40">
        <v>0</v>
      </c>
      <c r="J299" s="67">
        <v>0</v>
      </c>
      <c r="K299" s="43"/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/>
      <c r="R299" s="40">
        <v>0</v>
      </c>
      <c r="S299" s="67">
        <v>0</v>
      </c>
      <c r="T299" s="41"/>
      <c r="U299" s="40"/>
      <c r="V299" s="41"/>
      <c r="W299" s="67">
        <v>0</v>
      </c>
      <c r="X299" s="44">
        <v>0</v>
      </c>
      <c r="Y299" s="44">
        <v>0</v>
      </c>
      <c r="Z299" s="54"/>
      <c r="AA299" s="54"/>
      <c r="AB299" s="54"/>
      <c r="AC299" s="54"/>
    </row>
    <row r="300" spans="1:29" x14ac:dyDescent="0.2">
      <c r="A300" s="49"/>
      <c r="B300" s="49" t="s">
        <v>36</v>
      </c>
      <c r="C300" s="40">
        <v>0</v>
      </c>
      <c r="D300" s="40">
        <v>0</v>
      </c>
      <c r="E300" s="40">
        <v>0</v>
      </c>
      <c r="F300" s="40"/>
      <c r="G300" s="40">
        <v>0</v>
      </c>
      <c r="H300" s="40">
        <v>0</v>
      </c>
      <c r="I300" s="40">
        <v>0</v>
      </c>
      <c r="J300" s="67">
        <v>0</v>
      </c>
      <c r="K300" s="43"/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/>
      <c r="R300" s="40">
        <v>0</v>
      </c>
      <c r="S300" s="67">
        <v>0</v>
      </c>
      <c r="T300" s="41"/>
      <c r="U300" s="11"/>
      <c r="V300" s="41"/>
      <c r="W300" s="67">
        <v>0</v>
      </c>
      <c r="X300" s="44">
        <v>0</v>
      </c>
      <c r="Y300" s="44">
        <v>0</v>
      </c>
      <c r="Z300" s="54"/>
      <c r="AA300" s="54"/>
      <c r="AB300" s="54"/>
      <c r="AC300" s="54"/>
    </row>
    <row r="301" spans="1:29" x14ac:dyDescent="0.2">
      <c r="A301" s="49"/>
      <c r="B301" s="49" t="s">
        <v>36</v>
      </c>
      <c r="C301" s="40">
        <v>0</v>
      </c>
      <c r="D301" s="40">
        <v>0</v>
      </c>
      <c r="E301" s="40">
        <v>0</v>
      </c>
      <c r="F301" s="40"/>
      <c r="G301" s="40">
        <v>0</v>
      </c>
      <c r="H301" s="40">
        <v>0</v>
      </c>
      <c r="I301" s="40">
        <v>0</v>
      </c>
      <c r="J301" s="67">
        <v>0</v>
      </c>
      <c r="K301" s="43"/>
      <c r="L301" s="40">
        <v>0</v>
      </c>
      <c r="M301" s="40">
        <v>0</v>
      </c>
      <c r="N301" s="40">
        <v>0</v>
      </c>
      <c r="O301" s="40">
        <v>0</v>
      </c>
      <c r="P301" s="40">
        <v>0</v>
      </c>
      <c r="Q301" s="40"/>
      <c r="R301" s="40">
        <v>0</v>
      </c>
      <c r="S301" s="67">
        <v>0</v>
      </c>
      <c r="T301" s="41"/>
      <c r="U301" s="11"/>
      <c r="V301" s="41"/>
      <c r="W301" s="67">
        <v>0</v>
      </c>
      <c r="X301" s="44">
        <v>0</v>
      </c>
      <c r="Y301" s="44">
        <v>0</v>
      </c>
      <c r="Z301" s="54"/>
      <c r="AA301" s="54"/>
      <c r="AB301" s="54"/>
      <c r="AC301" s="54"/>
    </row>
    <row r="302" spans="1:29" x14ac:dyDescent="0.2">
      <c r="A302" s="49"/>
      <c r="B302" s="49" t="s">
        <v>36</v>
      </c>
      <c r="C302" s="40">
        <v>0</v>
      </c>
      <c r="D302" s="40">
        <v>0</v>
      </c>
      <c r="E302" s="40">
        <v>0</v>
      </c>
      <c r="F302" s="40"/>
      <c r="G302" s="40">
        <v>0</v>
      </c>
      <c r="H302" s="40">
        <v>0</v>
      </c>
      <c r="I302" s="40">
        <v>0</v>
      </c>
      <c r="J302" s="67">
        <v>0</v>
      </c>
      <c r="K302" s="43"/>
      <c r="L302" s="40">
        <v>0</v>
      </c>
      <c r="M302" s="40">
        <v>0</v>
      </c>
      <c r="N302" s="40">
        <v>0</v>
      </c>
      <c r="O302" s="40">
        <v>0</v>
      </c>
      <c r="P302" s="40">
        <v>0</v>
      </c>
      <c r="Q302" s="40"/>
      <c r="R302" s="40">
        <v>0</v>
      </c>
      <c r="S302" s="67">
        <v>0</v>
      </c>
      <c r="T302" s="41"/>
      <c r="U302" s="11"/>
      <c r="V302" s="41"/>
      <c r="W302" s="67">
        <v>0</v>
      </c>
      <c r="X302" s="44">
        <v>0</v>
      </c>
      <c r="Y302" s="44">
        <v>0</v>
      </c>
      <c r="Z302" s="54"/>
      <c r="AA302" s="54"/>
      <c r="AB302" s="54"/>
      <c r="AC302" s="54"/>
    </row>
    <row r="303" spans="1:29" x14ac:dyDescent="0.2">
      <c r="A303" s="49"/>
      <c r="B303" s="49" t="s">
        <v>36</v>
      </c>
      <c r="C303" s="40">
        <v>0</v>
      </c>
      <c r="D303" s="40">
        <v>0</v>
      </c>
      <c r="E303" s="40">
        <v>0</v>
      </c>
      <c r="F303" s="40"/>
      <c r="G303" s="40">
        <v>0</v>
      </c>
      <c r="H303" s="40">
        <v>0</v>
      </c>
      <c r="I303" s="40">
        <v>0</v>
      </c>
      <c r="J303" s="67">
        <v>0</v>
      </c>
      <c r="K303" s="43"/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/>
      <c r="R303" s="40">
        <v>0</v>
      </c>
      <c r="S303" s="67">
        <v>0</v>
      </c>
      <c r="T303" s="41"/>
      <c r="U303" s="11"/>
      <c r="V303" s="41"/>
      <c r="W303" s="67">
        <v>0</v>
      </c>
      <c r="X303" s="44">
        <v>0</v>
      </c>
      <c r="Y303" s="44">
        <v>0</v>
      </c>
      <c r="Z303" s="54"/>
      <c r="AA303" s="54"/>
      <c r="AB303" s="54"/>
      <c r="AC303" s="54"/>
    </row>
    <row r="304" spans="1:29" x14ac:dyDescent="0.2">
      <c r="A304" s="49"/>
      <c r="B304" s="49" t="s">
        <v>36</v>
      </c>
      <c r="C304" s="40">
        <v>0</v>
      </c>
      <c r="D304" s="40">
        <v>0</v>
      </c>
      <c r="E304" s="40">
        <v>0</v>
      </c>
      <c r="F304" s="40"/>
      <c r="G304" s="40">
        <v>0</v>
      </c>
      <c r="H304" s="40">
        <v>0</v>
      </c>
      <c r="I304" s="40">
        <v>0</v>
      </c>
      <c r="J304" s="67">
        <v>0</v>
      </c>
      <c r="K304" s="43"/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/>
      <c r="R304" s="40">
        <v>0</v>
      </c>
      <c r="S304" s="67">
        <v>0</v>
      </c>
      <c r="T304" s="41"/>
      <c r="U304" s="11"/>
      <c r="V304" s="41"/>
      <c r="W304" s="67">
        <v>0</v>
      </c>
      <c r="X304" s="44">
        <v>0</v>
      </c>
      <c r="Y304" s="44">
        <v>0</v>
      </c>
      <c r="Z304" s="54"/>
      <c r="AA304" s="54"/>
      <c r="AB304" s="54"/>
      <c r="AC304" s="54"/>
    </row>
    <row r="305" spans="1:29" x14ac:dyDescent="0.2">
      <c r="A305" s="49"/>
      <c r="B305" s="49" t="s">
        <v>36</v>
      </c>
      <c r="C305" s="40">
        <v>0</v>
      </c>
      <c r="D305" s="40">
        <v>0</v>
      </c>
      <c r="E305" s="40">
        <v>0</v>
      </c>
      <c r="F305" s="40"/>
      <c r="G305" s="40">
        <v>0</v>
      </c>
      <c r="H305" s="40">
        <v>0</v>
      </c>
      <c r="I305" s="40">
        <v>0</v>
      </c>
      <c r="J305" s="67">
        <v>0</v>
      </c>
      <c r="K305" s="43"/>
      <c r="L305" s="40">
        <v>0</v>
      </c>
      <c r="M305" s="40">
        <v>0</v>
      </c>
      <c r="N305" s="40">
        <v>0</v>
      </c>
      <c r="O305" s="40">
        <v>0</v>
      </c>
      <c r="P305" s="40">
        <v>0</v>
      </c>
      <c r="Q305" s="40"/>
      <c r="R305" s="40">
        <v>0</v>
      </c>
      <c r="S305" s="67">
        <v>0</v>
      </c>
      <c r="T305" s="41"/>
      <c r="U305" s="11"/>
      <c r="V305" s="41"/>
      <c r="W305" s="67">
        <v>0</v>
      </c>
      <c r="X305" s="44">
        <v>0</v>
      </c>
      <c r="Y305" s="44">
        <v>0</v>
      </c>
      <c r="Z305" s="54"/>
      <c r="AA305" s="54"/>
      <c r="AB305" s="54"/>
      <c r="AC305" s="54"/>
    </row>
    <row r="306" spans="1:29" x14ac:dyDescent="0.2">
      <c r="A306" s="49"/>
      <c r="B306" s="49" t="s">
        <v>36</v>
      </c>
      <c r="C306" s="40">
        <v>0</v>
      </c>
      <c r="D306" s="40">
        <v>0</v>
      </c>
      <c r="E306" s="40">
        <v>0</v>
      </c>
      <c r="F306" s="40"/>
      <c r="G306" s="40">
        <v>0</v>
      </c>
      <c r="H306" s="40">
        <v>0</v>
      </c>
      <c r="I306" s="40">
        <v>0</v>
      </c>
      <c r="J306" s="67">
        <v>0</v>
      </c>
      <c r="K306" s="43"/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/>
      <c r="R306" s="40">
        <v>0</v>
      </c>
      <c r="S306" s="67">
        <v>0</v>
      </c>
      <c r="T306" s="41"/>
      <c r="U306" s="11"/>
      <c r="V306" s="41"/>
      <c r="W306" s="67">
        <v>0</v>
      </c>
      <c r="X306" s="44">
        <v>0</v>
      </c>
      <c r="Y306" s="44">
        <v>0</v>
      </c>
      <c r="Z306" s="54"/>
      <c r="AA306" s="54"/>
      <c r="AB306" s="54"/>
      <c r="AC306" s="54"/>
    </row>
    <row r="307" spans="1:29" x14ac:dyDescent="0.2">
      <c r="A307" s="49"/>
      <c r="B307" s="49" t="s">
        <v>36</v>
      </c>
      <c r="C307" s="40">
        <v>0</v>
      </c>
      <c r="D307" s="40">
        <v>0</v>
      </c>
      <c r="E307" s="40">
        <v>0</v>
      </c>
      <c r="F307" s="40"/>
      <c r="G307" s="40">
        <v>0</v>
      </c>
      <c r="H307" s="40">
        <v>0</v>
      </c>
      <c r="I307" s="40">
        <v>0</v>
      </c>
      <c r="J307" s="67">
        <v>0</v>
      </c>
      <c r="K307" s="43"/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/>
      <c r="R307" s="40">
        <v>0</v>
      </c>
      <c r="S307" s="67">
        <v>0</v>
      </c>
      <c r="T307" s="41"/>
      <c r="U307" s="11"/>
      <c r="V307" s="41"/>
      <c r="W307" s="67">
        <v>0</v>
      </c>
      <c r="X307" s="44">
        <v>0</v>
      </c>
      <c r="Y307" s="44">
        <v>0</v>
      </c>
      <c r="Z307" s="54"/>
      <c r="AA307" s="54"/>
      <c r="AB307" s="54"/>
      <c r="AC307" s="54"/>
    </row>
    <row r="308" spans="1:29" x14ac:dyDescent="0.2">
      <c r="A308" s="49"/>
      <c r="B308" s="49" t="s">
        <v>36</v>
      </c>
      <c r="C308" s="40">
        <v>0</v>
      </c>
      <c r="D308" s="40">
        <v>0</v>
      </c>
      <c r="E308" s="40">
        <v>0</v>
      </c>
      <c r="F308" s="40"/>
      <c r="G308" s="40">
        <v>0</v>
      </c>
      <c r="H308" s="40">
        <v>0</v>
      </c>
      <c r="I308" s="40">
        <v>0</v>
      </c>
      <c r="J308" s="67">
        <v>0</v>
      </c>
      <c r="K308" s="43"/>
      <c r="L308" s="40">
        <v>0</v>
      </c>
      <c r="M308" s="40">
        <v>0</v>
      </c>
      <c r="N308" s="40">
        <v>0</v>
      </c>
      <c r="O308" s="40">
        <v>0</v>
      </c>
      <c r="P308" s="40">
        <v>0</v>
      </c>
      <c r="Q308" s="40"/>
      <c r="R308" s="40">
        <v>0</v>
      </c>
      <c r="S308" s="67">
        <v>0</v>
      </c>
      <c r="T308" s="41"/>
      <c r="U308" s="11"/>
      <c r="V308" s="41"/>
      <c r="W308" s="67">
        <v>0</v>
      </c>
      <c r="X308" s="44">
        <v>0</v>
      </c>
      <c r="Y308" s="44">
        <v>0</v>
      </c>
      <c r="Z308" s="54"/>
      <c r="AA308" s="54"/>
      <c r="AB308" s="54"/>
      <c r="AC308" s="54"/>
    </row>
    <row r="309" spans="1:29" x14ac:dyDescent="0.2">
      <c r="A309" s="49"/>
      <c r="B309" s="49" t="s">
        <v>36</v>
      </c>
      <c r="C309" s="40">
        <v>0</v>
      </c>
      <c r="D309" s="40">
        <v>0</v>
      </c>
      <c r="E309" s="40">
        <v>0</v>
      </c>
      <c r="F309" s="40"/>
      <c r="G309" s="40">
        <v>0</v>
      </c>
      <c r="H309" s="40">
        <v>0</v>
      </c>
      <c r="I309" s="40">
        <v>0</v>
      </c>
      <c r="J309" s="67">
        <v>0</v>
      </c>
      <c r="K309" s="43"/>
      <c r="L309" s="40">
        <v>0</v>
      </c>
      <c r="M309" s="40">
        <v>0</v>
      </c>
      <c r="N309" s="40">
        <v>0</v>
      </c>
      <c r="O309" s="40">
        <v>0</v>
      </c>
      <c r="P309" s="40">
        <v>0</v>
      </c>
      <c r="Q309" s="40"/>
      <c r="R309" s="40">
        <v>0</v>
      </c>
      <c r="S309" s="67">
        <v>0</v>
      </c>
      <c r="T309" s="41"/>
      <c r="U309" s="11"/>
      <c r="V309" s="41"/>
      <c r="W309" s="67">
        <v>0</v>
      </c>
      <c r="X309" s="44">
        <v>0</v>
      </c>
      <c r="Y309" s="44">
        <v>0</v>
      </c>
      <c r="Z309" s="54"/>
      <c r="AA309" s="54"/>
      <c r="AB309" s="54"/>
      <c r="AC309" s="54"/>
    </row>
    <row r="310" spans="1:29" x14ac:dyDescent="0.2">
      <c r="A310" s="49"/>
      <c r="B310" s="49" t="s">
        <v>36</v>
      </c>
      <c r="C310" s="40">
        <v>0</v>
      </c>
      <c r="D310" s="40">
        <v>0</v>
      </c>
      <c r="E310" s="40">
        <v>0</v>
      </c>
      <c r="F310" s="40"/>
      <c r="G310" s="40">
        <v>0</v>
      </c>
      <c r="H310" s="40">
        <v>0</v>
      </c>
      <c r="I310" s="40">
        <v>0</v>
      </c>
      <c r="J310" s="67">
        <v>0</v>
      </c>
      <c r="K310" s="43"/>
      <c r="L310" s="40">
        <v>0</v>
      </c>
      <c r="M310" s="40">
        <v>0</v>
      </c>
      <c r="N310" s="40">
        <v>0</v>
      </c>
      <c r="O310" s="40">
        <v>0</v>
      </c>
      <c r="P310" s="40">
        <v>0</v>
      </c>
      <c r="Q310" s="40"/>
      <c r="R310" s="40">
        <v>0</v>
      </c>
      <c r="S310" s="67">
        <v>0</v>
      </c>
      <c r="T310" s="41"/>
      <c r="U310" s="11"/>
      <c r="V310" s="41"/>
      <c r="W310" s="67">
        <v>0</v>
      </c>
      <c r="X310" s="44">
        <v>0</v>
      </c>
      <c r="Y310" s="44">
        <v>0</v>
      </c>
      <c r="Z310" s="54"/>
      <c r="AA310" s="54"/>
      <c r="AB310" s="54"/>
      <c r="AC310" s="54"/>
    </row>
    <row r="311" spans="1:29" x14ac:dyDescent="0.2">
      <c r="A311" s="49"/>
      <c r="B311" s="49" t="s">
        <v>36</v>
      </c>
      <c r="C311" s="40">
        <v>0</v>
      </c>
      <c r="D311" s="40">
        <v>0</v>
      </c>
      <c r="E311" s="40">
        <v>0</v>
      </c>
      <c r="F311" s="40"/>
      <c r="G311" s="40">
        <v>0</v>
      </c>
      <c r="H311" s="40">
        <v>0</v>
      </c>
      <c r="I311" s="40">
        <v>0</v>
      </c>
      <c r="J311" s="67">
        <v>0</v>
      </c>
      <c r="K311" s="43"/>
      <c r="L311" s="40">
        <v>0</v>
      </c>
      <c r="M311" s="40">
        <v>0</v>
      </c>
      <c r="N311" s="40">
        <v>0</v>
      </c>
      <c r="O311" s="40">
        <v>0</v>
      </c>
      <c r="P311" s="40">
        <v>0</v>
      </c>
      <c r="Q311" s="40"/>
      <c r="R311" s="40">
        <v>0</v>
      </c>
      <c r="S311" s="67">
        <v>0</v>
      </c>
      <c r="T311" s="41"/>
      <c r="U311" s="11"/>
      <c r="V311" s="41"/>
      <c r="W311" s="67">
        <v>0</v>
      </c>
      <c r="X311" s="44">
        <v>0</v>
      </c>
      <c r="Y311" s="44">
        <v>0</v>
      </c>
      <c r="Z311" s="54"/>
      <c r="AA311" s="54"/>
      <c r="AB311" s="54"/>
      <c r="AC311" s="54"/>
    </row>
    <row r="312" spans="1:29" x14ac:dyDescent="0.2">
      <c r="A312" s="49"/>
      <c r="B312" s="49" t="s">
        <v>36</v>
      </c>
      <c r="C312" s="40">
        <v>0</v>
      </c>
      <c r="D312" s="40">
        <v>0</v>
      </c>
      <c r="E312" s="40">
        <v>0</v>
      </c>
      <c r="F312" s="40"/>
      <c r="G312" s="40">
        <v>0</v>
      </c>
      <c r="H312" s="40">
        <v>0</v>
      </c>
      <c r="I312" s="40">
        <v>0</v>
      </c>
      <c r="J312" s="67">
        <v>0</v>
      </c>
      <c r="K312" s="43"/>
      <c r="L312" s="40">
        <v>0</v>
      </c>
      <c r="M312" s="40">
        <v>0</v>
      </c>
      <c r="N312" s="40">
        <v>0</v>
      </c>
      <c r="O312" s="40">
        <v>0</v>
      </c>
      <c r="P312" s="40">
        <v>0</v>
      </c>
      <c r="Q312" s="40"/>
      <c r="R312" s="40">
        <v>0</v>
      </c>
      <c r="S312" s="67">
        <v>0</v>
      </c>
      <c r="T312" s="41"/>
      <c r="U312" s="11"/>
      <c r="V312" s="41"/>
      <c r="W312" s="67">
        <v>0</v>
      </c>
      <c r="X312" s="44">
        <v>0</v>
      </c>
      <c r="Y312" s="44">
        <v>0</v>
      </c>
      <c r="Z312" s="54"/>
      <c r="AA312" s="54"/>
      <c r="AB312" s="54"/>
      <c r="AC312" s="54"/>
    </row>
    <row r="313" spans="1:29" x14ac:dyDescent="0.2">
      <c r="A313" s="49"/>
      <c r="B313" s="49" t="s">
        <v>36</v>
      </c>
      <c r="C313" s="40">
        <v>0</v>
      </c>
      <c r="D313" s="40">
        <v>0</v>
      </c>
      <c r="E313" s="40">
        <v>0</v>
      </c>
      <c r="F313" s="40"/>
      <c r="G313" s="40">
        <v>0</v>
      </c>
      <c r="H313" s="40">
        <v>0</v>
      </c>
      <c r="I313" s="40">
        <v>0</v>
      </c>
      <c r="J313" s="67">
        <v>0</v>
      </c>
      <c r="K313" s="43"/>
      <c r="L313" s="40">
        <v>0</v>
      </c>
      <c r="M313" s="40">
        <v>0</v>
      </c>
      <c r="N313" s="40">
        <v>0</v>
      </c>
      <c r="O313" s="40">
        <v>0</v>
      </c>
      <c r="P313" s="40">
        <v>0</v>
      </c>
      <c r="Q313" s="40"/>
      <c r="R313" s="40">
        <v>0</v>
      </c>
      <c r="S313" s="67">
        <v>0</v>
      </c>
      <c r="T313" s="41"/>
      <c r="U313" s="11"/>
      <c r="V313" s="41"/>
      <c r="W313" s="67">
        <v>0</v>
      </c>
      <c r="X313" s="44">
        <v>0</v>
      </c>
      <c r="Y313" s="44">
        <v>0</v>
      </c>
      <c r="Z313" s="54"/>
      <c r="AA313" s="54"/>
      <c r="AB313" s="54"/>
      <c r="AC313" s="54"/>
    </row>
    <row r="314" spans="1:29" x14ac:dyDescent="0.2">
      <c r="A314" s="49"/>
      <c r="B314" s="49" t="s">
        <v>36</v>
      </c>
      <c r="C314" s="40">
        <v>0</v>
      </c>
      <c r="D314" s="40">
        <v>0</v>
      </c>
      <c r="E314" s="40">
        <v>0</v>
      </c>
      <c r="F314" s="40"/>
      <c r="G314" s="40">
        <v>0</v>
      </c>
      <c r="H314" s="40">
        <v>0</v>
      </c>
      <c r="I314" s="40">
        <v>0</v>
      </c>
      <c r="J314" s="67">
        <v>0</v>
      </c>
      <c r="K314" s="43"/>
      <c r="L314" s="40">
        <v>0</v>
      </c>
      <c r="M314" s="40">
        <v>0</v>
      </c>
      <c r="N314" s="40">
        <v>0</v>
      </c>
      <c r="O314" s="40">
        <v>0</v>
      </c>
      <c r="P314" s="40">
        <v>0</v>
      </c>
      <c r="Q314" s="40"/>
      <c r="R314" s="40">
        <v>0</v>
      </c>
      <c r="S314" s="67">
        <v>0</v>
      </c>
      <c r="T314" s="41"/>
      <c r="U314" s="11"/>
      <c r="V314" s="41"/>
      <c r="W314" s="67">
        <v>0</v>
      </c>
      <c r="X314" s="44">
        <v>0</v>
      </c>
      <c r="Y314" s="44">
        <v>0</v>
      </c>
      <c r="Z314" s="54"/>
      <c r="AA314" s="54"/>
      <c r="AB314" s="54"/>
      <c r="AC314" s="54"/>
    </row>
    <row r="315" spans="1:29" x14ac:dyDescent="0.2">
      <c r="A315" s="49"/>
      <c r="B315" s="49" t="s">
        <v>36</v>
      </c>
      <c r="C315" s="40">
        <v>0</v>
      </c>
      <c r="D315" s="40">
        <v>0</v>
      </c>
      <c r="E315" s="40">
        <v>0</v>
      </c>
      <c r="F315" s="40"/>
      <c r="G315" s="40">
        <v>0</v>
      </c>
      <c r="H315" s="40">
        <v>0</v>
      </c>
      <c r="I315" s="40">
        <v>0</v>
      </c>
      <c r="J315" s="67">
        <v>0</v>
      </c>
      <c r="K315" s="43"/>
      <c r="L315" s="40">
        <v>0</v>
      </c>
      <c r="M315" s="40">
        <v>0</v>
      </c>
      <c r="N315" s="40">
        <v>0</v>
      </c>
      <c r="O315" s="40">
        <v>0</v>
      </c>
      <c r="P315" s="40">
        <v>0</v>
      </c>
      <c r="Q315" s="40"/>
      <c r="R315" s="40">
        <v>0</v>
      </c>
      <c r="S315" s="67">
        <v>0</v>
      </c>
      <c r="T315" s="41"/>
      <c r="U315" s="11"/>
      <c r="V315" s="41"/>
      <c r="W315" s="67">
        <v>0</v>
      </c>
      <c r="X315" s="44">
        <v>0</v>
      </c>
      <c r="Y315" s="44">
        <v>0</v>
      </c>
      <c r="Z315" s="54"/>
      <c r="AA315" s="54"/>
      <c r="AB315" s="54"/>
      <c r="AC315" s="54"/>
    </row>
    <row r="316" spans="1:29" x14ac:dyDescent="0.2">
      <c r="A316" s="49"/>
      <c r="B316" s="49" t="s">
        <v>36</v>
      </c>
      <c r="C316" s="40">
        <v>0</v>
      </c>
      <c r="D316" s="40">
        <v>0</v>
      </c>
      <c r="E316" s="40">
        <v>0</v>
      </c>
      <c r="F316" s="40"/>
      <c r="G316" s="40">
        <v>0</v>
      </c>
      <c r="H316" s="40">
        <v>0</v>
      </c>
      <c r="I316" s="40">
        <v>0</v>
      </c>
      <c r="J316" s="67">
        <v>0</v>
      </c>
      <c r="K316" s="43"/>
      <c r="L316" s="40">
        <v>0</v>
      </c>
      <c r="M316" s="40">
        <v>0</v>
      </c>
      <c r="N316" s="40">
        <v>0</v>
      </c>
      <c r="O316" s="40">
        <v>0</v>
      </c>
      <c r="P316" s="40">
        <v>0</v>
      </c>
      <c r="Q316" s="40"/>
      <c r="R316" s="40">
        <v>0</v>
      </c>
      <c r="S316" s="67">
        <v>0</v>
      </c>
      <c r="T316" s="41"/>
      <c r="U316" s="11"/>
      <c r="V316" s="41"/>
      <c r="W316" s="67">
        <v>0</v>
      </c>
      <c r="X316" s="44">
        <v>0</v>
      </c>
      <c r="Y316" s="44">
        <v>0</v>
      </c>
      <c r="Z316" s="54"/>
      <c r="AA316" s="54"/>
      <c r="AB316" s="54"/>
      <c r="AC316" s="54"/>
    </row>
    <row r="317" spans="1:29" x14ac:dyDescent="0.2">
      <c r="A317" s="49"/>
      <c r="B317" s="49" t="s">
        <v>36</v>
      </c>
      <c r="C317" s="40">
        <v>0</v>
      </c>
      <c r="D317" s="40">
        <v>0</v>
      </c>
      <c r="E317" s="40">
        <v>0</v>
      </c>
      <c r="F317" s="40"/>
      <c r="G317" s="40">
        <v>0</v>
      </c>
      <c r="H317" s="40">
        <v>0</v>
      </c>
      <c r="I317" s="40">
        <v>0</v>
      </c>
      <c r="J317" s="67">
        <v>0</v>
      </c>
      <c r="K317" s="43"/>
      <c r="L317" s="40">
        <v>0</v>
      </c>
      <c r="M317" s="40">
        <v>0</v>
      </c>
      <c r="N317" s="40">
        <v>0</v>
      </c>
      <c r="O317" s="40">
        <v>0</v>
      </c>
      <c r="P317" s="40">
        <v>0</v>
      </c>
      <c r="Q317" s="40"/>
      <c r="R317" s="40">
        <v>0</v>
      </c>
      <c r="S317" s="67">
        <v>0</v>
      </c>
      <c r="T317" s="41"/>
      <c r="U317" s="11"/>
      <c r="V317" s="41"/>
      <c r="W317" s="67">
        <v>0</v>
      </c>
      <c r="X317" s="44">
        <v>0</v>
      </c>
      <c r="Y317" s="44">
        <v>0</v>
      </c>
      <c r="Z317" s="54"/>
      <c r="AA317" s="54"/>
      <c r="AB317" s="54"/>
      <c r="AC317" s="54"/>
    </row>
    <row r="318" spans="1:29" x14ac:dyDescent="0.2">
      <c r="A318" s="49"/>
      <c r="B318" s="49" t="s">
        <v>36</v>
      </c>
      <c r="C318" s="40">
        <v>0</v>
      </c>
      <c r="D318" s="40">
        <v>0</v>
      </c>
      <c r="E318" s="40">
        <v>0</v>
      </c>
      <c r="F318" s="40"/>
      <c r="G318" s="40">
        <v>0</v>
      </c>
      <c r="H318" s="40">
        <v>0</v>
      </c>
      <c r="I318" s="40">
        <v>0</v>
      </c>
      <c r="J318" s="67">
        <v>0</v>
      </c>
      <c r="K318" s="43"/>
      <c r="L318" s="40">
        <v>0</v>
      </c>
      <c r="M318" s="40">
        <v>0</v>
      </c>
      <c r="N318" s="40">
        <v>0</v>
      </c>
      <c r="O318" s="40">
        <v>0</v>
      </c>
      <c r="P318" s="40">
        <v>0</v>
      </c>
      <c r="Q318" s="40"/>
      <c r="R318" s="40">
        <v>0</v>
      </c>
      <c r="S318" s="67">
        <v>0</v>
      </c>
      <c r="T318" s="41"/>
      <c r="U318" s="11"/>
      <c r="V318" s="41"/>
      <c r="W318" s="67">
        <v>0</v>
      </c>
      <c r="X318" s="44">
        <v>0</v>
      </c>
      <c r="Y318" s="44">
        <v>0</v>
      </c>
      <c r="Z318" s="54"/>
      <c r="AA318" s="54"/>
      <c r="AB318" s="54"/>
      <c r="AC318" s="54"/>
    </row>
    <row r="319" spans="1:29" x14ac:dyDescent="0.2">
      <c r="A319" s="49"/>
      <c r="B319" s="49" t="s">
        <v>36</v>
      </c>
      <c r="C319" s="40">
        <v>0</v>
      </c>
      <c r="D319" s="40">
        <v>0</v>
      </c>
      <c r="E319" s="40">
        <v>0</v>
      </c>
      <c r="F319" s="40"/>
      <c r="G319" s="40">
        <v>0</v>
      </c>
      <c r="H319" s="40">
        <v>0</v>
      </c>
      <c r="I319" s="40">
        <v>0</v>
      </c>
      <c r="J319" s="67">
        <v>0</v>
      </c>
      <c r="K319" s="43"/>
      <c r="L319" s="40">
        <v>0</v>
      </c>
      <c r="M319" s="40">
        <v>0</v>
      </c>
      <c r="N319" s="40">
        <v>0</v>
      </c>
      <c r="O319" s="40">
        <v>0</v>
      </c>
      <c r="P319" s="40">
        <v>0</v>
      </c>
      <c r="Q319" s="40"/>
      <c r="R319" s="40">
        <v>0</v>
      </c>
      <c r="S319" s="67">
        <v>0</v>
      </c>
      <c r="T319" s="41"/>
      <c r="U319" s="11"/>
      <c r="V319" s="41"/>
      <c r="W319" s="67">
        <v>0</v>
      </c>
      <c r="X319" s="44">
        <v>0</v>
      </c>
      <c r="Y319" s="44">
        <v>0</v>
      </c>
      <c r="Z319" s="54"/>
      <c r="AA319" s="54"/>
      <c r="AB319" s="54"/>
      <c r="AC319" s="54"/>
    </row>
    <row r="320" spans="1:29" x14ac:dyDescent="0.2">
      <c r="A320" s="49"/>
      <c r="B320" s="49" t="s">
        <v>36</v>
      </c>
      <c r="C320" s="40">
        <v>0</v>
      </c>
      <c r="D320" s="40">
        <v>0</v>
      </c>
      <c r="E320" s="40">
        <v>0</v>
      </c>
      <c r="F320" s="40"/>
      <c r="G320" s="40">
        <v>0</v>
      </c>
      <c r="H320" s="40">
        <v>0</v>
      </c>
      <c r="I320" s="40">
        <v>0</v>
      </c>
      <c r="J320" s="67">
        <v>0</v>
      </c>
      <c r="K320" s="43"/>
      <c r="L320" s="40">
        <v>0</v>
      </c>
      <c r="M320" s="40">
        <v>0</v>
      </c>
      <c r="N320" s="40">
        <v>0</v>
      </c>
      <c r="O320" s="40">
        <v>0</v>
      </c>
      <c r="P320" s="40">
        <v>0</v>
      </c>
      <c r="Q320" s="40"/>
      <c r="R320" s="40">
        <v>0</v>
      </c>
      <c r="S320" s="67">
        <v>0</v>
      </c>
      <c r="T320" s="41"/>
      <c r="U320" s="11"/>
      <c r="V320" s="41"/>
      <c r="W320" s="67">
        <v>0</v>
      </c>
      <c r="X320" s="44">
        <v>0</v>
      </c>
      <c r="Y320" s="44">
        <v>0</v>
      </c>
      <c r="Z320" s="54"/>
      <c r="AA320" s="54"/>
      <c r="AB320" s="54"/>
      <c r="AC320" s="54"/>
    </row>
    <row r="321" spans="1:29" x14ac:dyDescent="0.2">
      <c r="A321" s="49"/>
      <c r="B321" s="49" t="s">
        <v>36</v>
      </c>
      <c r="C321" s="40">
        <v>0</v>
      </c>
      <c r="D321" s="40">
        <v>0</v>
      </c>
      <c r="E321" s="40">
        <v>0</v>
      </c>
      <c r="F321" s="40"/>
      <c r="G321" s="40">
        <v>0</v>
      </c>
      <c r="H321" s="40">
        <v>0</v>
      </c>
      <c r="I321" s="40">
        <v>0</v>
      </c>
      <c r="J321" s="67">
        <v>0</v>
      </c>
      <c r="K321" s="43"/>
      <c r="L321" s="40">
        <v>0</v>
      </c>
      <c r="M321" s="40">
        <v>0</v>
      </c>
      <c r="N321" s="40">
        <v>0</v>
      </c>
      <c r="O321" s="40">
        <v>0</v>
      </c>
      <c r="P321" s="40">
        <v>0</v>
      </c>
      <c r="Q321" s="40"/>
      <c r="R321" s="40">
        <v>0</v>
      </c>
      <c r="S321" s="67">
        <v>0</v>
      </c>
      <c r="T321" s="41"/>
      <c r="U321" s="11"/>
      <c r="V321" s="41"/>
      <c r="W321" s="67">
        <v>0</v>
      </c>
      <c r="X321" s="44">
        <v>0</v>
      </c>
      <c r="Y321" s="44">
        <v>0</v>
      </c>
      <c r="Z321" s="54"/>
      <c r="AA321" s="54"/>
      <c r="AB321" s="54"/>
      <c r="AC321" s="54"/>
    </row>
    <row r="322" spans="1:29" x14ac:dyDescent="0.2">
      <c r="A322" s="49"/>
      <c r="B322" s="49" t="s">
        <v>36</v>
      </c>
      <c r="C322" s="40">
        <v>0</v>
      </c>
      <c r="D322" s="40">
        <v>0</v>
      </c>
      <c r="E322" s="40">
        <v>0</v>
      </c>
      <c r="F322" s="40"/>
      <c r="G322" s="40">
        <v>0</v>
      </c>
      <c r="H322" s="40">
        <v>0</v>
      </c>
      <c r="I322" s="40">
        <v>0</v>
      </c>
      <c r="J322" s="67">
        <v>0</v>
      </c>
      <c r="K322" s="43"/>
      <c r="L322" s="40">
        <v>0</v>
      </c>
      <c r="M322" s="40">
        <v>0</v>
      </c>
      <c r="N322" s="40">
        <v>0</v>
      </c>
      <c r="O322" s="40">
        <v>0</v>
      </c>
      <c r="P322" s="40">
        <v>0</v>
      </c>
      <c r="Q322" s="40"/>
      <c r="R322" s="40">
        <v>0</v>
      </c>
      <c r="S322" s="67">
        <v>0</v>
      </c>
      <c r="T322" s="41"/>
      <c r="U322" s="11"/>
      <c r="V322" s="41"/>
      <c r="W322" s="67">
        <v>0</v>
      </c>
      <c r="X322" s="44">
        <v>0</v>
      </c>
      <c r="Y322" s="44">
        <v>0</v>
      </c>
      <c r="Z322" s="54"/>
      <c r="AA322" s="54"/>
      <c r="AB322" s="54"/>
      <c r="AC322" s="54"/>
    </row>
    <row r="323" spans="1:29" x14ac:dyDescent="0.2">
      <c r="A323" s="49"/>
      <c r="B323" s="49" t="s">
        <v>36</v>
      </c>
      <c r="C323" s="40">
        <v>0</v>
      </c>
      <c r="D323" s="40">
        <v>0</v>
      </c>
      <c r="E323" s="40">
        <v>0</v>
      </c>
      <c r="F323" s="40"/>
      <c r="G323" s="40">
        <v>0</v>
      </c>
      <c r="H323" s="40">
        <v>0</v>
      </c>
      <c r="I323" s="40">
        <v>0</v>
      </c>
      <c r="J323" s="67">
        <v>0</v>
      </c>
      <c r="K323" s="43"/>
      <c r="L323" s="40">
        <v>0</v>
      </c>
      <c r="M323" s="40">
        <v>0</v>
      </c>
      <c r="N323" s="40">
        <v>0</v>
      </c>
      <c r="O323" s="40">
        <v>0</v>
      </c>
      <c r="P323" s="40">
        <v>0</v>
      </c>
      <c r="Q323" s="40"/>
      <c r="R323" s="40">
        <v>0</v>
      </c>
      <c r="S323" s="67">
        <v>0</v>
      </c>
      <c r="T323" s="41"/>
      <c r="U323" s="11"/>
      <c r="V323" s="41"/>
      <c r="W323" s="67">
        <v>0</v>
      </c>
      <c r="X323" s="44">
        <v>0</v>
      </c>
      <c r="Y323" s="44">
        <v>0</v>
      </c>
      <c r="Z323" s="54"/>
      <c r="AA323" s="54"/>
      <c r="AB323" s="54"/>
      <c r="AC323" s="54"/>
    </row>
    <row r="324" spans="1:29" x14ac:dyDescent="0.2">
      <c r="A324" s="49"/>
      <c r="B324" s="49" t="s">
        <v>36</v>
      </c>
      <c r="C324" s="40">
        <v>0</v>
      </c>
      <c r="D324" s="40">
        <v>0</v>
      </c>
      <c r="E324" s="40">
        <v>0</v>
      </c>
      <c r="F324" s="40"/>
      <c r="G324" s="40">
        <v>0</v>
      </c>
      <c r="H324" s="40">
        <v>0</v>
      </c>
      <c r="I324" s="40">
        <v>0</v>
      </c>
      <c r="J324" s="67">
        <v>0</v>
      </c>
      <c r="K324" s="43"/>
      <c r="L324" s="40">
        <v>0</v>
      </c>
      <c r="M324" s="40">
        <v>0</v>
      </c>
      <c r="N324" s="40">
        <v>0</v>
      </c>
      <c r="O324" s="40">
        <v>0</v>
      </c>
      <c r="P324" s="40">
        <v>0</v>
      </c>
      <c r="Q324" s="40"/>
      <c r="R324" s="40">
        <v>0</v>
      </c>
      <c r="S324" s="67">
        <v>0</v>
      </c>
      <c r="T324" s="41"/>
      <c r="U324" s="11"/>
      <c r="V324" s="41"/>
      <c r="W324" s="67">
        <v>0</v>
      </c>
      <c r="X324" s="44">
        <v>0</v>
      </c>
      <c r="Y324" s="44">
        <v>0</v>
      </c>
      <c r="Z324" s="54"/>
      <c r="AA324" s="54"/>
      <c r="AB324" s="54"/>
      <c r="AC324" s="54"/>
    </row>
    <row r="325" spans="1:29" x14ac:dyDescent="0.2">
      <c r="A325" s="49"/>
      <c r="B325" s="49" t="s">
        <v>36</v>
      </c>
      <c r="C325" s="40">
        <v>0</v>
      </c>
      <c r="D325" s="40">
        <v>0</v>
      </c>
      <c r="E325" s="40">
        <v>0</v>
      </c>
      <c r="F325" s="40"/>
      <c r="G325" s="40">
        <v>0</v>
      </c>
      <c r="H325" s="40">
        <v>0</v>
      </c>
      <c r="I325" s="40">
        <v>0</v>
      </c>
      <c r="J325" s="67">
        <v>0</v>
      </c>
      <c r="K325" s="43"/>
      <c r="L325" s="40">
        <v>0</v>
      </c>
      <c r="M325" s="40">
        <v>0</v>
      </c>
      <c r="N325" s="40">
        <v>0</v>
      </c>
      <c r="O325" s="40">
        <v>0</v>
      </c>
      <c r="P325" s="40">
        <v>0</v>
      </c>
      <c r="Q325" s="40"/>
      <c r="R325" s="40">
        <v>0</v>
      </c>
      <c r="S325" s="67">
        <v>0</v>
      </c>
      <c r="T325" s="41"/>
      <c r="U325" s="11"/>
      <c r="V325" s="41"/>
      <c r="W325" s="67">
        <v>0</v>
      </c>
      <c r="X325" s="44">
        <v>0</v>
      </c>
      <c r="Y325" s="44">
        <v>0</v>
      </c>
      <c r="Z325" s="54"/>
      <c r="AA325" s="54"/>
      <c r="AB325" s="54"/>
      <c r="AC325" s="54"/>
    </row>
    <row r="326" spans="1:29" x14ac:dyDescent="0.2">
      <c r="A326" s="49"/>
      <c r="B326" s="49" t="s">
        <v>36</v>
      </c>
      <c r="C326" s="40">
        <v>0</v>
      </c>
      <c r="D326" s="40">
        <v>0</v>
      </c>
      <c r="E326" s="40">
        <v>0</v>
      </c>
      <c r="F326" s="40"/>
      <c r="G326" s="40">
        <v>0</v>
      </c>
      <c r="H326" s="40">
        <v>0</v>
      </c>
      <c r="I326" s="40">
        <v>0</v>
      </c>
      <c r="J326" s="67">
        <v>0</v>
      </c>
      <c r="K326" s="43"/>
      <c r="L326" s="40">
        <v>0</v>
      </c>
      <c r="M326" s="40">
        <v>0</v>
      </c>
      <c r="N326" s="40">
        <v>0</v>
      </c>
      <c r="O326" s="40">
        <v>0</v>
      </c>
      <c r="P326" s="40">
        <v>0</v>
      </c>
      <c r="Q326" s="40"/>
      <c r="R326" s="40">
        <v>0</v>
      </c>
      <c r="S326" s="67">
        <v>0</v>
      </c>
      <c r="T326" s="41"/>
      <c r="U326" s="11"/>
      <c r="V326" s="41"/>
      <c r="W326" s="67">
        <v>0</v>
      </c>
      <c r="X326" s="44">
        <v>0</v>
      </c>
      <c r="Y326" s="44">
        <v>0</v>
      </c>
      <c r="Z326" s="54"/>
      <c r="AA326" s="54"/>
      <c r="AB326" s="54"/>
      <c r="AC326" s="54"/>
    </row>
    <row r="327" spans="1:29" x14ac:dyDescent="0.2">
      <c r="A327" s="49"/>
      <c r="B327" s="49" t="s">
        <v>36</v>
      </c>
      <c r="C327" s="40">
        <v>0</v>
      </c>
      <c r="D327" s="40">
        <v>0</v>
      </c>
      <c r="E327" s="40">
        <v>0</v>
      </c>
      <c r="F327" s="40"/>
      <c r="G327" s="40">
        <v>0</v>
      </c>
      <c r="H327" s="40">
        <v>0</v>
      </c>
      <c r="I327" s="40">
        <v>0</v>
      </c>
      <c r="J327" s="67">
        <v>0</v>
      </c>
      <c r="K327" s="43"/>
      <c r="L327" s="40">
        <v>0</v>
      </c>
      <c r="M327" s="40">
        <v>0</v>
      </c>
      <c r="N327" s="40">
        <v>0</v>
      </c>
      <c r="O327" s="40">
        <v>0</v>
      </c>
      <c r="P327" s="40">
        <v>0</v>
      </c>
      <c r="Q327" s="40"/>
      <c r="R327" s="40">
        <v>0</v>
      </c>
      <c r="S327" s="67">
        <v>0</v>
      </c>
      <c r="T327" s="41"/>
      <c r="U327" s="11"/>
      <c r="V327" s="41"/>
      <c r="W327" s="67">
        <v>0</v>
      </c>
      <c r="X327" s="44">
        <v>0</v>
      </c>
      <c r="Y327" s="44">
        <v>0</v>
      </c>
      <c r="Z327" s="54"/>
      <c r="AA327" s="54"/>
      <c r="AB327" s="54"/>
      <c r="AC327" s="54"/>
    </row>
    <row r="328" spans="1:29" x14ac:dyDescent="0.2">
      <c r="A328" s="49"/>
      <c r="B328" s="49" t="s">
        <v>36</v>
      </c>
      <c r="C328" s="40">
        <v>0</v>
      </c>
      <c r="D328" s="40">
        <v>0</v>
      </c>
      <c r="E328" s="40">
        <v>0</v>
      </c>
      <c r="F328" s="40"/>
      <c r="G328" s="40">
        <v>0</v>
      </c>
      <c r="H328" s="40">
        <v>0</v>
      </c>
      <c r="I328" s="40">
        <v>0</v>
      </c>
      <c r="J328" s="67">
        <v>0</v>
      </c>
      <c r="K328" s="43"/>
      <c r="L328" s="40">
        <v>0</v>
      </c>
      <c r="M328" s="40">
        <v>0</v>
      </c>
      <c r="N328" s="40">
        <v>0</v>
      </c>
      <c r="O328" s="40">
        <v>0</v>
      </c>
      <c r="P328" s="40">
        <v>0</v>
      </c>
      <c r="Q328" s="40"/>
      <c r="R328" s="40">
        <v>0</v>
      </c>
      <c r="S328" s="67">
        <v>0</v>
      </c>
      <c r="T328" s="41"/>
      <c r="U328" s="11"/>
      <c r="V328" s="41"/>
      <c r="W328" s="67">
        <v>0</v>
      </c>
      <c r="X328" s="44">
        <v>0</v>
      </c>
      <c r="Y328" s="44">
        <v>0</v>
      </c>
      <c r="Z328" s="54"/>
      <c r="AA328" s="54"/>
      <c r="AB328" s="54"/>
      <c r="AC328" s="54"/>
    </row>
    <row r="329" spans="1:29" x14ac:dyDescent="0.2">
      <c r="A329" s="49"/>
      <c r="B329" s="49" t="s">
        <v>36</v>
      </c>
      <c r="C329" s="40">
        <v>0</v>
      </c>
      <c r="D329" s="40">
        <v>0</v>
      </c>
      <c r="E329" s="40">
        <v>0</v>
      </c>
      <c r="F329" s="40"/>
      <c r="G329" s="40">
        <v>0</v>
      </c>
      <c r="H329" s="40">
        <v>0</v>
      </c>
      <c r="I329" s="40">
        <v>0</v>
      </c>
      <c r="J329" s="67">
        <v>0</v>
      </c>
      <c r="K329" s="43"/>
      <c r="L329" s="40">
        <v>0</v>
      </c>
      <c r="M329" s="40">
        <v>0</v>
      </c>
      <c r="N329" s="40">
        <v>0</v>
      </c>
      <c r="O329" s="40">
        <v>0</v>
      </c>
      <c r="P329" s="40">
        <v>0</v>
      </c>
      <c r="Q329" s="40"/>
      <c r="R329" s="40">
        <v>0</v>
      </c>
      <c r="S329" s="67">
        <v>0</v>
      </c>
      <c r="T329" s="41"/>
      <c r="U329" s="11"/>
      <c r="V329" s="41"/>
      <c r="W329" s="67">
        <v>0</v>
      </c>
      <c r="X329" s="44">
        <v>0</v>
      </c>
      <c r="Y329" s="44">
        <v>0</v>
      </c>
      <c r="Z329" s="54"/>
      <c r="AA329" s="54"/>
      <c r="AB329" s="54"/>
      <c r="AC329" s="54"/>
    </row>
    <row r="330" spans="1:29" x14ac:dyDescent="0.2">
      <c r="A330" s="49"/>
      <c r="B330" s="49" t="s">
        <v>36</v>
      </c>
      <c r="C330" s="40">
        <v>0</v>
      </c>
      <c r="D330" s="40">
        <v>0</v>
      </c>
      <c r="E330" s="40">
        <v>0</v>
      </c>
      <c r="F330" s="40"/>
      <c r="G330" s="40">
        <v>0</v>
      </c>
      <c r="H330" s="40">
        <v>0</v>
      </c>
      <c r="I330" s="40">
        <v>0</v>
      </c>
      <c r="J330" s="67">
        <v>0</v>
      </c>
      <c r="K330" s="43"/>
      <c r="L330" s="40">
        <v>0</v>
      </c>
      <c r="M330" s="40">
        <v>0</v>
      </c>
      <c r="N330" s="40">
        <v>0</v>
      </c>
      <c r="O330" s="40">
        <v>0</v>
      </c>
      <c r="P330" s="40">
        <v>0</v>
      </c>
      <c r="Q330" s="40"/>
      <c r="R330" s="40">
        <v>0</v>
      </c>
      <c r="S330" s="67">
        <v>0</v>
      </c>
      <c r="T330" s="41"/>
      <c r="U330" s="11"/>
      <c r="V330" s="41"/>
      <c r="W330" s="67">
        <v>0</v>
      </c>
      <c r="X330" s="44">
        <v>0</v>
      </c>
      <c r="Y330" s="44">
        <v>0</v>
      </c>
      <c r="Z330" s="54"/>
      <c r="AA330" s="54"/>
      <c r="AB330" s="54"/>
      <c r="AC330" s="54"/>
    </row>
    <row r="331" spans="1:29" x14ac:dyDescent="0.2">
      <c r="A331" s="49"/>
      <c r="B331" s="49" t="s">
        <v>36</v>
      </c>
      <c r="C331" s="40">
        <v>0</v>
      </c>
      <c r="D331" s="40">
        <v>0</v>
      </c>
      <c r="E331" s="40">
        <v>0</v>
      </c>
      <c r="F331" s="40"/>
      <c r="G331" s="40">
        <v>0</v>
      </c>
      <c r="H331" s="40">
        <v>0</v>
      </c>
      <c r="I331" s="40">
        <v>0</v>
      </c>
      <c r="J331" s="67">
        <v>0</v>
      </c>
      <c r="K331" s="43"/>
      <c r="L331" s="40">
        <v>0</v>
      </c>
      <c r="M331" s="40">
        <v>0</v>
      </c>
      <c r="N331" s="40">
        <v>0</v>
      </c>
      <c r="O331" s="40">
        <v>0</v>
      </c>
      <c r="P331" s="40">
        <v>0</v>
      </c>
      <c r="Q331" s="40"/>
      <c r="R331" s="40">
        <v>0</v>
      </c>
      <c r="S331" s="67">
        <v>0</v>
      </c>
      <c r="T331" s="41"/>
      <c r="U331" s="11"/>
      <c r="V331" s="41"/>
      <c r="W331" s="67">
        <v>0</v>
      </c>
      <c r="X331" s="44">
        <v>0</v>
      </c>
      <c r="Y331" s="44">
        <v>0</v>
      </c>
      <c r="Z331" s="54"/>
      <c r="AA331" s="54"/>
      <c r="AB331" s="54"/>
      <c r="AC331" s="54"/>
    </row>
    <row r="332" spans="1:29" x14ac:dyDescent="0.2">
      <c r="A332" s="49"/>
      <c r="B332" s="49" t="s">
        <v>36</v>
      </c>
      <c r="C332" s="40">
        <v>0</v>
      </c>
      <c r="D332" s="40">
        <v>0</v>
      </c>
      <c r="E332" s="40">
        <v>0</v>
      </c>
      <c r="F332" s="40"/>
      <c r="G332" s="40">
        <v>0</v>
      </c>
      <c r="H332" s="40">
        <v>0</v>
      </c>
      <c r="I332" s="40">
        <v>0</v>
      </c>
      <c r="J332" s="67">
        <v>0</v>
      </c>
      <c r="K332" s="43"/>
      <c r="L332" s="40">
        <v>0</v>
      </c>
      <c r="M332" s="40">
        <v>0</v>
      </c>
      <c r="N332" s="40">
        <v>0</v>
      </c>
      <c r="O332" s="40">
        <v>0</v>
      </c>
      <c r="P332" s="40">
        <v>0</v>
      </c>
      <c r="Q332" s="40"/>
      <c r="R332" s="40">
        <v>0</v>
      </c>
      <c r="S332" s="67">
        <v>0</v>
      </c>
      <c r="T332" s="41"/>
      <c r="U332" s="11"/>
      <c r="V332" s="41"/>
      <c r="W332" s="67">
        <v>0</v>
      </c>
      <c r="X332" s="44">
        <v>0</v>
      </c>
      <c r="Y332" s="44">
        <v>0</v>
      </c>
      <c r="Z332" s="54"/>
      <c r="AA332" s="54"/>
      <c r="AB332" s="54"/>
      <c r="AC332" s="54"/>
    </row>
    <row r="333" spans="1:29" x14ac:dyDescent="0.2">
      <c r="A333" s="49"/>
      <c r="B333" s="49" t="s">
        <v>36</v>
      </c>
      <c r="C333" s="40">
        <v>0</v>
      </c>
      <c r="D333" s="40">
        <v>0</v>
      </c>
      <c r="E333" s="40">
        <v>0</v>
      </c>
      <c r="F333" s="40"/>
      <c r="G333" s="40">
        <v>0</v>
      </c>
      <c r="H333" s="40">
        <v>0</v>
      </c>
      <c r="I333" s="40">
        <v>0</v>
      </c>
      <c r="J333" s="67">
        <v>0</v>
      </c>
      <c r="K333" s="43"/>
      <c r="L333" s="40">
        <v>0</v>
      </c>
      <c r="M333" s="40">
        <v>0</v>
      </c>
      <c r="N333" s="40">
        <v>0</v>
      </c>
      <c r="O333" s="40">
        <v>0</v>
      </c>
      <c r="P333" s="40">
        <v>0</v>
      </c>
      <c r="Q333" s="40"/>
      <c r="R333" s="40">
        <v>0</v>
      </c>
      <c r="S333" s="67">
        <v>0</v>
      </c>
      <c r="T333" s="41"/>
      <c r="U333" s="11"/>
      <c r="V333" s="41"/>
      <c r="W333" s="67">
        <v>0</v>
      </c>
      <c r="X333" s="44">
        <v>0</v>
      </c>
      <c r="Y333" s="44">
        <v>0</v>
      </c>
      <c r="Z333" s="54"/>
      <c r="AA333" s="54"/>
      <c r="AB333" s="54"/>
      <c r="AC333" s="54"/>
    </row>
    <row r="334" spans="1:29" x14ac:dyDescent="0.2">
      <c r="A334" s="49"/>
      <c r="B334" s="49" t="s">
        <v>36</v>
      </c>
      <c r="C334" s="40">
        <v>0</v>
      </c>
      <c r="D334" s="40">
        <v>0</v>
      </c>
      <c r="E334" s="40">
        <v>0</v>
      </c>
      <c r="F334" s="40"/>
      <c r="G334" s="40">
        <v>0</v>
      </c>
      <c r="H334" s="40">
        <v>0</v>
      </c>
      <c r="I334" s="40">
        <v>0</v>
      </c>
      <c r="J334" s="67">
        <v>0</v>
      </c>
      <c r="K334" s="43"/>
      <c r="L334" s="40">
        <v>0</v>
      </c>
      <c r="M334" s="40">
        <v>0</v>
      </c>
      <c r="N334" s="40">
        <v>0</v>
      </c>
      <c r="O334" s="40">
        <v>0</v>
      </c>
      <c r="P334" s="40">
        <v>0</v>
      </c>
      <c r="Q334" s="40"/>
      <c r="R334" s="40">
        <v>0</v>
      </c>
      <c r="S334" s="67">
        <v>0</v>
      </c>
      <c r="T334" s="41"/>
      <c r="U334" s="11"/>
      <c r="V334" s="41"/>
      <c r="W334" s="67">
        <v>0</v>
      </c>
      <c r="X334" s="44">
        <v>0</v>
      </c>
      <c r="Y334" s="44">
        <v>0</v>
      </c>
      <c r="Z334" s="54"/>
      <c r="AA334" s="54"/>
      <c r="AB334" s="54"/>
      <c r="AC334" s="54"/>
    </row>
    <row r="335" spans="1:29" x14ac:dyDescent="0.2">
      <c r="A335" s="49"/>
      <c r="B335" s="49" t="s">
        <v>36</v>
      </c>
      <c r="C335" s="40">
        <v>0</v>
      </c>
      <c r="D335" s="40">
        <v>0</v>
      </c>
      <c r="E335" s="40">
        <v>0</v>
      </c>
      <c r="F335" s="40"/>
      <c r="G335" s="40">
        <v>0</v>
      </c>
      <c r="H335" s="40">
        <v>0</v>
      </c>
      <c r="I335" s="40">
        <v>0</v>
      </c>
      <c r="J335" s="67">
        <v>0</v>
      </c>
      <c r="K335" s="43"/>
      <c r="L335" s="40">
        <v>0</v>
      </c>
      <c r="M335" s="40">
        <v>0</v>
      </c>
      <c r="N335" s="40">
        <v>0</v>
      </c>
      <c r="O335" s="40">
        <v>0</v>
      </c>
      <c r="P335" s="40">
        <v>0</v>
      </c>
      <c r="Q335" s="40"/>
      <c r="R335" s="40">
        <v>0</v>
      </c>
      <c r="S335" s="67">
        <v>0</v>
      </c>
      <c r="T335" s="41"/>
      <c r="U335" s="11"/>
      <c r="V335" s="41"/>
      <c r="W335" s="67">
        <v>0</v>
      </c>
      <c r="X335" s="44">
        <v>0</v>
      </c>
      <c r="Y335" s="44">
        <v>0</v>
      </c>
      <c r="Z335" s="54"/>
      <c r="AA335" s="54"/>
      <c r="AB335" s="54"/>
      <c r="AC335" s="54"/>
    </row>
    <row r="336" spans="1:29" x14ac:dyDescent="0.2">
      <c r="A336" s="49"/>
      <c r="B336" s="49" t="s">
        <v>36</v>
      </c>
      <c r="C336" s="40">
        <v>0</v>
      </c>
      <c r="D336" s="40">
        <v>0</v>
      </c>
      <c r="E336" s="40">
        <v>0</v>
      </c>
      <c r="F336" s="40"/>
      <c r="G336" s="40">
        <v>0</v>
      </c>
      <c r="H336" s="40">
        <v>0</v>
      </c>
      <c r="I336" s="40">
        <v>0</v>
      </c>
      <c r="J336" s="67">
        <v>0</v>
      </c>
      <c r="K336" s="43"/>
      <c r="L336" s="40">
        <v>0</v>
      </c>
      <c r="M336" s="40">
        <v>0</v>
      </c>
      <c r="N336" s="40">
        <v>0</v>
      </c>
      <c r="O336" s="40">
        <v>0</v>
      </c>
      <c r="P336" s="40">
        <v>0</v>
      </c>
      <c r="Q336" s="40"/>
      <c r="R336" s="40">
        <v>0</v>
      </c>
      <c r="S336" s="67">
        <v>0</v>
      </c>
      <c r="T336" s="41"/>
      <c r="U336" s="11"/>
      <c r="V336" s="41"/>
      <c r="W336" s="67">
        <v>0</v>
      </c>
      <c r="X336" s="44">
        <v>0</v>
      </c>
      <c r="Y336" s="44">
        <v>0</v>
      </c>
      <c r="Z336" s="54"/>
      <c r="AA336" s="54"/>
      <c r="AB336" s="54"/>
      <c r="AC336" s="54"/>
    </row>
    <row r="337" spans="1:29" x14ac:dyDescent="0.2">
      <c r="A337" s="49"/>
      <c r="B337" s="49" t="s">
        <v>36</v>
      </c>
      <c r="C337" s="40">
        <v>0</v>
      </c>
      <c r="D337" s="40">
        <v>0</v>
      </c>
      <c r="E337" s="40">
        <v>0</v>
      </c>
      <c r="F337" s="40"/>
      <c r="G337" s="40">
        <v>0</v>
      </c>
      <c r="H337" s="40">
        <v>0</v>
      </c>
      <c r="I337" s="40">
        <v>0</v>
      </c>
      <c r="J337" s="67">
        <v>0</v>
      </c>
      <c r="K337" s="43"/>
      <c r="L337" s="40">
        <v>0</v>
      </c>
      <c r="M337" s="40">
        <v>0</v>
      </c>
      <c r="N337" s="40">
        <v>0</v>
      </c>
      <c r="O337" s="40">
        <v>0</v>
      </c>
      <c r="P337" s="40">
        <v>0</v>
      </c>
      <c r="Q337" s="40"/>
      <c r="R337" s="40">
        <v>0</v>
      </c>
      <c r="S337" s="67">
        <v>0</v>
      </c>
      <c r="T337" s="41"/>
      <c r="U337" s="11"/>
      <c r="V337" s="41"/>
      <c r="W337" s="67">
        <v>0</v>
      </c>
      <c r="X337" s="44">
        <v>0</v>
      </c>
      <c r="Y337" s="44">
        <v>0</v>
      </c>
      <c r="Z337" s="54"/>
      <c r="AA337" s="54"/>
      <c r="AB337" s="54"/>
      <c r="AC337" s="54"/>
    </row>
    <row r="338" spans="1:29" x14ac:dyDescent="0.2">
      <c r="A338" s="49"/>
      <c r="B338" s="49" t="s">
        <v>36</v>
      </c>
      <c r="C338" s="40">
        <v>0</v>
      </c>
      <c r="D338" s="40">
        <v>0</v>
      </c>
      <c r="E338" s="40">
        <v>0</v>
      </c>
      <c r="F338" s="40"/>
      <c r="G338" s="40">
        <v>0</v>
      </c>
      <c r="H338" s="40">
        <v>0</v>
      </c>
      <c r="I338" s="40">
        <v>0</v>
      </c>
      <c r="J338" s="67">
        <v>0</v>
      </c>
      <c r="K338" s="43"/>
      <c r="L338" s="40">
        <v>0</v>
      </c>
      <c r="M338" s="40">
        <v>0</v>
      </c>
      <c r="N338" s="40">
        <v>0</v>
      </c>
      <c r="O338" s="40">
        <v>0</v>
      </c>
      <c r="P338" s="40">
        <v>0</v>
      </c>
      <c r="Q338" s="40"/>
      <c r="R338" s="40">
        <v>0</v>
      </c>
      <c r="S338" s="67">
        <v>0</v>
      </c>
      <c r="T338" s="41"/>
      <c r="U338" s="11"/>
      <c r="V338" s="41"/>
      <c r="W338" s="67">
        <v>0</v>
      </c>
      <c r="X338" s="44">
        <v>0</v>
      </c>
      <c r="Y338" s="44">
        <v>0</v>
      </c>
      <c r="Z338" s="54"/>
      <c r="AA338" s="54"/>
      <c r="AB338" s="54"/>
      <c r="AC338" s="54"/>
    </row>
    <row r="339" spans="1:29" x14ac:dyDescent="0.2">
      <c r="A339" s="49"/>
      <c r="B339" s="49" t="s">
        <v>36</v>
      </c>
      <c r="C339" s="40">
        <v>0</v>
      </c>
      <c r="D339" s="40">
        <v>0</v>
      </c>
      <c r="E339" s="40">
        <v>0</v>
      </c>
      <c r="F339" s="40"/>
      <c r="G339" s="40">
        <v>0</v>
      </c>
      <c r="H339" s="40">
        <v>0</v>
      </c>
      <c r="I339" s="40">
        <v>0</v>
      </c>
      <c r="J339" s="67">
        <v>0</v>
      </c>
      <c r="K339" s="43"/>
      <c r="L339" s="40">
        <v>0</v>
      </c>
      <c r="M339" s="40">
        <v>0</v>
      </c>
      <c r="N339" s="40">
        <v>0</v>
      </c>
      <c r="O339" s="40">
        <v>0</v>
      </c>
      <c r="P339" s="40">
        <v>0</v>
      </c>
      <c r="Q339" s="40"/>
      <c r="R339" s="40">
        <v>0</v>
      </c>
      <c r="S339" s="67">
        <v>0</v>
      </c>
      <c r="T339" s="41"/>
      <c r="U339" s="11"/>
      <c r="V339" s="41"/>
      <c r="W339" s="67">
        <v>0</v>
      </c>
      <c r="X339" s="44">
        <v>0</v>
      </c>
      <c r="Y339" s="44">
        <v>0</v>
      </c>
      <c r="Z339" s="54"/>
      <c r="AA339" s="54"/>
      <c r="AB339" s="54"/>
      <c r="AC339" s="54"/>
    </row>
    <row r="340" spans="1:29" x14ac:dyDescent="0.2">
      <c r="A340" s="49"/>
      <c r="B340" s="49" t="s">
        <v>36</v>
      </c>
      <c r="C340" s="40">
        <v>0</v>
      </c>
      <c r="D340" s="40">
        <v>0</v>
      </c>
      <c r="E340" s="40">
        <v>0</v>
      </c>
      <c r="F340" s="40"/>
      <c r="G340" s="40">
        <v>0</v>
      </c>
      <c r="H340" s="40">
        <v>0</v>
      </c>
      <c r="I340" s="40">
        <v>0</v>
      </c>
      <c r="J340" s="67">
        <v>0</v>
      </c>
      <c r="K340" s="43"/>
      <c r="L340" s="40">
        <v>0</v>
      </c>
      <c r="M340" s="40">
        <v>0</v>
      </c>
      <c r="N340" s="40">
        <v>0</v>
      </c>
      <c r="O340" s="40">
        <v>0</v>
      </c>
      <c r="P340" s="40">
        <v>0</v>
      </c>
      <c r="Q340" s="40"/>
      <c r="R340" s="40">
        <v>0</v>
      </c>
      <c r="S340" s="67">
        <v>0</v>
      </c>
      <c r="T340" s="41"/>
      <c r="U340" s="11"/>
      <c r="V340" s="41"/>
      <c r="W340" s="67">
        <v>0</v>
      </c>
      <c r="X340" s="44">
        <v>0</v>
      </c>
      <c r="Y340" s="44">
        <v>0</v>
      </c>
      <c r="Z340" s="54"/>
      <c r="AA340" s="54"/>
      <c r="AB340" s="54"/>
      <c r="AC340" s="54"/>
    </row>
    <row r="341" spans="1:29" x14ac:dyDescent="0.2">
      <c r="A341" s="49"/>
      <c r="B341" s="49" t="s">
        <v>36</v>
      </c>
      <c r="C341" s="40">
        <v>0</v>
      </c>
      <c r="D341" s="40">
        <v>0</v>
      </c>
      <c r="E341" s="40">
        <v>0</v>
      </c>
      <c r="F341" s="40"/>
      <c r="G341" s="40">
        <v>0</v>
      </c>
      <c r="H341" s="40">
        <v>0</v>
      </c>
      <c r="I341" s="40">
        <v>0</v>
      </c>
      <c r="J341" s="67">
        <v>0</v>
      </c>
      <c r="K341" s="43"/>
      <c r="L341" s="40">
        <v>0</v>
      </c>
      <c r="M341" s="40">
        <v>0</v>
      </c>
      <c r="N341" s="40">
        <v>0</v>
      </c>
      <c r="O341" s="40">
        <v>0</v>
      </c>
      <c r="P341" s="40">
        <v>0</v>
      </c>
      <c r="Q341" s="40"/>
      <c r="R341" s="40">
        <v>0</v>
      </c>
      <c r="S341" s="67">
        <v>0</v>
      </c>
      <c r="T341" s="41"/>
      <c r="U341" s="11"/>
      <c r="V341" s="41"/>
      <c r="W341" s="67">
        <v>0</v>
      </c>
      <c r="X341" s="44">
        <v>0</v>
      </c>
      <c r="Y341" s="44">
        <v>0</v>
      </c>
      <c r="Z341" s="54"/>
      <c r="AA341" s="54"/>
      <c r="AB341" s="54"/>
      <c r="AC341" s="54"/>
    </row>
    <row r="342" spans="1:29" x14ac:dyDescent="0.2">
      <c r="A342" s="49"/>
      <c r="B342" s="49" t="s">
        <v>36</v>
      </c>
      <c r="C342" s="40">
        <v>0</v>
      </c>
      <c r="D342" s="40">
        <v>0</v>
      </c>
      <c r="E342" s="40">
        <v>0</v>
      </c>
      <c r="F342" s="40"/>
      <c r="G342" s="40">
        <v>0</v>
      </c>
      <c r="H342" s="40">
        <v>0</v>
      </c>
      <c r="I342" s="40">
        <v>0</v>
      </c>
      <c r="J342" s="67">
        <v>0</v>
      </c>
      <c r="K342" s="43"/>
      <c r="L342" s="40">
        <v>0</v>
      </c>
      <c r="M342" s="40">
        <v>0</v>
      </c>
      <c r="N342" s="40">
        <v>0</v>
      </c>
      <c r="O342" s="40">
        <v>0</v>
      </c>
      <c r="P342" s="40">
        <v>0</v>
      </c>
      <c r="Q342" s="40"/>
      <c r="R342" s="40">
        <v>0</v>
      </c>
      <c r="S342" s="67">
        <v>0</v>
      </c>
      <c r="T342" s="41"/>
      <c r="U342" s="11"/>
      <c r="V342" s="41"/>
      <c r="W342" s="67">
        <v>0</v>
      </c>
      <c r="X342" s="44">
        <v>0</v>
      </c>
      <c r="Y342" s="44">
        <v>0</v>
      </c>
      <c r="Z342" s="54"/>
      <c r="AA342" s="54"/>
      <c r="AB342" s="54"/>
      <c r="AC342" s="54"/>
    </row>
    <row r="343" spans="1:29" x14ac:dyDescent="0.2">
      <c r="A343" s="49"/>
      <c r="B343" s="49" t="s">
        <v>36</v>
      </c>
      <c r="C343" s="40">
        <v>0</v>
      </c>
      <c r="D343" s="40">
        <v>0</v>
      </c>
      <c r="E343" s="40">
        <v>0</v>
      </c>
      <c r="F343" s="40"/>
      <c r="G343" s="40">
        <v>0</v>
      </c>
      <c r="H343" s="40">
        <v>0</v>
      </c>
      <c r="I343" s="40">
        <v>0</v>
      </c>
      <c r="J343" s="67">
        <v>0</v>
      </c>
      <c r="K343" s="43"/>
      <c r="L343" s="40">
        <v>0</v>
      </c>
      <c r="M343" s="40">
        <v>0</v>
      </c>
      <c r="N343" s="40">
        <v>0</v>
      </c>
      <c r="O343" s="40">
        <v>0</v>
      </c>
      <c r="P343" s="40">
        <v>0</v>
      </c>
      <c r="Q343" s="40"/>
      <c r="R343" s="40">
        <v>0</v>
      </c>
      <c r="S343" s="67">
        <v>0</v>
      </c>
      <c r="T343" s="41"/>
      <c r="U343" s="11"/>
      <c r="V343" s="41"/>
      <c r="W343" s="67">
        <v>0</v>
      </c>
      <c r="X343" s="44">
        <v>0</v>
      </c>
      <c r="Y343" s="44">
        <v>0</v>
      </c>
      <c r="Z343" s="54"/>
      <c r="AA343" s="54"/>
      <c r="AB343" s="54"/>
      <c r="AC343" s="54"/>
    </row>
    <row r="344" spans="1:29" x14ac:dyDescent="0.2">
      <c r="A344" s="49"/>
      <c r="B344" s="49" t="s">
        <v>36</v>
      </c>
      <c r="C344" s="40">
        <v>0</v>
      </c>
      <c r="D344" s="40">
        <v>0</v>
      </c>
      <c r="E344" s="40">
        <v>0</v>
      </c>
      <c r="F344" s="40"/>
      <c r="G344" s="40">
        <v>0</v>
      </c>
      <c r="H344" s="40">
        <v>0</v>
      </c>
      <c r="I344" s="40">
        <v>0</v>
      </c>
      <c r="J344" s="67">
        <v>0</v>
      </c>
      <c r="K344" s="43"/>
      <c r="L344" s="40">
        <v>0</v>
      </c>
      <c r="M344" s="40">
        <v>0</v>
      </c>
      <c r="N344" s="40">
        <v>0</v>
      </c>
      <c r="O344" s="40">
        <v>0</v>
      </c>
      <c r="P344" s="40">
        <v>0</v>
      </c>
      <c r="Q344" s="40"/>
      <c r="R344" s="40">
        <v>0</v>
      </c>
      <c r="S344" s="67">
        <v>0</v>
      </c>
      <c r="T344" s="41"/>
      <c r="U344" s="11"/>
      <c r="V344" s="41"/>
      <c r="W344" s="67">
        <v>0</v>
      </c>
      <c r="X344" s="44">
        <v>0</v>
      </c>
      <c r="Y344" s="44">
        <v>0</v>
      </c>
      <c r="Z344" s="54"/>
      <c r="AA344" s="54"/>
      <c r="AB344" s="54"/>
      <c r="AC344" s="54"/>
    </row>
    <row r="345" spans="1:29" x14ac:dyDescent="0.2">
      <c r="A345" s="49"/>
      <c r="B345" s="49" t="s">
        <v>36</v>
      </c>
      <c r="C345" s="40">
        <v>0</v>
      </c>
      <c r="D345" s="40">
        <v>0</v>
      </c>
      <c r="E345" s="40">
        <v>0</v>
      </c>
      <c r="F345" s="40"/>
      <c r="G345" s="40">
        <v>0</v>
      </c>
      <c r="H345" s="40">
        <v>0</v>
      </c>
      <c r="I345" s="40">
        <v>0</v>
      </c>
      <c r="J345" s="67">
        <v>0</v>
      </c>
      <c r="K345" s="43"/>
      <c r="L345" s="40">
        <v>0</v>
      </c>
      <c r="M345" s="40">
        <v>0</v>
      </c>
      <c r="N345" s="40">
        <v>0</v>
      </c>
      <c r="O345" s="40">
        <v>0</v>
      </c>
      <c r="P345" s="40">
        <v>0</v>
      </c>
      <c r="Q345" s="40"/>
      <c r="R345" s="40">
        <v>0</v>
      </c>
      <c r="S345" s="67">
        <v>0</v>
      </c>
      <c r="T345" s="41"/>
      <c r="U345" s="11"/>
      <c r="V345" s="41"/>
      <c r="W345" s="67">
        <v>0</v>
      </c>
      <c r="X345" s="44">
        <v>0</v>
      </c>
      <c r="Y345" s="44">
        <v>0</v>
      </c>
      <c r="Z345" s="54"/>
      <c r="AA345" s="54"/>
      <c r="AB345" s="54"/>
      <c r="AC345" s="54"/>
    </row>
    <row r="346" spans="1:29" x14ac:dyDescent="0.2">
      <c r="A346" s="49"/>
      <c r="B346" s="49" t="s">
        <v>36</v>
      </c>
      <c r="C346" s="40">
        <v>0</v>
      </c>
      <c r="D346" s="40">
        <v>0</v>
      </c>
      <c r="E346" s="40">
        <v>0</v>
      </c>
      <c r="F346" s="40"/>
      <c r="G346" s="40">
        <v>0</v>
      </c>
      <c r="H346" s="40">
        <v>0</v>
      </c>
      <c r="I346" s="40">
        <v>0</v>
      </c>
      <c r="J346" s="67">
        <v>0</v>
      </c>
      <c r="K346" s="43"/>
      <c r="L346" s="40">
        <v>0</v>
      </c>
      <c r="M346" s="40">
        <v>0</v>
      </c>
      <c r="N346" s="40">
        <v>0</v>
      </c>
      <c r="O346" s="40">
        <v>0</v>
      </c>
      <c r="P346" s="40">
        <v>0</v>
      </c>
      <c r="Q346" s="40"/>
      <c r="R346" s="40">
        <v>0</v>
      </c>
      <c r="S346" s="67">
        <v>0</v>
      </c>
      <c r="T346" s="41"/>
      <c r="U346" s="11"/>
      <c r="V346" s="41"/>
      <c r="W346" s="67">
        <v>0</v>
      </c>
      <c r="X346" s="44">
        <v>0</v>
      </c>
      <c r="Y346" s="44">
        <v>0</v>
      </c>
      <c r="Z346" s="54"/>
      <c r="AA346" s="54"/>
      <c r="AB346" s="54"/>
      <c r="AC346" s="54"/>
    </row>
    <row r="347" spans="1:29" x14ac:dyDescent="0.2">
      <c r="A347" s="49"/>
      <c r="B347" s="49" t="s">
        <v>36</v>
      </c>
      <c r="C347" s="40">
        <v>0</v>
      </c>
      <c r="D347" s="40">
        <v>0</v>
      </c>
      <c r="E347" s="40">
        <v>0</v>
      </c>
      <c r="F347" s="40"/>
      <c r="G347" s="40">
        <v>0</v>
      </c>
      <c r="H347" s="40">
        <v>0</v>
      </c>
      <c r="I347" s="40">
        <v>0</v>
      </c>
      <c r="J347" s="67">
        <v>0</v>
      </c>
      <c r="K347" s="43"/>
      <c r="L347" s="40">
        <v>0</v>
      </c>
      <c r="M347" s="40">
        <v>0</v>
      </c>
      <c r="N347" s="40">
        <v>0</v>
      </c>
      <c r="O347" s="40">
        <v>0</v>
      </c>
      <c r="P347" s="40">
        <v>0</v>
      </c>
      <c r="Q347" s="40"/>
      <c r="R347" s="40">
        <v>0</v>
      </c>
      <c r="S347" s="67">
        <v>0</v>
      </c>
      <c r="T347" s="41"/>
      <c r="U347" s="11"/>
      <c r="V347" s="41"/>
      <c r="W347" s="67">
        <v>0</v>
      </c>
      <c r="X347" s="44">
        <v>0</v>
      </c>
      <c r="Y347" s="44">
        <v>0</v>
      </c>
      <c r="Z347" s="54"/>
      <c r="AA347" s="54"/>
      <c r="AB347" s="54"/>
      <c r="AC347" s="54"/>
    </row>
    <row r="348" spans="1:29" x14ac:dyDescent="0.2">
      <c r="A348" s="49"/>
      <c r="B348" s="49" t="s">
        <v>36</v>
      </c>
      <c r="C348" s="40">
        <v>0</v>
      </c>
      <c r="D348" s="40">
        <v>0</v>
      </c>
      <c r="E348" s="40">
        <v>0</v>
      </c>
      <c r="F348" s="40"/>
      <c r="G348" s="40">
        <v>0</v>
      </c>
      <c r="H348" s="40">
        <v>0</v>
      </c>
      <c r="I348" s="40">
        <v>0</v>
      </c>
      <c r="J348" s="67">
        <v>0</v>
      </c>
      <c r="K348" s="43"/>
      <c r="L348" s="40">
        <v>0</v>
      </c>
      <c r="M348" s="40">
        <v>0</v>
      </c>
      <c r="N348" s="40">
        <v>0</v>
      </c>
      <c r="O348" s="40">
        <v>0</v>
      </c>
      <c r="P348" s="40">
        <v>0</v>
      </c>
      <c r="Q348" s="40"/>
      <c r="R348" s="40">
        <v>0</v>
      </c>
      <c r="S348" s="67">
        <v>0</v>
      </c>
      <c r="T348" s="41"/>
      <c r="U348" s="11"/>
      <c r="V348" s="41"/>
      <c r="W348" s="67">
        <v>0</v>
      </c>
      <c r="X348" s="44">
        <v>0</v>
      </c>
      <c r="Y348" s="44">
        <v>0</v>
      </c>
      <c r="Z348" s="54"/>
      <c r="AA348" s="54"/>
      <c r="AB348" s="54"/>
      <c r="AC348" s="54"/>
    </row>
    <row r="349" spans="1:29" x14ac:dyDescent="0.2">
      <c r="A349" s="49"/>
      <c r="B349" s="49" t="s">
        <v>36</v>
      </c>
      <c r="C349" s="40">
        <v>0</v>
      </c>
      <c r="D349" s="40">
        <v>0</v>
      </c>
      <c r="E349" s="40">
        <v>0</v>
      </c>
      <c r="F349" s="40"/>
      <c r="G349" s="40">
        <v>0</v>
      </c>
      <c r="H349" s="40">
        <v>0</v>
      </c>
      <c r="I349" s="40">
        <v>0</v>
      </c>
      <c r="J349" s="67">
        <v>0</v>
      </c>
      <c r="K349" s="43"/>
      <c r="L349" s="40">
        <v>0</v>
      </c>
      <c r="M349" s="40">
        <v>0</v>
      </c>
      <c r="N349" s="40">
        <v>0</v>
      </c>
      <c r="O349" s="40">
        <v>0</v>
      </c>
      <c r="P349" s="40">
        <v>0</v>
      </c>
      <c r="Q349" s="40"/>
      <c r="R349" s="40">
        <v>0</v>
      </c>
      <c r="S349" s="67">
        <v>0</v>
      </c>
      <c r="T349" s="41"/>
      <c r="U349" s="11"/>
      <c r="V349" s="41"/>
      <c r="W349" s="67">
        <v>0</v>
      </c>
      <c r="X349" s="44">
        <v>0</v>
      </c>
      <c r="Y349" s="44">
        <v>0</v>
      </c>
      <c r="Z349" s="54"/>
      <c r="AA349" s="54"/>
      <c r="AB349" s="54"/>
      <c r="AC349" s="54"/>
    </row>
    <row r="350" spans="1:29" x14ac:dyDescent="0.2">
      <c r="A350" s="49"/>
      <c r="B350" s="49" t="s">
        <v>36</v>
      </c>
      <c r="C350" s="40">
        <v>0</v>
      </c>
      <c r="D350" s="40">
        <v>0</v>
      </c>
      <c r="E350" s="40">
        <v>0</v>
      </c>
      <c r="F350" s="40"/>
      <c r="G350" s="40">
        <v>0</v>
      </c>
      <c r="H350" s="40">
        <v>0</v>
      </c>
      <c r="I350" s="40">
        <v>0</v>
      </c>
      <c r="J350" s="67">
        <v>0</v>
      </c>
      <c r="K350" s="43"/>
      <c r="L350" s="40">
        <v>0</v>
      </c>
      <c r="M350" s="40">
        <v>0</v>
      </c>
      <c r="N350" s="40">
        <v>0</v>
      </c>
      <c r="O350" s="40">
        <v>0</v>
      </c>
      <c r="P350" s="40">
        <v>0</v>
      </c>
      <c r="Q350" s="40"/>
      <c r="R350" s="40">
        <v>0</v>
      </c>
      <c r="S350" s="67">
        <v>0</v>
      </c>
      <c r="T350" s="41"/>
      <c r="U350" s="11"/>
      <c r="V350" s="41"/>
      <c r="W350" s="67">
        <v>0</v>
      </c>
      <c r="X350" s="44">
        <v>0</v>
      </c>
      <c r="Y350" s="44">
        <v>0</v>
      </c>
      <c r="Z350" s="54"/>
      <c r="AA350" s="54"/>
      <c r="AB350" s="54"/>
      <c r="AC350" s="54"/>
    </row>
    <row r="351" spans="1:29" x14ac:dyDescent="0.2">
      <c r="A351" s="49"/>
      <c r="B351" s="49" t="s">
        <v>36</v>
      </c>
      <c r="C351" s="40">
        <v>0</v>
      </c>
      <c r="D351" s="40">
        <v>0</v>
      </c>
      <c r="E351" s="40">
        <v>0</v>
      </c>
      <c r="F351" s="40"/>
      <c r="G351" s="40">
        <v>0</v>
      </c>
      <c r="H351" s="40">
        <v>0</v>
      </c>
      <c r="I351" s="40">
        <v>0</v>
      </c>
      <c r="J351" s="67">
        <v>0</v>
      </c>
      <c r="K351" s="43"/>
      <c r="L351" s="40">
        <v>0</v>
      </c>
      <c r="M351" s="40">
        <v>0</v>
      </c>
      <c r="N351" s="40">
        <v>0</v>
      </c>
      <c r="O351" s="40">
        <v>0</v>
      </c>
      <c r="P351" s="40">
        <v>0</v>
      </c>
      <c r="Q351" s="40"/>
      <c r="R351" s="40">
        <v>0</v>
      </c>
      <c r="S351" s="67">
        <v>0</v>
      </c>
      <c r="T351" s="41"/>
      <c r="U351" s="11"/>
      <c r="V351" s="41"/>
      <c r="W351" s="67">
        <v>0</v>
      </c>
      <c r="X351" s="44">
        <v>0</v>
      </c>
      <c r="Y351" s="44">
        <v>0</v>
      </c>
      <c r="Z351" s="54"/>
      <c r="AA351" s="54"/>
      <c r="AB351" s="54"/>
      <c r="AC351" s="54"/>
    </row>
    <row r="352" spans="1:29" x14ac:dyDescent="0.2">
      <c r="A352" s="49"/>
      <c r="B352" s="49" t="s">
        <v>36</v>
      </c>
      <c r="C352" s="40">
        <v>0</v>
      </c>
      <c r="D352" s="40">
        <v>0</v>
      </c>
      <c r="E352" s="40">
        <v>0</v>
      </c>
      <c r="F352" s="40"/>
      <c r="G352" s="40">
        <v>0</v>
      </c>
      <c r="H352" s="40">
        <v>0</v>
      </c>
      <c r="I352" s="40">
        <v>0</v>
      </c>
      <c r="J352" s="67">
        <v>0</v>
      </c>
      <c r="K352" s="43"/>
      <c r="L352" s="40">
        <v>0</v>
      </c>
      <c r="M352" s="40">
        <v>0</v>
      </c>
      <c r="N352" s="40">
        <v>0</v>
      </c>
      <c r="O352" s="40">
        <v>0</v>
      </c>
      <c r="P352" s="40">
        <v>0</v>
      </c>
      <c r="Q352" s="40"/>
      <c r="R352" s="40">
        <v>0</v>
      </c>
      <c r="S352" s="67">
        <v>0</v>
      </c>
      <c r="T352" s="41"/>
      <c r="U352" s="11"/>
      <c r="V352" s="41"/>
      <c r="W352" s="67">
        <v>0</v>
      </c>
      <c r="X352" s="44">
        <v>0</v>
      </c>
      <c r="Y352" s="44">
        <v>0</v>
      </c>
      <c r="Z352" s="54"/>
      <c r="AA352" s="54"/>
      <c r="AB352" s="54"/>
      <c r="AC352" s="54"/>
    </row>
    <row r="353" spans="1:29" x14ac:dyDescent="0.2">
      <c r="A353" s="49"/>
      <c r="B353" s="49" t="s">
        <v>36</v>
      </c>
      <c r="C353" s="40">
        <v>0</v>
      </c>
      <c r="D353" s="40">
        <v>0</v>
      </c>
      <c r="E353" s="40">
        <v>0</v>
      </c>
      <c r="F353" s="40"/>
      <c r="G353" s="40">
        <v>0</v>
      </c>
      <c r="H353" s="40">
        <v>0</v>
      </c>
      <c r="I353" s="40">
        <v>0</v>
      </c>
      <c r="J353" s="67">
        <v>0</v>
      </c>
      <c r="K353" s="43"/>
      <c r="L353" s="40">
        <v>0</v>
      </c>
      <c r="M353" s="40">
        <v>0</v>
      </c>
      <c r="N353" s="40">
        <v>0</v>
      </c>
      <c r="O353" s="40">
        <v>0</v>
      </c>
      <c r="P353" s="40">
        <v>0</v>
      </c>
      <c r="Q353" s="40"/>
      <c r="R353" s="40">
        <v>0</v>
      </c>
      <c r="S353" s="67">
        <v>0</v>
      </c>
      <c r="T353" s="41"/>
      <c r="U353" s="11"/>
      <c r="V353" s="41"/>
      <c r="W353" s="67">
        <v>0</v>
      </c>
      <c r="X353" s="44">
        <v>0</v>
      </c>
      <c r="Y353" s="44">
        <v>0</v>
      </c>
      <c r="Z353" s="54"/>
      <c r="AA353" s="54"/>
      <c r="AB353" s="54"/>
      <c r="AC353" s="54"/>
    </row>
    <row r="354" spans="1:29" x14ac:dyDescent="0.2">
      <c r="A354" s="49"/>
      <c r="B354" s="49" t="s">
        <v>36</v>
      </c>
      <c r="C354" s="40">
        <v>0</v>
      </c>
      <c r="D354" s="40">
        <v>0</v>
      </c>
      <c r="E354" s="40">
        <v>0</v>
      </c>
      <c r="F354" s="40"/>
      <c r="G354" s="40">
        <v>0</v>
      </c>
      <c r="H354" s="40">
        <v>0</v>
      </c>
      <c r="I354" s="40">
        <v>0</v>
      </c>
      <c r="J354" s="67">
        <v>0</v>
      </c>
      <c r="K354" s="43"/>
      <c r="L354" s="40">
        <v>0</v>
      </c>
      <c r="M354" s="40">
        <v>0</v>
      </c>
      <c r="N354" s="40">
        <v>0</v>
      </c>
      <c r="O354" s="40">
        <v>0</v>
      </c>
      <c r="P354" s="40">
        <v>0</v>
      </c>
      <c r="Q354" s="40"/>
      <c r="R354" s="40">
        <v>0</v>
      </c>
      <c r="S354" s="67">
        <v>0</v>
      </c>
      <c r="T354" s="41"/>
      <c r="U354" s="11"/>
      <c r="V354" s="41"/>
      <c r="W354" s="67">
        <v>0</v>
      </c>
      <c r="X354" s="44">
        <v>0</v>
      </c>
      <c r="Y354" s="44">
        <v>0</v>
      </c>
      <c r="Z354" s="54"/>
      <c r="AA354" s="54"/>
      <c r="AB354" s="54"/>
      <c r="AC354" s="54"/>
    </row>
    <row r="355" spans="1:29" x14ac:dyDescent="0.2">
      <c r="A355" s="49"/>
      <c r="B355" s="49" t="s">
        <v>36</v>
      </c>
      <c r="C355" s="40">
        <v>0</v>
      </c>
      <c r="D355" s="40">
        <v>0</v>
      </c>
      <c r="E355" s="40">
        <v>0</v>
      </c>
      <c r="F355" s="40"/>
      <c r="G355" s="40">
        <v>0</v>
      </c>
      <c r="H355" s="40">
        <v>0</v>
      </c>
      <c r="I355" s="40">
        <v>0</v>
      </c>
      <c r="J355" s="67">
        <v>0</v>
      </c>
      <c r="K355" s="43"/>
      <c r="L355" s="40">
        <v>0</v>
      </c>
      <c r="M355" s="40">
        <v>0</v>
      </c>
      <c r="N355" s="40">
        <v>0</v>
      </c>
      <c r="O355" s="40">
        <v>0</v>
      </c>
      <c r="P355" s="40">
        <v>0</v>
      </c>
      <c r="Q355" s="40"/>
      <c r="R355" s="40">
        <v>0</v>
      </c>
      <c r="S355" s="67">
        <v>0</v>
      </c>
      <c r="T355" s="41"/>
      <c r="U355" s="11"/>
      <c r="V355" s="41"/>
      <c r="W355" s="67">
        <v>0</v>
      </c>
      <c r="X355" s="44">
        <v>0</v>
      </c>
      <c r="Y355" s="44">
        <v>0</v>
      </c>
      <c r="Z355" s="54"/>
      <c r="AA355" s="54"/>
      <c r="AB355" s="54"/>
      <c r="AC355" s="54"/>
    </row>
    <row r="356" spans="1:29" x14ac:dyDescent="0.2">
      <c r="A356" s="49"/>
      <c r="B356" s="49" t="s">
        <v>36</v>
      </c>
      <c r="C356" s="40">
        <v>0</v>
      </c>
      <c r="D356" s="40">
        <v>0</v>
      </c>
      <c r="E356" s="40">
        <v>0</v>
      </c>
      <c r="F356" s="40"/>
      <c r="G356" s="40">
        <v>0</v>
      </c>
      <c r="H356" s="40">
        <v>0</v>
      </c>
      <c r="I356" s="40">
        <v>0</v>
      </c>
      <c r="J356" s="67">
        <v>0</v>
      </c>
      <c r="K356" s="43"/>
      <c r="L356" s="40">
        <v>0</v>
      </c>
      <c r="M356" s="40">
        <v>0</v>
      </c>
      <c r="N356" s="40">
        <v>0</v>
      </c>
      <c r="O356" s="40">
        <v>0</v>
      </c>
      <c r="P356" s="40">
        <v>0</v>
      </c>
      <c r="Q356" s="40"/>
      <c r="R356" s="40">
        <v>0</v>
      </c>
      <c r="S356" s="67">
        <v>0</v>
      </c>
      <c r="T356" s="41"/>
      <c r="U356" s="11"/>
      <c r="V356" s="41"/>
      <c r="W356" s="67">
        <v>0</v>
      </c>
      <c r="X356" s="44">
        <v>0</v>
      </c>
      <c r="Y356" s="44">
        <v>0</v>
      </c>
      <c r="Z356" s="54"/>
      <c r="AA356" s="54"/>
      <c r="AB356" s="54"/>
      <c r="AC356" s="54"/>
    </row>
    <row r="357" spans="1:29" x14ac:dyDescent="0.2">
      <c r="A357" s="49"/>
      <c r="B357" s="49" t="s">
        <v>36</v>
      </c>
      <c r="C357" s="40">
        <v>0</v>
      </c>
      <c r="D357" s="40">
        <v>0</v>
      </c>
      <c r="E357" s="40">
        <v>0</v>
      </c>
      <c r="F357" s="40"/>
      <c r="G357" s="40">
        <v>0</v>
      </c>
      <c r="H357" s="40">
        <v>0</v>
      </c>
      <c r="I357" s="40">
        <v>0</v>
      </c>
      <c r="J357" s="67">
        <v>0</v>
      </c>
      <c r="K357" s="43"/>
      <c r="L357" s="40">
        <v>0</v>
      </c>
      <c r="M357" s="40">
        <v>0</v>
      </c>
      <c r="N357" s="40">
        <v>0</v>
      </c>
      <c r="O357" s="40">
        <v>0</v>
      </c>
      <c r="P357" s="40">
        <v>0</v>
      </c>
      <c r="Q357" s="40"/>
      <c r="R357" s="40">
        <v>0</v>
      </c>
      <c r="S357" s="67">
        <v>0</v>
      </c>
      <c r="T357" s="41"/>
      <c r="U357" s="11"/>
      <c r="V357" s="41"/>
      <c r="W357" s="67">
        <v>0</v>
      </c>
      <c r="X357" s="44">
        <v>0</v>
      </c>
      <c r="Y357" s="44">
        <v>0</v>
      </c>
      <c r="Z357" s="54"/>
      <c r="AA357" s="54"/>
      <c r="AB357" s="54"/>
      <c r="AC357" s="54"/>
    </row>
    <row r="358" spans="1:29" x14ac:dyDescent="0.2">
      <c r="A358" s="49"/>
      <c r="B358" s="49" t="s">
        <v>36</v>
      </c>
      <c r="C358" s="40">
        <v>0</v>
      </c>
      <c r="D358" s="40">
        <v>0</v>
      </c>
      <c r="E358" s="40">
        <v>0</v>
      </c>
      <c r="F358" s="40"/>
      <c r="G358" s="40">
        <v>0</v>
      </c>
      <c r="H358" s="40">
        <v>0</v>
      </c>
      <c r="I358" s="40">
        <v>0</v>
      </c>
      <c r="J358" s="67">
        <v>0</v>
      </c>
      <c r="K358" s="43"/>
      <c r="L358" s="40">
        <v>0</v>
      </c>
      <c r="M358" s="40">
        <v>0</v>
      </c>
      <c r="N358" s="40">
        <v>0</v>
      </c>
      <c r="O358" s="40">
        <v>0</v>
      </c>
      <c r="P358" s="40">
        <v>0</v>
      </c>
      <c r="Q358" s="40"/>
      <c r="R358" s="40">
        <v>0</v>
      </c>
      <c r="S358" s="67">
        <v>0</v>
      </c>
      <c r="T358" s="41"/>
      <c r="U358" s="11"/>
      <c r="V358" s="41"/>
      <c r="W358" s="67">
        <v>0</v>
      </c>
      <c r="X358" s="44">
        <v>0</v>
      </c>
      <c r="Y358" s="44">
        <v>0</v>
      </c>
      <c r="Z358" s="54"/>
      <c r="AA358" s="54"/>
      <c r="AB358" s="54"/>
      <c r="AC358" s="54"/>
    </row>
    <row r="359" spans="1:29" x14ac:dyDescent="0.2">
      <c r="A359" s="49"/>
      <c r="B359" s="49" t="s">
        <v>36</v>
      </c>
      <c r="C359" s="40">
        <v>0</v>
      </c>
      <c r="D359" s="40">
        <v>0</v>
      </c>
      <c r="E359" s="40">
        <v>0</v>
      </c>
      <c r="F359" s="40"/>
      <c r="G359" s="40">
        <v>0</v>
      </c>
      <c r="H359" s="40">
        <v>0</v>
      </c>
      <c r="I359" s="40">
        <v>0</v>
      </c>
      <c r="J359" s="67">
        <v>0</v>
      </c>
      <c r="K359" s="43"/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/>
      <c r="R359" s="40">
        <v>0</v>
      </c>
      <c r="S359" s="67">
        <v>0</v>
      </c>
      <c r="T359" s="41"/>
      <c r="U359" s="11"/>
      <c r="V359" s="41"/>
      <c r="W359" s="67">
        <v>0</v>
      </c>
      <c r="X359" s="44">
        <v>0</v>
      </c>
      <c r="Y359" s="44">
        <v>0</v>
      </c>
      <c r="Z359" s="54"/>
      <c r="AA359" s="54"/>
      <c r="AB359" s="54"/>
      <c r="AC359" s="54"/>
    </row>
    <row r="360" spans="1:29" x14ac:dyDescent="0.2">
      <c r="A360" s="49"/>
      <c r="B360" s="49" t="s">
        <v>36</v>
      </c>
      <c r="C360" s="40">
        <v>0</v>
      </c>
      <c r="D360" s="40">
        <v>0</v>
      </c>
      <c r="E360" s="40">
        <v>0</v>
      </c>
      <c r="F360" s="40"/>
      <c r="G360" s="40">
        <v>0</v>
      </c>
      <c r="H360" s="40">
        <v>0</v>
      </c>
      <c r="I360" s="40">
        <v>0</v>
      </c>
      <c r="J360" s="67">
        <v>0</v>
      </c>
      <c r="K360" s="43"/>
      <c r="L360" s="40">
        <v>0</v>
      </c>
      <c r="M360" s="40">
        <v>0</v>
      </c>
      <c r="N360" s="40">
        <v>0</v>
      </c>
      <c r="O360" s="40">
        <v>0</v>
      </c>
      <c r="P360" s="40">
        <v>0</v>
      </c>
      <c r="Q360" s="40"/>
      <c r="R360" s="40">
        <v>0</v>
      </c>
      <c r="S360" s="67">
        <v>0</v>
      </c>
      <c r="T360" s="41"/>
      <c r="U360" s="11"/>
      <c r="V360" s="41"/>
      <c r="W360" s="67">
        <v>0</v>
      </c>
      <c r="X360" s="44">
        <v>0</v>
      </c>
      <c r="Y360" s="44">
        <v>0</v>
      </c>
      <c r="Z360" s="54"/>
      <c r="AA360" s="54"/>
      <c r="AB360" s="54"/>
      <c r="AC360" s="54"/>
    </row>
    <row r="361" spans="1:29" x14ac:dyDescent="0.2">
      <c r="A361" s="49"/>
      <c r="B361" s="49" t="s">
        <v>36</v>
      </c>
      <c r="C361" s="40">
        <v>0</v>
      </c>
      <c r="D361" s="40">
        <v>0</v>
      </c>
      <c r="E361" s="40">
        <v>0</v>
      </c>
      <c r="F361" s="40"/>
      <c r="G361" s="40">
        <v>0</v>
      </c>
      <c r="H361" s="40">
        <v>0</v>
      </c>
      <c r="I361" s="40">
        <v>0</v>
      </c>
      <c r="J361" s="67">
        <v>0</v>
      </c>
      <c r="K361" s="43"/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/>
      <c r="R361" s="40">
        <v>0</v>
      </c>
      <c r="S361" s="67">
        <v>0</v>
      </c>
      <c r="T361" s="41"/>
      <c r="U361" s="11"/>
      <c r="V361" s="41"/>
      <c r="W361" s="67">
        <v>0</v>
      </c>
      <c r="X361" s="44">
        <v>0</v>
      </c>
      <c r="Y361" s="44">
        <v>0</v>
      </c>
      <c r="Z361" s="54"/>
      <c r="AA361" s="54"/>
      <c r="AB361" s="54"/>
      <c r="AC361" s="54"/>
    </row>
    <row r="362" spans="1:29" x14ac:dyDescent="0.2">
      <c r="A362" s="49"/>
      <c r="B362" s="49" t="s">
        <v>36</v>
      </c>
      <c r="C362" s="40">
        <v>0</v>
      </c>
      <c r="D362" s="40">
        <v>0</v>
      </c>
      <c r="E362" s="40">
        <v>0</v>
      </c>
      <c r="F362" s="40"/>
      <c r="G362" s="40">
        <v>0</v>
      </c>
      <c r="H362" s="40">
        <v>0</v>
      </c>
      <c r="I362" s="40">
        <v>0</v>
      </c>
      <c r="J362" s="67">
        <v>0</v>
      </c>
      <c r="K362" s="43"/>
      <c r="L362" s="40">
        <v>0</v>
      </c>
      <c r="M362" s="40">
        <v>0</v>
      </c>
      <c r="N362" s="40">
        <v>0</v>
      </c>
      <c r="O362" s="40">
        <v>0</v>
      </c>
      <c r="P362" s="40">
        <v>0</v>
      </c>
      <c r="Q362" s="40"/>
      <c r="R362" s="40">
        <v>0</v>
      </c>
      <c r="S362" s="67">
        <v>0</v>
      </c>
      <c r="T362" s="41"/>
      <c r="U362" s="11"/>
      <c r="V362" s="41"/>
      <c r="W362" s="67">
        <v>0</v>
      </c>
      <c r="X362" s="44">
        <v>0</v>
      </c>
      <c r="Y362" s="44">
        <v>0</v>
      </c>
      <c r="Z362" s="54"/>
      <c r="AA362" s="54"/>
      <c r="AB362" s="54"/>
      <c r="AC362" s="54"/>
    </row>
    <row r="363" spans="1:29" x14ac:dyDescent="0.2">
      <c r="A363" s="49"/>
      <c r="B363" s="49" t="s">
        <v>36</v>
      </c>
      <c r="C363" s="40">
        <v>0</v>
      </c>
      <c r="D363" s="40">
        <v>0</v>
      </c>
      <c r="E363" s="40">
        <v>0</v>
      </c>
      <c r="F363" s="40"/>
      <c r="G363" s="40">
        <v>0</v>
      </c>
      <c r="H363" s="40">
        <v>0</v>
      </c>
      <c r="I363" s="40">
        <v>0</v>
      </c>
      <c r="J363" s="67">
        <v>0</v>
      </c>
      <c r="K363" s="43"/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/>
      <c r="R363" s="40">
        <v>0</v>
      </c>
      <c r="S363" s="67">
        <v>0</v>
      </c>
      <c r="T363" s="41"/>
      <c r="U363" s="11"/>
      <c r="V363" s="41"/>
      <c r="W363" s="67">
        <v>0</v>
      </c>
      <c r="X363" s="44">
        <v>0</v>
      </c>
      <c r="Y363" s="44">
        <v>0</v>
      </c>
      <c r="Z363" s="54"/>
      <c r="AA363" s="54"/>
      <c r="AB363" s="54"/>
      <c r="AC363" s="54"/>
    </row>
    <row r="364" spans="1:29" x14ac:dyDescent="0.2">
      <c r="A364" s="49"/>
      <c r="B364" s="49" t="s">
        <v>36</v>
      </c>
      <c r="C364" s="40">
        <v>0</v>
      </c>
      <c r="D364" s="40">
        <v>0</v>
      </c>
      <c r="E364" s="40">
        <v>0</v>
      </c>
      <c r="F364" s="40"/>
      <c r="G364" s="40">
        <v>0</v>
      </c>
      <c r="H364" s="40">
        <v>0</v>
      </c>
      <c r="I364" s="40">
        <v>0</v>
      </c>
      <c r="J364" s="67">
        <v>0</v>
      </c>
      <c r="K364" s="43"/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/>
      <c r="R364" s="40">
        <v>0</v>
      </c>
      <c r="S364" s="67">
        <v>0</v>
      </c>
      <c r="T364" s="41"/>
      <c r="U364" s="11"/>
      <c r="V364" s="41"/>
      <c r="W364" s="67">
        <v>0</v>
      </c>
      <c r="X364" s="44">
        <v>0</v>
      </c>
      <c r="Y364" s="44">
        <v>0</v>
      </c>
      <c r="Z364" s="54"/>
      <c r="AA364" s="54"/>
      <c r="AB364" s="54"/>
      <c r="AC364" s="54"/>
    </row>
    <row r="365" spans="1:29" x14ac:dyDescent="0.2">
      <c r="A365" s="49"/>
      <c r="B365" s="49" t="s">
        <v>36</v>
      </c>
      <c r="C365" s="40">
        <v>0</v>
      </c>
      <c r="D365" s="40">
        <v>0</v>
      </c>
      <c r="E365" s="40">
        <v>0</v>
      </c>
      <c r="F365" s="40"/>
      <c r="G365" s="40">
        <v>0</v>
      </c>
      <c r="H365" s="40">
        <v>0</v>
      </c>
      <c r="I365" s="40">
        <v>0</v>
      </c>
      <c r="J365" s="67">
        <v>0</v>
      </c>
      <c r="K365" s="43"/>
      <c r="L365" s="40">
        <v>0</v>
      </c>
      <c r="M365" s="40">
        <v>0</v>
      </c>
      <c r="N365" s="40">
        <v>0</v>
      </c>
      <c r="O365" s="40">
        <v>0</v>
      </c>
      <c r="P365" s="40">
        <v>0</v>
      </c>
      <c r="Q365" s="40"/>
      <c r="R365" s="40">
        <v>0</v>
      </c>
      <c r="S365" s="67">
        <v>0</v>
      </c>
      <c r="T365" s="41"/>
      <c r="U365" s="11"/>
      <c r="V365" s="41"/>
      <c r="W365" s="67">
        <v>0</v>
      </c>
      <c r="X365" s="44">
        <v>0</v>
      </c>
      <c r="Y365" s="44">
        <v>0</v>
      </c>
      <c r="Z365" s="54"/>
      <c r="AA365" s="54"/>
      <c r="AB365" s="54"/>
      <c r="AC365" s="54"/>
    </row>
    <row r="366" spans="1:29" x14ac:dyDescent="0.2">
      <c r="A366" s="49"/>
      <c r="B366" s="49" t="s">
        <v>36</v>
      </c>
      <c r="C366" s="40">
        <v>0</v>
      </c>
      <c r="D366" s="40">
        <v>0</v>
      </c>
      <c r="E366" s="40">
        <v>0</v>
      </c>
      <c r="F366" s="40"/>
      <c r="G366" s="40">
        <v>0</v>
      </c>
      <c r="H366" s="40">
        <v>0</v>
      </c>
      <c r="I366" s="40">
        <v>0</v>
      </c>
      <c r="J366" s="67">
        <v>0</v>
      </c>
      <c r="K366" s="43"/>
      <c r="L366" s="40">
        <v>0</v>
      </c>
      <c r="M366" s="40">
        <v>0</v>
      </c>
      <c r="N366" s="40">
        <v>0</v>
      </c>
      <c r="O366" s="40">
        <v>0</v>
      </c>
      <c r="P366" s="40">
        <v>0</v>
      </c>
      <c r="Q366" s="40"/>
      <c r="R366" s="40">
        <v>0</v>
      </c>
      <c r="S366" s="67">
        <v>0</v>
      </c>
      <c r="T366" s="41"/>
      <c r="U366" s="11"/>
      <c r="V366" s="41"/>
      <c r="W366" s="67">
        <v>0</v>
      </c>
      <c r="X366" s="44">
        <v>0</v>
      </c>
      <c r="Y366" s="44">
        <v>0</v>
      </c>
      <c r="Z366" s="54"/>
      <c r="AA366" s="54"/>
      <c r="AB366" s="54"/>
      <c r="AC366" s="54"/>
    </row>
    <row r="367" spans="1:29" x14ac:dyDescent="0.2">
      <c r="A367" s="49"/>
      <c r="B367" s="49" t="s">
        <v>36</v>
      </c>
      <c r="C367" s="40">
        <v>0</v>
      </c>
      <c r="D367" s="40">
        <v>0</v>
      </c>
      <c r="E367" s="40">
        <v>0</v>
      </c>
      <c r="F367" s="40"/>
      <c r="G367" s="40">
        <v>0</v>
      </c>
      <c r="H367" s="40">
        <v>0</v>
      </c>
      <c r="I367" s="40">
        <v>0</v>
      </c>
      <c r="J367" s="67">
        <v>0</v>
      </c>
      <c r="K367" s="43"/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/>
      <c r="R367" s="40">
        <v>0</v>
      </c>
      <c r="S367" s="67">
        <v>0</v>
      </c>
      <c r="T367" s="41"/>
      <c r="U367" s="11"/>
      <c r="V367" s="41"/>
      <c r="W367" s="67">
        <v>0</v>
      </c>
      <c r="X367" s="44">
        <v>0</v>
      </c>
      <c r="Y367" s="44">
        <v>0</v>
      </c>
      <c r="Z367" s="54"/>
      <c r="AA367" s="54"/>
      <c r="AB367" s="54"/>
      <c r="AC367" s="54"/>
    </row>
    <row r="368" spans="1:29" x14ac:dyDescent="0.2">
      <c r="A368" s="49"/>
      <c r="B368" s="49" t="s">
        <v>36</v>
      </c>
      <c r="C368" s="40">
        <v>0</v>
      </c>
      <c r="D368" s="40">
        <v>0</v>
      </c>
      <c r="E368" s="40">
        <v>0</v>
      </c>
      <c r="F368" s="40"/>
      <c r="G368" s="40">
        <v>0</v>
      </c>
      <c r="H368" s="40">
        <v>0</v>
      </c>
      <c r="I368" s="40">
        <v>0</v>
      </c>
      <c r="J368" s="67">
        <v>0</v>
      </c>
      <c r="K368" s="43"/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/>
      <c r="R368" s="40">
        <v>0</v>
      </c>
      <c r="S368" s="67">
        <v>0</v>
      </c>
      <c r="T368" s="41"/>
      <c r="U368" s="11"/>
      <c r="V368" s="41"/>
      <c r="W368" s="67">
        <v>0</v>
      </c>
      <c r="X368" s="44">
        <v>0</v>
      </c>
      <c r="Y368" s="44">
        <v>0</v>
      </c>
      <c r="Z368" s="54"/>
      <c r="AA368" s="54"/>
      <c r="AB368" s="54"/>
      <c r="AC368" s="54"/>
    </row>
    <row r="369" spans="1:29" x14ac:dyDescent="0.2">
      <c r="A369" s="49"/>
      <c r="B369" s="49" t="s">
        <v>36</v>
      </c>
      <c r="C369" s="40">
        <v>0</v>
      </c>
      <c r="D369" s="40">
        <v>0</v>
      </c>
      <c r="E369" s="40">
        <v>0</v>
      </c>
      <c r="F369" s="40"/>
      <c r="G369" s="40">
        <v>0</v>
      </c>
      <c r="H369" s="40">
        <v>0</v>
      </c>
      <c r="I369" s="40">
        <v>0</v>
      </c>
      <c r="J369" s="67">
        <v>0</v>
      </c>
      <c r="K369" s="43"/>
      <c r="L369" s="40">
        <v>0</v>
      </c>
      <c r="M369" s="40">
        <v>0</v>
      </c>
      <c r="N369" s="40">
        <v>0</v>
      </c>
      <c r="O369" s="40">
        <v>0</v>
      </c>
      <c r="P369" s="40">
        <v>0</v>
      </c>
      <c r="Q369" s="40"/>
      <c r="R369" s="40">
        <v>0</v>
      </c>
      <c r="S369" s="67">
        <v>0</v>
      </c>
      <c r="T369" s="41"/>
      <c r="U369" s="11"/>
      <c r="V369" s="41"/>
      <c r="W369" s="67">
        <v>0</v>
      </c>
      <c r="X369" s="44">
        <v>0</v>
      </c>
      <c r="Y369" s="44">
        <v>0</v>
      </c>
      <c r="Z369" s="54"/>
      <c r="AA369" s="54"/>
      <c r="AB369" s="54"/>
      <c r="AC369" s="54"/>
    </row>
    <row r="370" spans="1:29" x14ac:dyDescent="0.2">
      <c r="A370" s="49"/>
      <c r="B370" s="49" t="s">
        <v>36</v>
      </c>
      <c r="C370" s="40">
        <v>0</v>
      </c>
      <c r="D370" s="40">
        <v>0</v>
      </c>
      <c r="E370" s="40">
        <v>0</v>
      </c>
      <c r="F370" s="40"/>
      <c r="G370" s="40">
        <v>0</v>
      </c>
      <c r="H370" s="40">
        <v>0</v>
      </c>
      <c r="I370" s="40">
        <v>0</v>
      </c>
      <c r="J370" s="67">
        <v>0</v>
      </c>
      <c r="K370" s="43"/>
      <c r="L370" s="40">
        <v>0</v>
      </c>
      <c r="M370" s="40">
        <v>0</v>
      </c>
      <c r="N370" s="40">
        <v>0</v>
      </c>
      <c r="O370" s="40">
        <v>0</v>
      </c>
      <c r="P370" s="40">
        <v>0</v>
      </c>
      <c r="Q370" s="40"/>
      <c r="R370" s="40">
        <v>0</v>
      </c>
      <c r="S370" s="67">
        <v>0</v>
      </c>
      <c r="T370" s="41"/>
      <c r="U370" s="11"/>
      <c r="V370" s="41"/>
      <c r="W370" s="67">
        <v>0</v>
      </c>
      <c r="X370" s="44">
        <v>0</v>
      </c>
      <c r="Y370" s="44">
        <v>0</v>
      </c>
    </row>
    <row r="371" spans="1:29" x14ac:dyDescent="0.2">
      <c r="A371" s="49"/>
      <c r="B371" s="49" t="s">
        <v>36</v>
      </c>
      <c r="C371" s="40">
        <v>0</v>
      </c>
      <c r="D371" s="40">
        <v>0</v>
      </c>
      <c r="E371" s="40">
        <v>0</v>
      </c>
      <c r="F371" s="40"/>
      <c r="G371" s="40">
        <v>0</v>
      </c>
      <c r="H371" s="40">
        <v>0</v>
      </c>
      <c r="I371" s="40">
        <v>0</v>
      </c>
      <c r="J371" s="67">
        <v>0</v>
      </c>
      <c r="K371" s="43"/>
      <c r="L371" s="40">
        <v>0</v>
      </c>
      <c r="M371" s="40">
        <v>0</v>
      </c>
      <c r="N371" s="40">
        <v>0</v>
      </c>
      <c r="O371" s="40">
        <v>0</v>
      </c>
      <c r="P371" s="40">
        <v>0</v>
      </c>
      <c r="Q371" s="40"/>
      <c r="R371" s="40">
        <v>0</v>
      </c>
      <c r="S371" s="67">
        <v>0</v>
      </c>
      <c r="T371" s="41"/>
      <c r="U371" s="11"/>
      <c r="V371" s="41"/>
      <c r="W371" s="67">
        <v>0</v>
      </c>
      <c r="X371" s="44">
        <v>0</v>
      </c>
      <c r="Y371" s="44">
        <v>0</v>
      </c>
    </row>
    <row r="372" spans="1:29" x14ac:dyDescent="0.2">
      <c r="A372" s="49"/>
      <c r="B372" s="49" t="s">
        <v>36</v>
      </c>
      <c r="C372" s="40">
        <v>0</v>
      </c>
      <c r="D372" s="40">
        <v>0</v>
      </c>
      <c r="E372" s="40">
        <v>0</v>
      </c>
      <c r="F372" s="40"/>
      <c r="G372" s="40">
        <v>0</v>
      </c>
      <c r="H372" s="40">
        <v>0</v>
      </c>
      <c r="I372" s="40">
        <v>0</v>
      </c>
      <c r="J372" s="67">
        <v>0</v>
      </c>
      <c r="K372" s="43"/>
      <c r="L372" s="40">
        <v>0</v>
      </c>
      <c r="M372" s="40">
        <v>0</v>
      </c>
      <c r="N372" s="40">
        <v>0</v>
      </c>
      <c r="O372" s="40">
        <v>0</v>
      </c>
      <c r="P372" s="40">
        <v>0</v>
      </c>
      <c r="Q372" s="40"/>
      <c r="R372" s="40">
        <v>0</v>
      </c>
      <c r="S372" s="67">
        <v>0</v>
      </c>
      <c r="T372" s="41"/>
      <c r="U372" s="11"/>
      <c r="V372" s="41"/>
      <c r="W372" s="67">
        <v>0</v>
      </c>
      <c r="X372" s="44">
        <v>0</v>
      </c>
      <c r="Y372" s="44">
        <v>0</v>
      </c>
    </row>
    <row r="373" spans="1:29" x14ac:dyDescent="0.2">
      <c r="A373" s="49"/>
      <c r="B373" s="49" t="s">
        <v>36</v>
      </c>
      <c r="C373" s="40">
        <v>0</v>
      </c>
      <c r="D373" s="40">
        <v>0</v>
      </c>
      <c r="E373" s="40">
        <v>0</v>
      </c>
      <c r="F373" s="40"/>
      <c r="G373" s="40">
        <v>0</v>
      </c>
      <c r="H373" s="40">
        <v>0</v>
      </c>
      <c r="I373" s="40">
        <v>0</v>
      </c>
      <c r="J373" s="67">
        <v>0</v>
      </c>
      <c r="K373" s="43"/>
      <c r="L373" s="40">
        <v>0</v>
      </c>
      <c r="M373" s="40">
        <v>0</v>
      </c>
      <c r="N373" s="40">
        <v>0</v>
      </c>
      <c r="O373" s="40">
        <v>0</v>
      </c>
      <c r="P373" s="40">
        <v>0</v>
      </c>
      <c r="Q373" s="40"/>
      <c r="R373" s="40">
        <v>0</v>
      </c>
      <c r="S373" s="67">
        <v>0</v>
      </c>
      <c r="T373" s="41"/>
      <c r="U373" s="11"/>
      <c r="V373" s="41"/>
      <c r="W373" s="67">
        <v>0</v>
      </c>
      <c r="X373" s="44">
        <v>0</v>
      </c>
      <c r="Y373" s="44">
        <v>0</v>
      </c>
    </row>
    <row r="374" spans="1:29" x14ac:dyDescent="0.2">
      <c r="A374" s="49"/>
      <c r="B374" s="49" t="s">
        <v>36</v>
      </c>
      <c r="C374" s="40">
        <v>0</v>
      </c>
      <c r="D374" s="40">
        <v>0</v>
      </c>
      <c r="E374" s="40">
        <v>0</v>
      </c>
      <c r="F374" s="40"/>
      <c r="G374" s="40">
        <v>0</v>
      </c>
      <c r="H374" s="40">
        <v>0</v>
      </c>
      <c r="I374" s="40">
        <v>0</v>
      </c>
      <c r="J374" s="67">
        <v>0</v>
      </c>
      <c r="K374" s="43"/>
      <c r="L374" s="40">
        <v>0</v>
      </c>
      <c r="M374" s="40">
        <v>0</v>
      </c>
      <c r="N374" s="40">
        <v>0</v>
      </c>
      <c r="O374" s="40">
        <v>0</v>
      </c>
      <c r="P374" s="40">
        <v>0</v>
      </c>
      <c r="Q374" s="40"/>
      <c r="R374" s="40">
        <v>0</v>
      </c>
      <c r="S374" s="67">
        <v>0</v>
      </c>
      <c r="T374" s="41"/>
      <c r="U374" s="11"/>
      <c r="V374" s="41"/>
      <c r="W374" s="67">
        <v>0</v>
      </c>
      <c r="X374" s="44">
        <v>0</v>
      </c>
      <c r="Y374" s="44">
        <v>0</v>
      </c>
    </row>
    <row r="375" spans="1:29" x14ac:dyDescent="0.2">
      <c r="A375" s="49"/>
      <c r="B375" s="49" t="s">
        <v>36</v>
      </c>
      <c r="C375" s="40">
        <v>0</v>
      </c>
      <c r="D375" s="40">
        <v>0</v>
      </c>
      <c r="E375" s="40">
        <v>0</v>
      </c>
      <c r="F375" s="40"/>
      <c r="G375" s="40">
        <v>0</v>
      </c>
      <c r="H375" s="40">
        <v>0</v>
      </c>
      <c r="I375" s="40">
        <v>0</v>
      </c>
      <c r="J375" s="67">
        <v>0</v>
      </c>
      <c r="K375" s="43"/>
      <c r="L375" s="40">
        <v>0</v>
      </c>
      <c r="M375" s="40">
        <v>0</v>
      </c>
      <c r="N375" s="40">
        <v>0</v>
      </c>
      <c r="O375" s="40">
        <v>0</v>
      </c>
      <c r="P375" s="40">
        <v>0</v>
      </c>
      <c r="Q375" s="40"/>
      <c r="R375" s="40">
        <v>0</v>
      </c>
      <c r="S375" s="67">
        <v>0</v>
      </c>
      <c r="T375" s="41"/>
      <c r="U375" s="11"/>
      <c r="V375" s="41"/>
      <c r="W375" s="67">
        <v>0</v>
      </c>
      <c r="X375" s="44">
        <v>0</v>
      </c>
      <c r="Y375" s="44">
        <v>0</v>
      </c>
    </row>
    <row r="376" spans="1:29" x14ac:dyDescent="0.2">
      <c r="A376" s="49"/>
      <c r="B376" s="49" t="s">
        <v>36</v>
      </c>
      <c r="C376" s="40">
        <v>0</v>
      </c>
      <c r="D376" s="40">
        <v>0</v>
      </c>
      <c r="E376" s="40">
        <v>0</v>
      </c>
      <c r="F376" s="40"/>
      <c r="G376" s="40">
        <v>0</v>
      </c>
      <c r="H376" s="40">
        <v>0</v>
      </c>
      <c r="I376" s="40">
        <v>0</v>
      </c>
      <c r="J376" s="67">
        <v>0</v>
      </c>
      <c r="K376" s="43"/>
      <c r="L376" s="40">
        <v>0</v>
      </c>
      <c r="M376" s="40">
        <v>0</v>
      </c>
      <c r="N376" s="40">
        <v>0</v>
      </c>
      <c r="O376" s="40">
        <v>0</v>
      </c>
      <c r="P376" s="40">
        <v>0</v>
      </c>
      <c r="Q376" s="40"/>
      <c r="R376" s="40">
        <v>0</v>
      </c>
      <c r="S376" s="67">
        <v>0</v>
      </c>
      <c r="T376" s="41"/>
      <c r="U376" s="11"/>
      <c r="V376" s="41"/>
      <c r="W376" s="67">
        <v>0</v>
      </c>
      <c r="X376" s="44">
        <v>0</v>
      </c>
      <c r="Y376" s="44">
        <v>0</v>
      </c>
    </row>
    <row r="377" spans="1:29" x14ac:dyDescent="0.2">
      <c r="A377" s="49"/>
      <c r="B377" s="49" t="s">
        <v>36</v>
      </c>
      <c r="C377" s="40">
        <v>0</v>
      </c>
      <c r="D377" s="40">
        <v>0</v>
      </c>
      <c r="E377" s="40">
        <v>0</v>
      </c>
      <c r="F377" s="40"/>
      <c r="G377" s="40">
        <v>0</v>
      </c>
      <c r="H377" s="40">
        <v>0</v>
      </c>
      <c r="I377" s="40">
        <v>0</v>
      </c>
      <c r="J377" s="67">
        <v>0</v>
      </c>
      <c r="K377" s="43"/>
      <c r="L377" s="40">
        <v>0</v>
      </c>
      <c r="M377" s="40">
        <v>0</v>
      </c>
      <c r="N377" s="40">
        <v>0</v>
      </c>
      <c r="O377" s="40">
        <v>0</v>
      </c>
      <c r="P377" s="40">
        <v>0</v>
      </c>
      <c r="Q377" s="40"/>
      <c r="R377" s="40">
        <v>0</v>
      </c>
      <c r="S377" s="67">
        <v>0</v>
      </c>
      <c r="T377" s="41"/>
      <c r="U377" s="11"/>
      <c r="V377" s="41"/>
      <c r="W377" s="67">
        <v>0</v>
      </c>
      <c r="X377" s="44">
        <v>0</v>
      </c>
      <c r="Y377" s="44">
        <v>0</v>
      </c>
    </row>
    <row r="378" spans="1:29" x14ac:dyDescent="0.2">
      <c r="A378" s="49"/>
      <c r="B378" s="49" t="s">
        <v>36</v>
      </c>
      <c r="C378" s="40">
        <v>0</v>
      </c>
      <c r="D378" s="40">
        <v>0</v>
      </c>
      <c r="E378" s="40">
        <v>0</v>
      </c>
      <c r="F378" s="40"/>
      <c r="G378" s="40">
        <v>0</v>
      </c>
      <c r="H378" s="40">
        <v>0</v>
      </c>
      <c r="I378" s="40">
        <v>0</v>
      </c>
      <c r="J378" s="67">
        <v>0</v>
      </c>
      <c r="K378" s="43"/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/>
      <c r="R378" s="40">
        <v>0</v>
      </c>
      <c r="S378" s="67">
        <v>0</v>
      </c>
      <c r="T378" s="41"/>
      <c r="U378" s="11"/>
      <c r="V378" s="41"/>
      <c r="W378" s="67">
        <v>0</v>
      </c>
      <c r="X378" s="44">
        <v>0</v>
      </c>
      <c r="Y378" s="44">
        <v>0</v>
      </c>
    </row>
    <row r="379" spans="1:29" x14ac:dyDescent="0.2">
      <c r="A379" s="49"/>
      <c r="B379" s="49" t="s">
        <v>36</v>
      </c>
      <c r="C379" s="40">
        <v>0</v>
      </c>
      <c r="D379" s="40">
        <v>0</v>
      </c>
      <c r="E379" s="40">
        <v>0</v>
      </c>
      <c r="F379" s="40"/>
      <c r="G379" s="40">
        <v>0</v>
      </c>
      <c r="H379" s="40">
        <v>0</v>
      </c>
      <c r="I379" s="40">
        <v>0</v>
      </c>
      <c r="J379" s="67">
        <v>0</v>
      </c>
      <c r="K379" s="43"/>
      <c r="L379" s="40">
        <v>0</v>
      </c>
      <c r="M379" s="40">
        <v>0</v>
      </c>
      <c r="N379" s="40">
        <v>0</v>
      </c>
      <c r="O379" s="40">
        <v>0</v>
      </c>
      <c r="P379" s="40">
        <v>0</v>
      </c>
      <c r="Q379" s="40"/>
      <c r="R379" s="40">
        <v>0</v>
      </c>
      <c r="S379" s="67">
        <v>0</v>
      </c>
      <c r="T379" s="41"/>
      <c r="U379" s="11"/>
      <c r="V379" s="41"/>
      <c r="W379" s="67">
        <v>0</v>
      </c>
      <c r="X379" s="44">
        <v>0</v>
      </c>
      <c r="Y379" s="44">
        <v>0</v>
      </c>
    </row>
    <row r="380" spans="1:29" x14ac:dyDescent="0.2">
      <c r="A380" s="49"/>
      <c r="B380" s="49" t="s">
        <v>36</v>
      </c>
      <c r="C380" s="40">
        <v>0</v>
      </c>
      <c r="D380" s="40">
        <v>0</v>
      </c>
      <c r="E380" s="40">
        <v>0</v>
      </c>
      <c r="F380" s="40"/>
      <c r="G380" s="40">
        <v>0</v>
      </c>
      <c r="H380" s="40">
        <v>0</v>
      </c>
      <c r="I380" s="40">
        <v>0</v>
      </c>
      <c r="J380" s="67">
        <v>0</v>
      </c>
      <c r="K380" s="43"/>
      <c r="L380" s="40">
        <v>0</v>
      </c>
      <c r="M380" s="40">
        <v>0</v>
      </c>
      <c r="N380" s="40">
        <v>0</v>
      </c>
      <c r="O380" s="40">
        <v>0</v>
      </c>
      <c r="P380" s="40">
        <v>0</v>
      </c>
      <c r="Q380" s="40"/>
      <c r="R380" s="40">
        <v>0</v>
      </c>
      <c r="S380" s="67">
        <v>0</v>
      </c>
      <c r="T380" s="41"/>
      <c r="U380" s="11"/>
      <c r="V380" s="41"/>
      <c r="W380" s="67">
        <v>0</v>
      </c>
      <c r="X380" s="44">
        <v>0</v>
      </c>
      <c r="Y380" s="44">
        <v>0</v>
      </c>
    </row>
    <row r="381" spans="1:29" x14ac:dyDescent="0.2">
      <c r="A381" s="49"/>
      <c r="B381" s="49" t="s">
        <v>36</v>
      </c>
      <c r="C381" s="40">
        <v>0</v>
      </c>
      <c r="D381" s="40">
        <v>0</v>
      </c>
      <c r="E381" s="40">
        <v>0</v>
      </c>
      <c r="F381" s="40"/>
      <c r="G381" s="40">
        <v>0</v>
      </c>
      <c r="H381" s="40">
        <v>0</v>
      </c>
      <c r="I381" s="40">
        <v>0</v>
      </c>
      <c r="J381" s="67">
        <v>0</v>
      </c>
      <c r="K381" s="43"/>
      <c r="L381" s="40">
        <v>0</v>
      </c>
      <c r="M381" s="40">
        <v>0</v>
      </c>
      <c r="N381" s="40">
        <v>0</v>
      </c>
      <c r="O381" s="40">
        <v>0</v>
      </c>
      <c r="P381" s="40">
        <v>0</v>
      </c>
      <c r="Q381" s="40"/>
      <c r="R381" s="40">
        <v>0</v>
      </c>
      <c r="S381" s="67">
        <v>0</v>
      </c>
      <c r="T381" s="41"/>
      <c r="U381" s="11"/>
      <c r="V381" s="41"/>
      <c r="W381" s="67">
        <v>0</v>
      </c>
      <c r="X381" s="44">
        <v>0</v>
      </c>
      <c r="Y381" s="44">
        <v>0</v>
      </c>
    </row>
    <row r="382" spans="1:29" x14ac:dyDescent="0.2">
      <c r="A382" s="49"/>
      <c r="B382" s="49" t="s">
        <v>36</v>
      </c>
      <c r="C382" s="40">
        <v>0</v>
      </c>
      <c r="D382" s="40">
        <v>0</v>
      </c>
      <c r="E382" s="40">
        <v>0</v>
      </c>
      <c r="F382" s="40"/>
      <c r="G382" s="40">
        <v>0</v>
      </c>
      <c r="H382" s="40">
        <v>0</v>
      </c>
      <c r="I382" s="40">
        <v>0</v>
      </c>
      <c r="J382" s="67">
        <v>0</v>
      </c>
      <c r="K382" s="43"/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/>
      <c r="R382" s="40">
        <v>0</v>
      </c>
      <c r="S382" s="67">
        <v>0</v>
      </c>
      <c r="T382" s="41"/>
      <c r="U382" s="11"/>
      <c r="V382" s="41"/>
      <c r="W382" s="67">
        <v>0</v>
      </c>
      <c r="X382" s="44">
        <v>0</v>
      </c>
      <c r="Y382" s="44">
        <v>0</v>
      </c>
    </row>
    <row r="383" spans="1:29" x14ac:dyDescent="0.2">
      <c r="A383" s="49"/>
      <c r="B383" s="49" t="s">
        <v>36</v>
      </c>
      <c r="C383" s="40">
        <v>0</v>
      </c>
      <c r="D383" s="40">
        <v>0</v>
      </c>
      <c r="E383" s="40">
        <v>0</v>
      </c>
      <c r="F383" s="40"/>
      <c r="G383" s="40">
        <v>0</v>
      </c>
      <c r="H383" s="40">
        <v>0</v>
      </c>
      <c r="I383" s="40">
        <v>0</v>
      </c>
      <c r="J383" s="67">
        <v>0</v>
      </c>
      <c r="K383" s="43"/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/>
      <c r="R383" s="40">
        <v>0</v>
      </c>
      <c r="S383" s="67">
        <v>0</v>
      </c>
      <c r="T383" s="41"/>
      <c r="U383" s="11"/>
      <c r="V383" s="41"/>
      <c r="W383" s="67">
        <v>0</v>
      </c>
      <c r="X383" s="44">
        <v>0</v>
      </c>
      <c r="Y383" s="44">
        <v>0</v>
      </c>
    </row>
    <row r="384" spans="1:29" x14ac:dyDescent="0.2">
      <c r="A384" s="49"/>
      <c r="B384" s="49" t="s">
        <v>36</v>
      </c>
      <c r="C384" s="40">
        <v>0</v>
      </c>
      <c r="D384" s="40">
        <v>0</v>
      </c>
      <c r="E384" s="40">
        <v>0</v>
      </c>
      <c r="F384" s="40"/>
      <c r="G384" s="40">
        <v>0</v>
      </c>
      <c r="H384" s="40">
        <v>0</v>
      </c>
      <c r="I384" s="40">
        <v>0</v>
      </c>
      <c r="J384" s="67">
        <v>0</v>
      </c>
      <c r="K384" s="43"/>
      <c r="L384" s="40">
        <v>0</v>
      </c>
      <c r="M384" s="40">
        <v>0</v>
      </c>
      <c r="N384" s="40">
        <v>0</v>
      </c>
      <c r="O384" s="40">
        <v>0</v>
      </c>
      <c r="P384" s="40">
        <v>0</v>
      </c>
      <c r="Q384" s="40"/>
      <c r="R384" s="40">
        <v>0</v>
      </c>
      <c r="S384" s="67">
        <v>0</v>
      </c>
      <c r="T384" s="41"/>
      <c r="U384" s="11"/>
      <c r="V384" s="41"/>
      <c r="W384" s="67">
        <v>0</v>
      </c>
      <c r="X384" s="44">
        <v>0</v>
      </c>
      <c r="Y384" s="44">
        <v>0</v>
      </c>
    </row>
    <row r="385" spans="1:25" x14ac:dyDescent="0.2">
      <c r="A385" s="49"/>
      <c r="B385" s="49" t="s">
        <v>36</v>
      </c>
      <c r="C385" s="40">
        <v>0</v>
      </c>
      <c r="D385" s="40">
        <v>0</v>
      </c>
      <c r="E385" s="40">
        <v>0</v>
      </c>
      <c r="F385" s="40"/>
      <c r="G385" s="40">
        <v>0</v>
      </c>
      <c r="H385" s="40">
        <v>0</v>
      </c>
      <c r="I385" s="40">
        <v>0</v>
      </c>
      <c r="J385" s="67">
        <v>0</v>
      </c>
      <c r="K385" s="43"/>
      <c r="L385" s="40">
        <v>0</v>
      </c>
      <c r="M385" s="40">
        <v>0</v>
      </c>
      <c r="N385" s="40">
        <v>0</v>
      </c>
      <c r="O385" s="40">
        <v>0</v>
      </c>
      <c r="P385" s="40">
        <v>0</v>
      </c>
      <c r="Q385" s="40"/>
      <c r="R385" s="40">
        <v>0</v>
      </c>
      <c r="S385" s="67">
        <v>0</v>
      </c>
      <c r="T385" s="41"/>
      <c r="U385" s="11"/>
      <c r="V385" s="41"/>
      <c r="W385" s="67">
        <v>0</v>
      </c>
      <c r="X385" s="44">
        <v>0</v>
      </c>
      <c r="Y385" s="44">
        <v>0</v>
      </c>
    </row>
    <row r="386" spans="1:25" x14ac:dyDescent="0.2">
      <c r="A386" s="49"/>
      <c r="B386" s="49" t="s">
        <v>36</v>
      </c>
      <c r="C386" s="40">
        <v>0</v>
      </c>
      <c r="D386" s="40">
        <v>0</v>
      </c>
      <c r="E386" s="40">
        <v>0</v>
      </c>
      <c r="F386" s="40"/>
      <c r="G386" s="40">
        <v>0</v>
      </c>
      <c r="H386" s="40">
        <v>0</v>
      </c>
      <c r="I386" s="40">
        <v>0</v>
      </c>
      <c r="J386" s="67">
        <v>0</v>
      </c>
      <c r="K386" s="43"/>
      <c r="L386" s="40">
        <v>0</v>
      </c>
      <c r="M386" s="40">
        <v>0</v>
      </c>
      <c r="N386" s="40">
        <v>0</v>
      </c>
      <c r="O386" s="40">
        <v>0</v>
      </c>
      <c r="P386" s="40">
        <v>0</v>
      </c>
      <c r="Q386" s="40"/>
      <c r="R386" s="40">
        <v>0</v>
      </c>
      <c r="S386" s="67">
        <v>0</v>
      </c>
      <c r="T386" s="41"/>
      <c r="U386" s="11"/>
      <c r="V386" s="41"/>
      <c r="W386" s="67">
        <v>0</v>
      </c>
      <c r="X386" s="44">
        <v>0</v>
      </c>
      <c r="Y386" s="44">
        <v>0</v>
      </c>
    </row>
    <row r="387" spans="1:25" x14ac:dyDescent="0.2">
      <c r="A387" s="49"/>
      <c r="B387" s="49" t="s">
        <v>36</v>
      </c>
      <c r="C387" s="40">
        <v>0</v>
      </c>
      <c r="D387" s="40">
        <v>0</v>
      </c>
      <c r="E387" s="40">
        <v>0</v>
      </c>
      <c r="F387" s="40"/>
      <c r="G387" s="40">
        <v>0</v>
      </c>
      <c r="H387" s="40">
        <v>0</v>
      </c>
      <c r="I387" s="40">
        <v>0</v>
      </c>
      <c r="J387" s="67">
        <v>0</v>
      </c>
      <c r="K387" s="43"/>
      <c r="L387" s="40">
        <v>0</v>
      </c>
      <c r="M387" s="40">
        <v>0</v>
      </c>
      <c r="N387" s="40">
        <v>0</v>
      </c>
      <c r="O387" s="40">
        <v>0</v>
      </c>
      <c r="P387" s="40">
        <v>0</v>
      </c>
      <c r="Q387" s="40"/>
      <c r="R387" s="40">
        <v>0</v>
      </c>
      <c r="S387" s="67">
        <v>0</v>
      </c>
      <c r="T387" s="41"/>
      <c r="U387" s="11"/>
      <c r="V387" s="41"/>
      <c r="W387" s="67">
        <v>0</v>
      </c>
      <c r="X387" s="44">
        <v>0</v>
      </c>
      <c r="Y387" s="44">
        <v>0</v>
      </c>
    </row>
    <row r="388" spans="1:25" x14ac:dyDescent="0.2">
      <c r="A388" s="49"/>
      <c r="B388" s="49" t="s">
        <v>36</v>
      </c>
      <c r="C388" s="40">
        <v>0</v>
      </c>
      <c r="D388" s="40">
        <v>0</v>
      </c>
      <c r="E388" s="40">
        <v>0</v>
      </c>
      <c r="F388" s="40"/>
      <c r="G388" s="40">
        <v>0</v>
      </c>
      <c r="H388" s="40">
        <v>0</v>
      </c>
      <c r="I388" s="40">
        <v>0</v>
      </c>
      <c r="J388" s="67">
        <v>0</v>
      </c>
      <c r="K388" s="43"/>
      <c r="L388" s="40">
        <v>0</v>
      </c>
      <c r="M388" s="40">
        <v>0</v>
      </c>
      <c r="N388" s="40">
        <v>0</v>
      </c>
      <c r="O388" s="40">
        <v>0</v>
      </c>
      <c r="P388" s="40">
        <v>0</v>
      </c>
      <c r="Q388" s="40"/>
      <c r="R388" s="40">
        <v>0</v>
      </c>
      <c r="S388" s="67">
        <v>0</v>
      </c>
      <c r="T388" s="41"/>
      <c r="U388" s="11"/>
      <c r="V388" s="41"/>
      <c r="W388" s="67">
        <v>0</v>
      </c>
      <c r="X388" s="44">
        <v>0</v>
      </c>
      <c r="Y388" s="44">
        <v>0</v>
      </c>
    </row>
    <row r="389" spans="1:25" x14ac:dyDescent="0.2">
      <c r="A389" s="49"/>
      <c r="B389" s="49" t="s">
        <v>36</v>
      </c>
      <c r="C389" s="40">
        <v>0</v>
      </c>
      <c r="D389" s="40">
        <v>0</v>
      </c>
      <c r="E389" s="40">
        <v>0</v>
      </c>
      <c r="F389" s="40"/>
      <c r="G389" s="40">
        <v>0</v>
      </c>
      <c r="H389" s="40">
        <v>0</v>
      </c>
      <c r="I389" s="40">
        <v>0</v>
      </c>
      <c r="J389" s="67">
        <v>0</v>
      </c>
      <c r="K389" s="43"/>
      <c r="L389" s="40">
        <v>0</v>
      </c>
      <c r="M389" s="40">
        <v>0</v>
      </c>
      <c r="N389" s="40">
        <v>0</v>
      </c>
      <c r="O389" s="40">
        <v>0</v>
      </c>
      <c r="P389" s="40">
        <v>0</v>
      </c>
      <c r="Q389" s="40"/>
      <c r="R389" s="40">
        <v>0</v>
      </c>
      <c r="S389" s="67">
        <v>0</v>
      </c>
      <c r="T389" s="41"/>
      <c r="U389" s="11"/>
      <c r="V389" s="41"/>
      <c r="W389" s="67">
        <v>0</v>
      </c>
      <c r="X389" s="44">
        <v>0</v>
      </c>
      <c r="Y389" s="44">
        <v>0</v>
      </c>
    </row>
    <row r="390" spans="1:25" x14ac:dyDescent="0.2">
      <c r="A390" s="49"/>
      <c r="B390" s="49" t="s">
        <v>36</v>
      </c>
      <c r="C390" s="40">
        <v>0</v>
      </c>
      <c r="D390" s="40">
        <v>0</v>
      </c>
      <c r="E390" s="40">
        <v>0</v>
      </c>
      <c r="F390" s="40"/>
      <c r="G390" s="40">
        <v>0</v>
      </c>
      <c r="H390" s="40">
        <v>0</v>
      </c>
      <c r="I390" s="40">
        <v>0</v>
      </c>
      <c r="J390" s="67">
        <v>0</v>
      </c>
      <c r="K390" s="43"/>
      <c r="L390" s="40">
        <v>0</v>
      </c>
      <c r="M390" s="40">
        <v>0</v>
      </c>
      <c r="N390" s="40">
        <v>0</v>
      </c>
      <c r="O390" s="40">
        <v>0</v>
      </c>
      <c r="P390" s="40">
        <v>0</v>
      </c>
      <c r="Q390" s="40"/>
      <c r="R390" s="40">
        <v>0</v>
      </c>
      <c r="S390" s="67">
        <v>0</v>
      </c>
      <c r="T390" s="41"/>
      <c r="U390" s="11"/>
      <c r="V390" s="41"/>
      <c r="W390" s="67">
        <v>0</v>
      </c>
      <c r="X390" s="44">
        <v>0</v>
      </c>
      <c r="Y390" s="44">
        <v>0</v>
      </c>
    </row>
    <row r="391" spans="1:25" x14ac:dyDescent="0.2">
      <c r="A391" s="49"/>
      <c r="B391" s="49" t="s">
        <v>36</v>
      </c>
      <c r="C391" s="40">
        <v>0</v>
      </c>
      <c r="D391" s="40">
        <v>0</v>
      </c>
      <c r="E391" s="40">
        <v>0</v>
      </c>
      <c r="F391" s="40"/>
      <c r="G391" s="40">
        <v>0</v>
      </c>
      <c r="H391" s="40">
        <v>0</v>
      </c>
      <c r="I391" s="40">
        <v>0</v>
      </c>
      <c r="J391" s="67">
        <v>0</v>
      </c>
      <c r="K391" s="43"/>
      <c r="L391" s="40">
        <v>0</v>
      </c>
      <c r="M391" s="40">
        <v>0</v>
      </c>
      <c r="N391" s="40">
        <v>0</v>
      </c>
      <c r="O391" s="40">
        <v>0</v>
      </c>
      <c r="P391" s="40">
        <v>0</v>
      </c>
      <c r="Q391" s="40"/>
      <c r="R391" s="40">
        <v>0</v>
      </c>
      <c r="S391" s="67">
        <v>0</v>
      </c>
      <c r="T391" s="41"/>
      <c r="U391" s="11"/>
      <c r="V391" s="41"/>
      <c r="W391" s="67">
        <v>0</v>
      </c>
      <c r="X391" s="44">
        <v>0</v>
      </c>
      <c r="Y391" s="44">
        <v>0</v>
      </c>
    </row>
    <row r="392" spans="1:25" x14ac:dyDescent="0.2">
      <c r="A392" s="49"/>
      <c r="B392" s="49" t="s">
        <v>36</v>
      </c>
      <c r="C392" s="40">
        <v>0</v>
      </c>
      <c r="D392" s="40">
        <v>0</v>
      </c>
      <c r="E392" s="40">
        <v>0</v>
      </c>
      <c r="F392" s="40"/>
      <c r="G392" s="40">
        <v>0</v>
      </c>
      <c r="H392" s="40">
        <v>0</v>
      </c>
      <c r="I392" s="40">
        <v>0</v>
      </c>
      <c r="J392" s="67">
        <v>0</v>
      </c>
      <c r="K392" s="43"/>
      <c r="L392" s="40">
        <v>0</v>
      </c>
      <c r="M392" s="40">
        <v>0</v>
      </c>
      <c r="N392" s="40">
        <v>0</v>
      </c>
      <c r="O392" s="40">
        <v>0</v>
      </c>
      <c r="P392" s="40">
        <v>0</v>
      </c>
      <c r="Q392" s="40"/>
      <c r="R392" s="40">
        <v>0</v>
      </c>
      <c r="S392" s="67">
        <v>0</v>
      </c>
      <c r="T392" s="41"/>
      <c r="U392" s="11"/>
      <c r="V392" s="41"/>
      <c r="W392" s="67">
        <v>0</v>
      </c>
      <c r="X392" s="44">
        <v>0</v>
      </c>
      <c r="Y392" s="44">
        <v>0</v>
      </c>
    </row>
    <row r="393" spans="1:25" x14ac:dyDescent="0.2">
      <c r="A393" s="49"/>
      <c r="B393" s="49" t="s">
        <v>36</v>
      </c>
      <c r="C393" s="40">
        <v>0</v>
      </c>
      <c r="D393" s="40">
        <v>0</v>
      </c>
      <c r="E393" s="40">
        <v>0</v>
      </c>
      <c r="F393" s="40"/>
      <c r="G393" s="40">
        <v>0</v>
      </c>
      <c r="H393" s="40">
        <v>0</v>
      </c>
      <c r="I393" s="40">
        <v>0</v>
      </c>
      <c r="J393" s="67">
        <v>0</v>
      </c>
      <c r="K393" s="43"/>
      <c r="L393" s="40">
        <v>0</v>
      </c>
      <c r="M393" s="40">
        <v>0</v>
      </c>
      <c r="N393" s="40">
        <v>0</v>
      </c>
      <c r="O393" s="40">
        <v>0</v>
      </c>
      <c r="P393" s="40">
        <v>0</v>
      </c>
      <c r="Q393" s="40"/>
      <c r="R393" s="40">
        <v>0</v>
      </c>
      <c r="S393" s="67">
        <v>0</v>
      </c>
      <c r="T393" s="41"/>
      <c r="U393" s="11"/>
      <c r="V393" s="41"/>
      <c r="W393" s="67">
        <v>0</v>
      </c>
      <c r="X393" s="44">
        <v>0</v>
      </c>
      <c r="Y393" s="44">
        <v>0</v>
      </c>
    </row>
    <row r="394" spans="1:25" x14ac:dyDescent="0.2">
      <c r="A394" s="49"/>
      <c r="B394" s="49" t="s">
        <v>36</v>
      </c>
      <c r="C394" s="40">
        <v>0</v>
      </c>
      <c r="D394" s="40">
        <v>0</v>
      </c>
      <c r="E394" s="40">
        <v>0</v>
      </c>
      <c r="F394" s="40"/>
      <c r="G394" s="40">
        <v>0</v>
      </c>
      <c r="H394" s="40">
        <v>0</v>
      </c>
      <c r="I394" s="40">
        <v>0</v>
      </c>
      <c r="J394" s="67">
        <v>0</v>
      </c>
      <c r="K394" s="43"/>
      <c r="L394" s="40">
        <v>0</v>
      </c>
      <c r="M394" s="40">
        <v>0</v>
      </c>
      <c r="N394" s="40">
        <v>0</v>
      </c>
      <c r="O394" s="40">
        <v>0</v>
      </c>
      <c r="P394" s="40">
        <v>0</v>
      </c>
      <c r="Q394" s="40"/>
      <c r="R394" s="40">
        <v>0</v>
      </c>
      <c r="S394" s="67">
        <v>0</v>
      </c>
      <c r="T394" s="41"/>
      <c r="U394" s="11"/>
      <c r="V394" s="41"/>
      <c r="W394" s="67">
        <v>0</v>
      </c>
      <c r="X394" s="44">
        <v>0</v>
      </c>
      <c r="Y394" s="44">
        <v>0</v>
      </c>
    </row>
    <row r="395" spans="1:25" x14ac:dyDescent="0.2">
      <c r="A395" s="49"/>
      <c r="B395" s="49" t="s">
        <v>36</v>
      </c>
      <c r="C395" s="40">
        <v>0</v>
      </c>
      <c r="D395" s="40">
        <v>0</v>
      </c>
      <c r="E395" s="40">
        <v>0</v>
      </c>
      <c r="F395" s="40"/>
      <c r="G395" s="40">
        <v>0</v>
      </c>
      <c r="H395" s="40">
        <v>0</v>
      </c>
      <c r="I395" s="40">
        <v>0</v>
      </c>
      <c r="J395" s="67">
        <v>0</v>
      </c>
      <c r="K395" s="43"/>
      <c r="L395" s="40">
        <v>0</v>
      </c>
      <c r="M395" s="40">
        <v>0</v>
      </c>
      <c r="N395" s="40">
        <v>0</v>
      </c>
      <c r="O395" s="40">
        <v>0</v>
      </c>
      <c r="P395" s="40">
        <v>0</v>
      </c>
      <c r="Q395" s="40"/>
      <c r="R395" s="40">
        <v>0</v>
      </c>
      <c r="S395" s="67">
        <v>0</v>
      </c>
      <c r="T395" s="41"/>
      <c r="U395" s="11"/>
      <c r="V395" s="41"/>
      <c r="W395" s="67">
        <v>0</v>
      </c>
      <c r="X395" s="44">
        <v>0</v>
      </c>
      <c r="Y395" s="44">
        <v>0</v>
      </c>
    </row>
    <row r="396" spans="1:25" x14ac:dyDescent="0.2">
      <c r="A396" s="49"/>
      <c r="B396" s="49" t="s">
        <v>36</v>
      </c>
      <c r="C396" s="40">
        <v>0</v>
      </c>
      <c r="D396" s="40">
        <v>0</v>
      </c>
      <c r="E396" s="40">
        <v>0</v>
      </c>
      <c r="F396" s="40"/>
      <c r="G396" s="40">
        <v>0</v>
      </c>
      <c r="H396" s="40">
        <v>0</v>
      </c>
      <c r="I396" s="40">
        <v>0</v>
      </c>
      <c r="J396" s="67">
        <v>0</v>
      </c>
      <c r="K396" s="43"/>
      <c r="L396" s="40">
        <v>0</v>
      </c>
      <c r="M396" s="40">
        <v>0</v>
      </c>
      <c r="N396" s="40">
        <v>0</v>
      </c>
      <c r="O396" s="40">
        <v>0</v>
      </c>
      <c r="P396" s="40">
        <v>0</v>
      </c>
      <c r="Q396" s="40"/>
      <c r="R396" s="40">
        <v>0</v>
      </c>
      <c r="S396" s="67">
        <v>0</v>
      </c>
      <c r="T396" s="41"/>
      <c r="U396" s="11"/>
      <c r="V396" s="41"/>
      <c r="W396" s="67">
        <v>0</v>
      </c>
      <c r="X396" s="44">
        <v>0</v>
      </c>
      <c r="Y396" s="44">
        <v>0</v>
      </c>
    </row>
    <row r="397" spans="1:25" x14ac:dyDescent="0.2">
      <c r="A397" s="49"/>
      <c r="B397" s="49" t="s">
        <v>36</v>
      </c>
      <c r="C397" s="40">
        <v>0</v>
      </c>
      <c r="D397" s="40">
        <v>0</v>
      </c>
      <c r="E397" s="40">
        <v>0</v>
      </c>
      <c r="F397" s="40"/>
      <c r="G397" s="40">
        <v>0</v>
      </c>
      <c r="H397" s="40">
        <v>0</v>
      </c>
      <c r="I397" s="40">
        <v>0</v>
      </c>
      <c r="J397" s="67">
        <v>0</v>
      </c>
      <c r="K397" s="43"/>
      <c r="L397" s="40">
        <v>0</v>
      </c>
      <c r="M397" s="40">
        <v>0</v>
      </c>
      <c r="N397" s="40">
        <v>0</v>
      </c>
      <c r="O397" s="40">
        <v>0</v>
      </c>
      <c r="P397" s="40">
        <v>0</v>
      </c>
      <c r="Q397" s="40"/>
      <c r="R397" s="40">
        <v>0</v>
      </c>
      <c r="S397" s="67">
        <v>0</v>
      </c>
      <c r="T397" s="41"/>
      <c r="U397" s="11"/>
      <c r="V397" s="41"/>
      <c r="W397" s="67">
        <v>0</v>
      </c>
      <c r="X397" s="44">
        <v>0</v>
      </c>
      <c r="Y397" s="44">
        <v>0</v>
      </c>
    </row>
    <row r="398" spans="1:25" x14ac:dyDescent="0.2">
      <c r="A398" s="49"/>
      <c r="B398" s="49" t="s">
        <v>36</v>
      </c>
      <c r="C398" s="40">
        <v>0</v>
      </c>
      <c r="D398" s="40">
        <v>0</v>
      </c>
      <c r="E398" s="40">
        <v>0</v>
      </c>
      <c r="F398" s="40"/>
      <c r="G398" s="40">
        <v>0</v>
      </c>
      <c r="H398" s="40">
        <v>0</v>
      </c>
      <c r="I398" s="40">
        <v>0</v>
      </c>
      <c r="J398" s="67">
        <v>0</v>
      </c>
      <c r="K398" s="43"/>
      <c r="L398" s="40">
        <v>0</v>
      </c>
      <c r="M398" s="40">
        <v>0</v>
      </c>
      <c r="N398" s="40">
        <v>0</v>
      </c>
      <c r="O398" s="40">
        <v>0</v>
      </c>
      <c r="P398" s="40">
        <v>0</v>
      </c>
      <c r="Q398" s="40"/>
      <c r="R398" s="40">
        <v>0</v>
      </c>
      <c r="S398" s="67">
        <v>0</v>
      </c>
      <c r="T398" s="41"/>
      <c r="U398" s="11"/>
      <c r="V398" s="41"/>
      <c r="W398" s="67">
        <v>0</v>
      </c>
      <c r="X398" s="44">
        <v>0</v>
      </c>
      <c r="Y398" s="44">
        <v>0</v>
      </c>
    </row>
    <row r="399" spans="1:25" x14ac:dyDescent="0.2">
      <c r="A399" s="49"/>
      <c r="B399" s="49" t="s">
        <v>36</v>
      </c>
      <c r="C399" s="40">
        <v>0</v>
      </c>
      <c r="D399" s="40">
        <v>0</v>
      </c>
      <c r="E399" s="40">
        <v>0</v>
      </c>
      <c r="F399" s="40"/>
      <c r="G399" s="40">
        <v>0</v>
      </c>
      <c r="H399" s="40">
        <v>0</v>
      </c>
      <c r="I399" s="40">
        <v>0</v>
      </c>
      <c r="J399" s="67">
        <v>0</v>
      </c>
      <c r="K399" s="43"/>
      <c r="L399" s="40">
        <v>0</v>
      </c>
      <c r="M399" s="40">
        <v>0</v>
      </c>
      <c r="N399" s="40">
        <v>0</v>
      </c>
      <c r="O399" s="40">
        <v>0</v>
      </c>
      <c r="P399" s="40">
        <v>0</v>
      </c>
      <c r="Q399" s="40"/>
      <c r="R399" s="40">
        <v>0</v>
      </c>
      <c r="S399" s="67">
        <v>0</v>
      </c>
      <c r="T399" s="41"/>
      <c r="U399" s="11"/>
      <c r="V399" s="41"/>
      <c r="W399" s="67">
        <v>0</v>
      </c>
      <c r="X399" s="44">
        <v>0</v>
      </c>
      <c r="Y399" s="44">
        <v>0</v>
      </c>
    </row>
    <row r="400" spans="1:25" x14ac:dyDescent="0.2">
      <c r="A400" s="49"/>
      <c r="B400" s="49" t="s">
        <v>36</v>
      </c>
      <c r="C400" s="40">
        <v>0</v>
      </c>
      <c r="D400" s="40">
        <v>0</v>
      </c>
      <c r="E400" s="40">
        <v>0</v>
      </c>
      <c r="F400" s="40"/>
      <c r="G400" s="40">
        <v>0</v>
      </c>
      <c r="H400" s="40">
        <v>0</v>
      </c>
      <c r="I400" s="40">
        <v>0</v>
      </c>
      <c r="J400" s="67">
        <v>0</v>
      </c>
      <c r="K400" s="43"/>
      <c r="L400" s="40">
        <v>0</v>
      </c>
      <c r="M400" s="40">
        <v>0</v>
      </c>
      <c r="N400" s="40">
        <v>0</v>
      </c>
      <c r="O400" s="40">
        <v>0</v>
      </c>
      <c r="P400" s="40">
        <v>0</v>
      </c>
      <c r="Q400" s="40"/>
      <c r="R400" s="40">
        <v>0</v>
      </c>
      <c r="S400" s="67">
        <v>0</v>
      </c>
      <c r="T400" s="41"/>
      <c r="U400" s="11"/>
      <c r="V400" s="41"/>
      <c r="W400" s="67">
        <v>0</v>
      </c>
      <c r="X400" s="44">
        <v>0</v>
      </c>
      <c r="Y400" s="44">
        <v>0</v>
      </c>
    </row>
    <row r="401" spans="1:25" x14ac:dyDescent="0.2">
      <c r="A401" s="49"/>
      <c r="B401" s="49" t="s">
        <v>36</v>
      </c>
      <c r="C401" s="40">
        <v>0</v>
      </c>
      <c r="D401" s="40">
        <v>0</v>
      </c>
      <c r="E401" s="40">
        <v>0</v>
      </c>
      <c r="F401" s="40"/>
      <c r="G401" s="40">
        <v>0</v>
      </c>
      <c r="H401" s="40">
        <v>0</v>
      </c>
      <c r="I401" s="40">
        <v>0</v>
      </c>
      <c r="J401" s="67">
        <v>0</v>
      </c>
      <c r="K401" s="43"/>
      <c r="L401" s="40">
        <v>0</v>
      </c>
      <c r="M401" s="40">
        <v>0</v>
      </c>
      <c r="N401" s="40">
        <v>0</v>
      </c>
      <c r="O401" s="40">
        <v>0</v>
      </c>
      <c r="P401" s="40">
        <v>0</v>
      </c>
      <c r="Q401" s="40"/>
      <c r="R401" s="40">
        <v>0</v>
      </c>
      <c r="S401" s="67">
        <v>0</v>
      </c>
      <c r="T401" s="41"/>
      <c r="U401" s="11"/>
      <c r="V401" s="41"/>
      <c r="W401" s="67">
        <v>0</v>
      </c>
      <c r="X401" s="44">
        <v>0</v>
      </c>
      <c r="Y401" s="44">
        <v>0</v>
      </c>
    </row>
    <row r="402" spans="1:25" x14ac:dyDescent="0.2">
      <c r="A402" s="49"/>
      <c r="B402" s="49" t="s">
        <v>36</v>
      </c>
      <c r="C402" s="40">
        <v>0</v>
      </c>
      <c r="D402" s="40">
        <v>0</v>
      </c>
      <c r="E402" s="40">
        <v>0</v>
      </c>
      <c r="F402" s="40"/>
      <c r="G402" s="40">
        <v>0</v>
      </c>
      <c r="H402" s="40">
        <v>0</v>
      </c>
      <c r="I402" s="40">
        <v>0</v>
      </c>
      <c r="J402" s="67">
        <v>0</v>
      </c>
      <c r="K402" s="43"/>
      <c r="L402" s="40">
        <v>0</v>
      </c>
      <c r="M402" s="40">
        <v>0</v>
      </c>
      <c r="N402" s="40">
        <v>0</v>
      </c>
      <c r="O402" s="40">
        <v>0</v>
      </c>
      <c r="P402" s="40">
        <v>0</v>
      </c>
      <c r="Q402" s="40"/>
      <c r="R402" s="40">
        <v>0</v>
      </c>
      <c r="S402" s="67">
        <v>0</v>
      </c>
      <c r="T402" s="41"/>
      <c r="U402" s="11"/>
      <c r="V402" s="41"/>
      <c r="W402" s="67">
        <v>0</v>
      </c>
      <c r="X402" s="44">
        <v>0</v>
      </c>
      <c r="Y402" s="44">
        <v>0</v>
      </c>
    </row>
    <row r="403" spans="1:25" x14ac:dyDescent="0.2">
      <c r="A403" s="49"/>
      <c r="B403" s="49" t="s">
        <v>36</v>
      </c>
      <c r="C403" s="40">
        <v>0</v>
      </c>
      <c r="D403" s="40">
        <v>0</v>
      </c>
      <c r="E403" s="40">
        <v>0</v>
      </c>
      <c r="F403" s="40"/>
      <c r="G403" s="40">
        <v>0</v>
      </c>
      <c r="H403" s="40">
        <v>0</v>
      </c>
      <c r="I403" s="40">
        <v>0</v>
      </c>
      <c r="J403" s="67">
        <v>0</v>
      </c>
      <c r="K403" s="43"/>
      <c r="L403" s="40">
        <v>0</v>
      </c>
      <c r="M403" s="40">
        <v>0</v>
      </c>
      <c r="N403" s="40">
        <v>0</v>
      </c>
      <c r="O403" s="40">
        <v>0</v>
      </c>
      <c r="P403" s="40">
        <v>0</v>
      </c>
      <c r="Q403" s="40"/>
      <c r="R403" s="40">
        <v>0</v>
      </c>
      <c r="S403" s="67">
        <v>0</v>
      </c>
      <c r="T403" s="41"/>
      <c r="U403" s="11"/>
      <c r="V403" s="41"/>
      <c r="W403" s="67">
        <v>0</v>
      </c>
      <c r="X403" s="44">
        <v>0</v>
      </c>
      <c r="Y403" s="44">
        <v>0</v>
      </c>
    </row>
    <row r="404" spans="1:25" x14ac:dyDescent="0.2">
      <c r="A404" s="49"/>
      <c r="B404" s="49" t="s">
        <v>36</v>
      </c>
      <c r="C404" s="40">
        <v>0</v>
      </c>
      <c r="D404" s="40">
        <v>0</v>
      </c>
      <c r="E404" s="40">
        <v>0</v>
      </c>
      <c r="F404" s="40"/>
      <c r="G404" s="40">
        <v>0</v>
      </c>
      <c r="H404" s="40">
        <v>0</v>
      </c>
      <c r="I404" s="40">
        <v>0</v>
      </c>
      <c r="J404" s="67">
        <v>0</v>
      </c>
      <c r="K404" s="43"/>
      <c r="L404" s="40">
        <v>0</v>
      </c>
      <c r="M404" s="40">
        <v>0</v>
      </c>
      <c r="N404" s="40">
        <v>0</v>
      </c>
      <c r="O404" s="40">
        <v>0</v>
      </c>
      <c r="P404" s="40">
        <v>0</v>
      </c>
      <c r="Q404" s="40"/>
      <c r="R404" s="40">
        <v>0</v>
      </c>
      <c r="S404" s="67">
        <v>0</v>
      </c>
      <c r="T404" s="41"/>
      <c r="U404" s="11"/>
      <c r="V404" s="41"/>
      <c r="W404" s="67">
        <v>0</v>
      </c>
      <c r="X404" s="44">
        <v>0</v>
      </c>
      <c r="Y404" s="44">
        <v>0</v>
      </c>
    </row>
    <row r="405" spans="1:25" x14ac:dyDescent="0.2">
      <c r="A405" s="49"/>
      <c r="B405" s="49" t="s">
        <v>36</v>
      </c>
      <c r="C405" s="40">
        <v>0</v>
      </c>
      <c r="D405" s="40">
        <v>0</v>
      </c>
      <c r="E405" s="40">
        <v>0</v>
      </c>
      <c r="F405" s="40"/>
      <c r="G405" s="40">
        <v>0</v>
      </c>
      <c r="H405" s="40">
        <v>0</v>
      </c>
      <c r="I405" s="40">
        <v>0</v>
      </c>
      <c r="J405" s="67">
        <v>0</v>
      </c>
      <c r="K405" s="43"/>
      <c r="L405" s="40">
        <v>0</v>
      </c>
      <c r="M405" s="40">
        <v>0</v>
      </c>
      <c r="N405" s="40">
        <v>0</v>
      </c>
      <c r="O405" s="40">
        <v>0</v>
      </c>
      <c r="P405" s="40">
        <v>0</v>
      </c>
      <c r="Q405" s="40"/>
      <c r="R405" s="40">
        <v>0</v>
      </c>
      <c r="S405" s="67">
        <v>0</v>
      </c>
      <c r="T405" s="41"/>
      <c r="U405" s="11"/>
      <c r="V405" s="41"/>
      <c r="W405" s="67">
        <v>0</v>
      </c>
      <c r="X405" s="44">
        <v>0</v>
      </c>
      <c r="Y405" s="44">
        <v>0</v>
      </c>
    </row>
    <row r="406" spans="1:25" x14ac:dyDescent="0.2">
      <c r="A406" s="49"/>
      <c r="B406" s="49" t="s">
        <v>36</v>
      </c>
      <c r="C406" s="40">
        <v>0</v>
      </c>
      <c r="D406" s="40">
        <v>0</v>
      </c>
      <c r="E406" s="40">
        <v>0</v>
      </c>
      <c r="F406" s="40"/>
      <c r="G406" s="40">
        <v>0</v>
      </c>
      <c r="H406" s="40">
        <v>0</v>
      </c>
      <c r="I406" s="40">
        <v>0</v>
      </c>
      <c r="J406" s="67">
        <v>0</v>
      </c>
      <c r="K406" s="43"/>
      <c r="L406" s="40">
        <v>0</v>
      </c>
      <c r="M406" s="40">
        <v>0</v>
      </c>
      <c r="N406" s="40">
        <v>0</v>
      </c>
      <c r="O406" s="40">
        <v>0</v>
      </c>
      <c r="P406" s="40">
        <v>0</v>
      </c>
      <c r="Q406" s="40"/>
      <c r="R406" s="40">
        <v>0</v>
      </c>
      <c r="S406" s="67">
        <v>0</v>
      </c>
      <c r="T406" s="41"/>
      <c r="U406" s="11"/>
      <c r="V406" s="41"/>
      <c r="W406" s="67">
        <v>0</v>
      </c>
      <c r="X406" s="44">
        <v>0</v>
      </c>
      <c r="Y406" s="44">
        <v>0</v>
      </c>
    </row>
    <row r="407" spans="1:25" x14ac:dyDescent="0.2">
      <c r="A407" s="49"/>
      <c r="B407" s="49" t="s">
        <v>36</v>
      </c>
      <c r="C407" s="40">
        <v>0</v>
      </c>
      <c r="D407" s="40">
        <v>0</v>
      </c>
      <c r="E407" s="40">
        <v>0</v>
      </c>
      <c r="F407" s="40"/>
      <c r="G407" s="40">
        <v>0</v>
      </c>
      <c r="H407" s="40">
        <v>0</v>
      </c>
      <c r="I407" s="40">
        <v>0</v>
      </c>
      <c r="J407" s="67">
        <v>0</v>
      </c>
      <c r="K407" s="43"/>
      <c r="L407" s="40">
        <v>0</v>
      </c>
      <c r="M407" s="40">
        <v>0</v>
      </c>
      <c r="N407" s="40">
        <v>0</v>
      </c>
      <c r="O407" s="40">
        <v>0</v>
      </c>
      <c r="P407" s="40">
        <v>0</v>
      </c>
      <c r="Q407" s="40"/>
      <c r="R407" s="40">
        <v>0</v>
      </c>
      <c r="S407" s="67">
        <v>0</v>
      </c>
      <c r="T407" s="41"/>
      <c r="U407" s="11"/>
      <c r="V407" s="41"/>
      <c r="W407" s="67">
        <v>0</v>
      </c>
      <c r="X407" s="44">
        <v>0</v>
      </c>
      <c r="Y407" s="44">
        <v>0</v>
      </c>
    </row>
    <row r="408" spans="1:25" x14ac:dyDescent="0.2">
      <c r="A408" s="49"/>
      <c r="B408" s="49" t="s">
        <v>36</v>
      </c>
      <c r="C408" s="40">
        <v>0</v>
      </c>
      <c r="D408" s="40">
        <v>0</v>
      </c>
      <c r="E408" s="40">
        <v>0</v>
      </c>
      <c r="F408" s="40"/>
      <c r="G408" s="40">
        <v>0</v>
      </c>
      <c r="H408" s="40">
        <v>0</v>
      </c>
      <c r="I408" s="40">
        <v>0</v>
      </c>
      <c r="J408" s="67">
        <v>0</v>
      </c>
      <c r="K408" s="43"/>
      <c r="L408" s="40">
        <v>0</v>
      </c>
      <c r="M408" s="40">
        <v>0</v>
      </c>
      <c r="N408" s="40">
        <v>0</v>
      </c>
      <c r="O408" s="40">
        <v>0</v>
      </c>
      <c r="P408" s="40">
        <v>0</v>
      </c>
      <c r="Q408" s="40"/>
      <c r="R408" s="40">
        <v>0</v>
      </c>
      <c r="S408" s="67">
        <v>0</v>
      </c>
      <c r="T408" s="41"/>
      <c r="U408" s="11"/>
      <c r="V408" s="41"/>
      <c r="W408" s="67">
        <v>0</v>
      </c>
      <c r="X408" s="44">
        <v>0</v>
      </c>
      <c r="Y408" s="44">
        <v>0</v>
      </c>
    </row>
    <row r="409" spans="1:25" x14ac:dyDescent="0.2">
      <c r="A409" s="49"/>
      <c r="B409" s="49" t="s">
        <v>36</v>
      </c>
      <c r="C409" s="40">
        <v>0</v>
      </c>
      <c r="D409" s="40">
        <v>0</v>
      </c>
      <c r="E409" s="40">
        <v>0</v>
      </c>
      <c r="F409" s="40"/>
      <c r="G409" s="40">
        <v>0</v>
      </c>
      <c r="H409" s="40">
        <v>0</v>
      </c>
      <c r="I409" s="40">
        <v>0</v>
      </c>
      <c r="J409" s="67">
        <v>0</v>
      </c>
      <c r="K409" s="43"/>
      <c r="L409" s="40">
        <v>0</v>
      </c>
      <c r="M409" s="40">
        <v>0</v>
      </c>
      <c r="N409" s="40">
        <v>0</v>
      </c>
      <c r="O409" s="40">
        <v>0</v>
      </c>
      <c r="P409" s="40">
        <v>0</v>
      </c>
      <c r="Q409" s="40"/>
      <c r="R409" s="40">
        <v>0</v>
      </c>
      <c r="S409" s="67">
        <v>0</v>
      </c>
      <c r="T409" s="41"/>
      <c r="U409" s="11"/>
      <c r="V409" s="41"/>
      <c r="W409" s="67">
        <v>0</v>
      </c>
      <c r="X409" s="44">
        <v>0</v>
      </c>
      <c r="Y409" s="44">
        <v>0</v>
      </c>
    </row>
    <row r="410" spans="1:25" x14ac:dyDescent="0.2">
      <c r="A410" s="49"/>
      <c r="B410" s="49" t="s">
        <v>36</v>
      </c>
      <c r="C410" s="40">
        <v>0</v>
      </c>
      <c r="D410" s="40">
        <v>0</v>
      </c>
      <c r="E410" s="40">
        <v>0</v>
      </c>
      <c r="F410" s="40"/>
      <c r="G410" s="40">
        <v>0</v>
      </c>
      <c r="H410" s="40">
        <v>0</v>
      </c>
      <c r="I410" s="40">
        <v>0</v>
      </c>
      <c r="J410" s="67">
        <v>0</v>
      </c>
      <c r="K410" s="43"/>
      <c r="L410" s="40">
        <v>0</v>
      </c>
      <c r="M410" s="40">
        <v>0</v>
      </c>
      <c r="N410" s="40">
        <v>0</v>
      </c>
      <c r="O410" s="40">
        <v>0</v>
      </c>
      <c r="P410" s="40">
        <v>0</v>
      </c>
      <c r="Q410" s="40"/>
      <c r="R410" s="40">
        <v>0</v>
      </c>
      <c r="S410" s="67">
        <v>0</v>
      </c>
      <c r="T410" s="41"/>
      <c r="U410" s="11"/>
      <c r="V410" s="41"/>
      <c r="W410" s="67">
        <v>0</v>
      </c>
      <c r="X410" s="44">
        <v>0</v>
      </c>
      <c r="Y410" s="44">
        <v>0</v>
      </c>
    </row>
    <row r="411" spans="1:25" x14ac:dyDescent="0.2">
      <c r="A411" s="49"/>
      <c r="B411" s="49" t="s">
        <v>36</v>
      </c>
      <c r="C411" s="40">
        <v>0</v>
      </c>
      <c r="D411" s="40">
        <v>0</v>
      </c>
      <c r="E411" s="40">
        <v>0</v>
      </c>
      <c r="F411" s="40"/>
      <c r="G411" s="40">
        <v>0</v>
      </c>
      <c r="H411" s="40">
        <v>0</v>
      </c>
      <c r="I411" s="40">
        <v>0</v>
      </c>
      <c r="J411" s="67">
        <v>0</v>
      </c>
      <c r="K411" s="43"/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0"/>
      <c r="R411" s="40">
        <v>0</v>
      </c>
      <c r="S411" s="67">
        <v>0</v>
      </c>
      <c r="T411" s="41"/>
      <c r="U411" s="11"/>
      <c r="V411" s="41"/>
      <c r="W411" s="67">
        <v>0</v>
      </c>
      <c r="X411" s="44">
        <v>0</v>
      </c>
      <c r="Y411" s="44">
        <v>0</v>
      </c>
    </row>
    <row r="412" spans="1:25" x14ac:dyDescent="0.2">
      <c r="A412" s="49"/>
      <c r="B412" s="49" t="s">
        <v>36</v>
      </c>
      <c r="C412" s="40">
        <v>0</v>
      </c>
      <c r="D412" s="40">
        <v>0</v>
      </c>
      <c r="E412" s="40">
        <v>0</v>
      </c>
      <c r="F412" s="40"/>
      <c r="G412" s="40">
        <v>0</v>
      </c>
      <c r="H412" s="40">
        <v>0</v>
      </c>
      <c r="I412" s="40">
        <v>0</v>
      </c>
      <c r="J412" s="67">
        <v>0</v>
      </c>
      <c r="K412" s="43"/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0"/>
      <c r="R412" s="40">
        <v>0</v>
      </c>
      <c r="S412" s="67">
        <v>0</v>
      </c>
      <c r="T412" s="41"/>
      <c r="U412" s="11"/>
      <c r="V412" s="41"/>
      <c r="W412" s="67">
        <v>0</v>
      </c>
      <c r="X412" s="44">
        <v>0</v>
      </c>
      <c r="Y412" s="44">
        <v>0</v>
      </c>
    </row>
    <row r="413" spans="1:25" x14ac:dyDescent="0.2">
      <c r="A413" s="49"/>
      <c r="B413" s="49" t="s">
        <v>36</v>
      </c>
      <c r="C413" s="40">
        <v>0</v>
      </c>
      <c r="D413" s="40">
        <v>0</v>
      </c>
      <c r="E413" s="40">
        <v>0</v>
      </c>
      <c r="F413" s="40"/>
      <c r="G413" s="40">
        <v>0</v>
      </c>
      <c r="H413" s="40">
        <v>0</v>
      </c>
      <c r="I413" s="40">
        <v>0</v>
      </c>
      <c r="J413" s="67">
        <v>0</v>
      </c>
      <c r="K413" s="43"/>
      <c r="L413" s="40">
        <v>0</v>
      </c>
      <c r="M413" s="40">
        <v>0</v>
      </c>
      <c r="N413" s="40">
        <v>0</v>
      </c>
      <c r="O413" s="40">
        <v>0</v>
      </c>
      <c r="P413" s="40">
        <v>0</v>
      </c>
      <c r="Q413" s="40"/>
      <c r="R413" s="40">
        <v>0</v>
      </c>
      <c r="S413" s="67">
        <v>0</v>
      </c>
      <c r="T413" s="41"/>
      <c r="U413" s="11"/>
      <c r="V413" s="41"/>
      <c r="W413" s="67">
        <v>0</v>
      </c>
      <c r="X413" s="44">
        <v>0</v>
      </c>
      <c r="Y413" s="44">
        <v>0</v>
      </c>
    </row>
    <row r="414" spans="1:25" x14ac:dyDescent="0.2">
      <c r="A414" s="49"/>
      <c r="B414" s="49" t="s">
        <v>36</v>
      </c>
      <c r="C414" s="40">
        <v>0</v>
      </c>
      <c r="D414" s="40">
        <v>0</v>
      </c>
      <c r="E414" s="40">
        <v>0</v>
      </c>
      <c r="F414" s="40"/>
      <c r="G414" s="40">
        <v>0</v>
      </c>
      <c r="H414" s="40">
        <v>0</v>
      </c>
      <c r="I414" s="40">
        <v>0</v>
      </c>
      <c r="J414" s="67">
        <v>0</v>
      </c>
      <c r="K414" s="43"/>
      <c r="L414" s="40">
        <v>0</v>
      </c>
      <c r="M414" s="40">
        <v>0</v>
      </c>
      <c r="N414" s="40">
        <v>0</v>
      </c>
      <c r="O414" s="40">
        <v>0</v>
      </c>
      <c r="P414" s="40">
        <v>0</v>
      </c>
      <c r="Q414" s="40"/>
      <c r="R414" s="40">
        <v>0</v>
      </c>
      <c r="S414" s="67">
        <v>0</v>
      </c>
      <c r="T414" s="41"/>
      <c r="U414" s="11"/>
      <c r="V414" s="41"/>
      <c r="W414" s="67">
        <v>0</v>
      </c>
      <c r="X414" s="44">
        <v>0</v>
      </c>
      <c r="Y414" s="44">
        <v>0</v>
      </c>
    </row>
    <row r="415" spans="1:25" x14ac:dyDescent="0.2">
      <c r="A415" s="49"/>
      <c r="B415" s="49" t="s">
        <v>36</v>
      </c>
      <c r="C415" s="40">
        <v>0</v>
      </c>
      <c r="D415" s="40">
        <v>0</v>
      </c>
      <c r="E415" s="40">
        <v>0</v>
      </c>
      <c r="F415" s="40"/>
      <c r="G415" s="40">
        <v>0</v>
      </c>
      <c r="H415" s="40">
        <v>0</v>
      </c>
      <c r="I415" s="40">
        <v>0</v>
      </c>
      <c r="J415" s="67">
        <v>0</v>
      </c>
      <c r="K415" s="43"/>
      <c r="L415" s="40">
        <v>0</v>
      </c>
      <c r="M415" s="40">
        <v>0</v>
      </c>
      <c r="N415" s="40">
        <v>0</v>
      </c>
      <c r="O415" s="40">
        <v>0</v>
      </c>
      <c r="P415" s="40">
        <v>0</v>
      </c>
      <c r="Q415" s="40"/>
      <c r="R415" s="40">
        <v>0</v>
      </c>
      <c r="S415" s="67">
        <v>0</v>
      </c>
      <c r="T415" s="41"/>
      <c r="U415" s="11"/>
      <c r="V415" s="41"/>
      <c r="W415" s="67">
        <v>0</v>
      </c>
      <c r="X415" s="44">
        <v>0</v>
      </c>
      <c r="Y415" s="44">
        <v>0</v>
      </c>
    </row>
    <row r="416" spans="1:25" x14ac:dyDescent="0.2">
      <c r="A416" s="49"/>
      <c r="B416" s="49" t="s">
        <v>36</v>
      </c>
      <c r="C416" s="40">
        <v>0</v>
      </c>
      <c r="D416" s="40">
        <v>0</v>
      </c>
      <c r="E416" s="40">
        <v>0</v>
      </c>
      <c r="F416" s="40"/>
      <c r="G416" s="40">
        <v>0</v>
      </c>
      <c r="H416" s="40">
        <v>0</v>
      </c>
      <c r="I416" s="40">
        <v>0</v>
      </c>
      <c r="J416" s="67">
        <v>0</v>
      </c>
      <c r="K416" s="43"/>
      <c r="L416" s="40">
        <v>0</v>
      </c>
      <c r="M416" s="40">
        <v>0</v>
      </c>
      <c r="N416" s="40">
        <v>0</v>
      </c>
      <c r="O416" s="40">
        <v>0</v>
      </c>
      <c r="P416" s="40">
        <v>0</v>
      </c>
      <c r="Q416" s="40"/>
      <c r="R416" s="40">
        <v>0</v>
      </c>
      <c r="S416" s="67">
        <v>0</v>
      </c>
      <c r="T416" s="41"/>
      <c r="U416" s="11"/>
      <c r="V416" s="41"/>
      <c r="W416" s="67">
        <v>0</v>
      </c>
      <c r="X416" s="44">
        <v>0</v>
      </c>
      <c r="Y416" s="44">
        <v>0</v>
      </c>
    </row>
    <row r="417" spans="1:25" x14ac:dyDescent="0.2">
      <c r="A417" s="49"/>
      <c r="B417" s="49" t="s">
        <v>36</v>
      </c>
      <c r="C417" s="40">
        <v>0</v>
      </c>
      <c r="D417" s="40">
        <v>0</v>
      </c>
      <c r="E417" s="40">
        <v>0</v>
      </c>
      <c r="F417" s="40"/>
      <c r="G417" s="40">
        <v>0</v>
      </c>
      <c r="H417" s="40">
        <v>0</v>
      </c>
      <c r="I417" s="40">
        <v>0</v>
      </c>
      <c r="J417" s="67">
        <v>0</v>
      </c>
      <c r="K417" s="43"/>
      <c r="L417" s="40">
        <v>0</v>
      </c>
      <c r="M417" s="40">
        <v>0</v>
      </c>
      <c r="N417" s="40">
        <v>0</v>
      </c>
      <c r="O417" s="40">
        <v>0</v>
      </c>
      <c r="P417" s="40">
        <v>0</v>
      </c>
      <c r="Q417" s="40"/>
      <c r="R417" s="40">
        <v>0</v>
      </c>
      <c r="S417" s="67">
        <v>0</v>
      </c>
      <c r="T417" s="41"/>
      <c r="U417" s="11"/>
      <c r="V417" s="41"/>
      <c r="W417" s="67">
        <v>0</v>
      </c>
      <c r="X417" s="44">
        <v>0</v>
      </c>
      <c r="Y417" s="44">
        <v>0</v>
      </c>
    </row>
    <row r="418" spans="1:25" x14ac:dyDescent="0.2">
      <c r="A418" s="49"/>
      <c r="B418" s="49" t="s">
        <v>36</v>
      </c>
      <c r="C418" s="40">
        <v>0</v>
      </c>
      <c r="D418" s="40">
        <v>0</v>
      </c>
      <c r="E418" s="40">
        <v>0</v>
      </c>
      <c r="F418" s="40"/>
      <c r="G418" s="40">
        <v>0</v>
      </c>
      <c r="H418" s="40">
        <v>0</v>
      </c>
      <c r="I418" s="40">
        <v>0</v>
      </c>
      <c r="J418" s="68">
        <v>0</v>
      </c>
      <c r="K418" s="43"/>
      <c r="L418" s="40">
        <v>0</v>
      </c>
      <c r="M418" s="40">
        <v>0</v>
      </c>
      <c r="N418" s="40">
        <v>0</v>
      </c>
      <c r="O418" s="40">
        <v>0</v>
      </c>
      <c r="P418" s="40">
        <v>0</v>
      </c>
      <c r="Q418" s="40"/>
      <c r="R418" s="40">
        <v>0</v>
      </c>
      <c r="S418" s="68">
        <v>0</v>
      </c>
      <c r="T418" s="41"/>
      <c r="U418" s="11"/>
      <c r="V418" s="41"/>
      <c r="W418" s="68">
        <v>0</v>
      </c>
      <c r="X418" s="44">
        <v>0</v>
      </c>
      <c r="Y418" s="44">
        <v>0</v>
      </c>
    </row>
    <row r="419" spans="1:25" x14ac:dyDescent="0.2">
      <c r="A419" s="49"/>
      <c r="B419" s="49" t="s">
        <v>36</v>
      </c>
      <c r="C419" s="40">
        <v>0</v>
      </c>
      <c r="D419" s="40">
        <v>0</v>
      </c>
      <c r="E419" s="40">
        <v>0</v>
      </c>
      <c r="F419" s="40"/>
      <c r="G419" s="40">
        <v>0</v>
      </c>
      <c r="H419" s="40">
        <v>0</v>
      </c>
      <c r="I419" s="40">
        <v>0</v>
      </c>
      <c r="J419" s="68">
        <v>0</v>
      </c>
      <c r="K419" s="43"/>
      <c r="L419" s="40">
        <v>0</v>
      </c>
      <c r="M419" s="40">
        <v>0</v>
      </c>
      <c r="N419" s="40">
        <v>0</v>
      </c>
      <c r="O419" s="40">
        <v>0</v>
      </c>
      <c r="P419" s="40">
        <v>0</v>
      </c>
      <c r="Q419" s="40"/>
      <c r="R419" s="40">
        <v>0</v>
      </c>
      <c r="S419" s="68">
        <v>0</v>
      </c>
      <c r="T419" s="41"/>
      <c r="U419" s="11"/>
      <c r="V419" s="41"/>
      <c r="W419" s="68">
        <v>0</v>
      </c>
      <c r="X419" s="44">
        <v>0</v>
      </c>
      <c r="Y419" s="44">
        <v>0</v>
      </c>
    </row>
    <row r="420" spans="1:25" x14ac:dyDescent="0.2">
      <c r="A420" s="49"/>
      <c r="B420" s="49" t="s">
        <v>36</v>
      </c>
      <c r="C420" s="40">
        <v>0</v>
      </c>
      <c r="D420" s="40">
        <v>0</v>
      </c>
      <c r="E420" s="40">
        <v>0</v>
      </c>
      <c r="F420" s="40"/>
      <c r="G420" s="40">
        <v>0</v>
      </c>
      <c r="H420" s="40">
        <v>0</v>
      </c>
      <c r="I420" s="40">
        <v>0</v>
      </c>
      <c r="J420" s="68">
        <v>0</v>
      </c>
      <c r="K420" s="43"/>
      <c r="L420" s="40">
        <v>0</v>
      </c>
      <c r="M420" s="40">
        <v>0</v>
      </c>
      <c r="N420" s="40">
        <v>0</v>
      </c>
      <c r="O420" s="40">
        <v>0</v>
      </c>
      <c r="P420" s="40">
        <v>0</v>
      </c>
      <c r="Q420" s="40"/>
      <c r="R420" s="40">
        <v>0</v>
      </c>
      <c r="S420" s="68">
        <v>0</v>
      </c>
      <c r="T420" s="41"/>
      <c r="U420" s="11"/>
      <c r="V420" s="41"/>
      <c r="W420" s="68">
        <v>0</v>
      </c>
      <c r="X420" s="44">
        <v>0</v>
      </c>
      <c r="Y420" s="44">
        <v>0</v>
      </c>
    </row>
    <row r="421" spans="1:25" x14ac:dyDescent="0.2">
      <c r="A421" s="49"/>
      <c r="B421" s="49" t="s">
        <v>36</v>
      </c>
      <c r="C421" s="40">
        <v>0</v>
      </c>
      <c r="D421" s="40">
        <v>0</v>
      </c>
      <c r="E421" s="40">
        <v>0</v>
      </c>
      <c r="F421" s="40"/>
      <c r="G421" s="40">
        <v>0</v>
      </c>
      <c r="H421" s="40">
        <v>0</v>
      </c>
      <c r="I421" s="40">
        <v>0</v>
      </c>
      <c r="J421" s="68">
        <v>0</v>
      </c>
      <c r="K421" s="43"/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/>
      <c r="R421" s="40">
        <v>0</v>
      </c>
      <c r="S421" s="68">
        <v>0</v>
      </c>
      <c r="T421" s="41"/>
      <c r="U421" s="11"/>
      <c r="V421" s="41"/>
      <c r="W421" s="68">
        <v>0</v>
      </c>
      <c r="X421" s="44">
        <v>0</v>
      </c>
      <c r="Y421" s="44">
        <v>0</v>
      </c>
    </row>
    <row r="422" spans="1:25" x14ac:dyDescent="0.2">
      <c r="A422" s="49"/>
      <c r="B422" s="49" t="s">
        <v>36</v>
      </c>
      <c r="C422" s="40">
        <v>0</v>
      </c>
      <c r="D422" s="40">
        <v>0</v>
      </c>
      <c r="E422" s="40">
        <v>0</v>
      </c>
      <c r="F422" s="40"/>
      <c r="G422" s="40">
        <v>0</v>
      </c>
      <c r="H422" s="40">
        <v>0</v>
      </c>
      <c r="I422" s="40">
        <v>0</v>
      </c>
      <c r="J422" s="68">
        <v>0</v>
      </c>
      <c r="K422" s="43"/>
      <c r="L422" s="40">
        <v>0</v>
      </c>
      <c r="M422" s="40">
        <v>0</v>
      </c>
      <c r="N422" s="40">
        <v>0</v>
      </c>
      <c r="O422" s="40">
        <v>0</v>
      </c>
      <c r="P422" s="40">
        <v>0</v>
      </c>
      <c r="Q422" s="40"/>
      <c r="R422" s="40">
        <v>0</v>
      </c>
      <c r="S422" s="68">
        <v>0</v>
      </c>
      <c r="T422" s="41"/>
      <c r="U422" s="11"/>
      <c r="V422" s="41"/>
      <c r="W422" s="68">
        <v>0</v>
      </c>
      <c r="X422" s="44">
        <v>0</v>
      </c>
      <c r="Y422" s="44">
        <v>0</v>
      </c>
    </row>
    <row r="423" spans="1:25" x14ac:dyDescent="0.2">
      <c r="A423" s="49"/>
      <c r="B423" s="49" t="s">
        <v>36</v>
      </c>
      <c r="C423" s="40">
        <v>0</v>
      </c>
      <c r="D423" s="40">
        <v>0</v>
      </c>
      <c r="E423" s="40">
        <v>0</v>
      </c>
      <c r="F423" s="40"/>
      <c r="G423" s="40">
        <v>0</v>
      </c>
      <c r="H423" s="40">
        <v>0</v>
      </c>
      <c r="I423" s="40">
        <v>0</v>
      </c>
      <c r="J423" s="68">
        <v>0</v>
      </c>
      <c r="K423" s="43"/>
      <c r="L423" s="40">
        <v>0</v>
      </c>
      <c r="M423" s="40">
        <v>0</v>
      </c>
      <c r="N423" s="40">
        <v>0</v>
      </c>
      <c r="O423" s="40">
        <v>0</v>
      </c>
      <c r="P423" s="40">
        <v>0</v>
      </c>
      <c r="Q423" s="40"/>
      <c r="R423" s="40">
        <v>0</v>
      </c>
      <c r="S423" s="68">
        <v>0</v>
      </c>
      <c r="T423" s="41"/>
      <c r="U423" s="11"/>
      <c r="V423" s="41"/>
      <c r="W423" s="68">
        <v>0</v>
      </c>
      <c r="X423" s="44">
        <v>0</v>
      </c>
      <c r="Y423" s="44">
        <v>0</v>
      </c>
    </row>
    <row r="424" spans="1:25" x14ac:dyDescent="0.2">
      <c r="A424" s="49"/>
      <c r="B424" s="49" t="s">
        <v>36</v>
      </c>
      <c r="C424" s="40">
        <v>0</v>
      </c>
      <c r="D424" s="40">
        <v>0</v>
      </c>
      <c r="E424" s="40">
        <v>0</v>
      </c>
      <c r="F424" s="40"/>
      <c r="G424" s="40">
        <v>0</v>
      </c>
      <c r="H424" s="40">
        <v>0</v>
      </c>
      <c r="I424" s="40">
        <v>0</v>
      </c>
      <c r="J424" s="68">
        <v>0</v>
      </c>
      <c r="K424" s="43"/>
      <c r="L424" s="40">
        <v>0</v>
      </c>
      <c r="M424" s="40">
        <v>0</v>
      </c>
      <c r="N424" s="40">
        <v>0</v>
      </c>
      <c r="O424" s="40">
        <v>0</v>
      </c>
      <c r="P424" s="40">
        <v>0</v>
      </c>
      <c r="Q424" s="40"/>
      <c r="R424" s="40">
        <v>0</v>
      </c>
      <c r="S424" s="68">
        <v>0</v>
      </c>
      <c r="T424" s="41"/>
      <c r="U424" s="11"/>
      <c r="V424" s="41"/>
      <c r="W424" s="68">
        <v>0</v>
      </c>
      <c r="X424" s="44">
        <v>0</v>
      </c>
      <c r="Y424" s="44">
        <v>0</v>
      </c>
    </row>
    <row r="425" spans="1:25" x14ac:dyDescent="0.2">
      <c r="A425" s="49"/>
      <c r="B425" s="49" t="s">
        <v>36</v>
      </c>
      <c r="C425" s="40">
        <v>0</v>
      </c>
      <c r="D425" s="40">
        <v>0</v>
      </c>
      <c r="E425" s="40">
        <v>0</v>
      </c>
      <c r="F425" s="40"/>
      <c r="G425" s="40">
        <v>0</v>
      </c>
      <c r="H425" s="40">
        <v>0</v>
      </c>
      <c r="I425" s="40">
        <v>0</v>
      </c>
      <c r="J425" s="68">
        <v>0</v>
      </c>
      <c r="K425" s="43"/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/>
      <c r="R425" s="40">
        <v>0</v>
      </c>
      <c r="S425" s="68">
        <v>0</v>
      </c>
      <c r="T425" s="41"/>
      <c r="U425" s="11"/>
      <c r="V425" s="41"/>
      <c r="W425" s="68">
        <v>0</v>
      </c>
      <c r="X425" s="44">
        <v>0</v>
      </c>
      <c r="Y425" s="44">
        <v>0</v>
      </c>
    </row>
    <row r="426" spans="1:25" x14ac:dyDescent="0.2">
      <c r="A426" s="49"/>
      <c r="B426" s="49" t="s">
        <v>36</v>
      </c>
      <c r="C426" s="40">
        <v>0</v>
      </c>
      <c r="D426" s="40">
        <v>0</v>
      </c>
      <c r="E426" s="40">
        <v>0</v>
      </c>
      <c r="F426" s="40"/>
      <c r="G426" s="40">
        <v>0</v>
      </c>
      <c r="H426" s="40">
        <v>0</v>
      </c>
      <c r="I426" s="40">
        <v>0</v>
      </c>
      <c r="J426" s="68">
        <v>0</v>
      </c>
      <c r="K426" s="43"/>
      <c r="L426" s="40">
        <v>0</v>
      </c>
      <c r="M426" s="40">
        <v>0</v>
      </c>
      <c r="N426" s="40">
        <v>0</v>
      </c>
      <c r="O426" s="40">
        <v>0</v>
      </c>
      <c r="P426" s="40">
        <v>0</v>
      </c>
      <c r="Q426" s="40"/>
      <c r="R426" s="40">
        <v>0</v>
      </c>
      <c r="S426" s="68">
        <v>0</v>
      </c>
      <c r="T426" s="41"/>
      <c r="U426" s="11"/>
      <c r="V426" s="41"/>
      <c r="W426" s="68">
        <v>0</v>
      </c>
      <c r="X426" s="44">
        <v>0</v>
      </c>
      <c r="Y426" s="44">
        <v>0</v>
      </c>
    </row>
    <row r="427" spans="1:25" x14ac:dyDescent="0.2">
      <c r="A427" s="49"/>
      <c r="B427" s="49" t="s">
        <v>36</v>
      </c>
      <c r="C427" s="40">
        <v>0</v>
      </c>
      <c r="D427" s="40">
        <v>0</v>
      </c>
      <c r="E427" s="40">
        <v>0</v>
      </c>
      <c r="F427" s="40"/>
      <c r="G427" s="40">
        <v>0</v>
      </c>
      <c r="H427" s="40">
        <v>0</v>
      </c>
      <c r="I427" s="40">
        <v>0</v>
      </c>
      <c r="J427" s="68">
        <v>0</v>
      </c>
      <c r="K427" s="43"/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/>
      <c r="R427" s="40">
        <v>0</v>
      </c>
      <c r="S427" s="68">
        <v>0</v>
      </c>
      <c r="T427" s="41"/>
      <c r="U427" s="11"/>
      <c r="V427" s="41"/>
      <c r="W427" s="68">
        <v>0</v>
      </c>
      <c r="X427" s="44">
        <v>0</v>
      </c>
      <c r="Y427" s="44">
        <v>0</v>
      </c>
    </row>
    <row r="428" spans="1:25" x14ac:dyDescent="0.2">
      <c r="A428" s="49"/>
      <c r="B428" s="49" t="s">
        <v>36</v>
      </c>
      <c r="C428" s="40">
        <v>0</v>
      </c>
      <c r="D428" s="40">
        <v>0</v>
      </c>
      <c r="E428" s="40">
        <v>0</v>
      </c>
      <c r="F428" s="40"/>
      <c r="G428" s="40">
        <v>0</v>
      </c>
      <c r="H428" s="40">
        <v>0</v>
      </c>
      <c r="I428" s="40">
        <v>0</v>
      </c>
      <c r="J428" s="68">
        <v>0</v>
      </c>
      <c r="K428" s="43"/>
      <c r="L428" s="40">
        <v>0</v>
      </c>
      <c r="M428" s="40">
        <v>0</v>
      </c>
      <c r="N428" s="40">
        <v>0</v>
      </c>
      <c r="O428" s="40">
        <v>0</v>
      </c>
      <c r="P428" s="40">
        <v>0</v>
      </c>
      <c r="Q428" s="40"/>
      <c r="R428" s="40">
        <v>0</v>
      </c>
      <c r="S428" s="68">
        <v>0</v>
      </c>
      <c r="T428" s="41"/>
      <c r="U428" s="11"/>
      <c r="V428" s="41"/>
      <c r="W428" s="68">
        <v>0</v>
      </c>
      <c r="X428" s="44">
        <v>0</v>
      </c>
      <c r="Y428" s="44">
        <v>0</v>
      </c>
    </row>
    <row r="429" spans="1:25" x14ac:dyDescent="0.2">
      <c r="A429" s="49"/>
      <c r="B429" s="49" t="s">
        <v>36</v>
      </c>
      <c r="C429" s="40">
        <v>0</v>
      </c>
      <c r="D429" s="40">
        <v>0</v>
      </c>
      <c r="E429" s="40">
        <v>0</v>
      </c>
      <c r="F429" s="40"/>
      <c r="G429" s="40">
        <v>0</v>
      </c>
      <c r="H429" s="40">
        <v>0</v>
      </c>
      <c r="I429" s="40">
        <v>0</v>
      </c>
      <c r="J429" s="68">
        <v>0</v>
      </c>
      <c r="K429" s="43"/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/>
      <c r="R429" s="40">
        <v>0</v>
      </c>
      <c r="S429" s="68">
        <v>0</v>
      </c>
      <c r="T429" s="41"/>
      <c r="U429" s="11"/>
      <c r="V429" s="41"/>
      <c r="W429" s="68">
        <v>0</v>
      </c>
      <c r="X429" s="44">
        <v>0</v>
      </c>
      <c r="Y429" s="44">
        <v>0</v>
      </c>
    </row>
    <row r="430" spans="1:25" x14ac:dyDescent="0.2">
      <c r="A430" s="49"/>
      <c r="B430" s="49" t="s">
        <v>36</v>
      </c>
      <c r="C430" s="40">
        <v>0</v>
      </c>
      <c r="D430" s="40">
        <v>0</v>
      </c>
      <c r="E430" s="40">
        <v>0</v>
      </c>
      <c r="F430" s="40"/>
      <c r="G430" s="40">
        <v>0</v>
      </c>
      <c r="H430" s="40">
        <v>0</v>
      </c>
      <c r="I430" s="40">
        <v>0</v>
      </c>
      <c r="J430" s="68">
        <v>0</v>
      </c>
      <c r="K430" s="43"/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/>
      <c r="R430" s="40">
        <v>0</v>
      </c>
      <c r="S430" s="68">
        <v>0</v>
      </c>
      <c r="T430" s="41"/>
      <c r="U430" s="11"/>
      <c r="V430" s="41"/>
      <c r="W430" s="68">
        <v>0</v>
      </c>
      <c r="X430" s="44">
        <v>0</v>
      </c>
      <c r="Y430" s="44">
        <v>0</v>
      </c>
    </row>
    <row r="431" spans="1:25" x14ac:dyDescent="0.2">
      <c r="A431" s="49"/>
      <c r="B431" s="49" t="s">
        <v>36</v>
      </c>
      <c r="C431" s="40">
        <v>0</v>
      </c>
      <c r="D431" s="40">
        <v>0</v>
      </c>
      <c r="E431" s="40">
        <v>0</v>
      </c>
      <c r="F431" s="40"/>
      <c r="G431" s="40">
        <v>0</v>
      </c>
      <c r="H431" s="40">
        <v>0</v>
      </c>
      <c r="I431" s="40">
        <v>0</v>
      </c>
      <c r="J431" s="68">
        <v>0</v>
      </c>
      <c r="K431" s="43"/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/>
      <c r="R431" s="40">
        <v>0</v>
      </c>
      <c r="S431" s="68">
        <v>0</v>
      </c>
      <c r="T431" s="41"/>
      <c r="U431" s="11"/>
      <c r="V431" s="41"/>
      <c r="W431" s="68">
        <v>0</v>
      </c>
      <c r="X431" s="44">
        <v>0</v>
      </c>
      <c r="Y431" s="44">
        <v>0</v>
      </c>
    </row>
    <row r="432" spans="1:25" x14ac:dyDescent="0.2">
      <c r="A432" s="49"/>
      <c r="B432" s="49" t="s">
        <v>36</v>
      </c>
      <c r="C432" s="40">
        <v>0</v>
      </c>
      <c r="D432" s="40">
        <v>0</v>
      </c>
      <c r="E432" s="40">
        <v>0</v>
      </c>
      <c r="F432" s="40"/>
      <c r="G432" s="40">
        <v>0</v>
      </c>
      <c r="H432" s="40">
        <v>0</v>
      </c>
      <c r="I432" s="40">
        <v>0</v>
      </c>
      <c r="J432" s="68">
        <v>0</v>
      </c>
      <c r="K432" s="43"/>
      <c r="L432" s="40">
        <v>0</v>
      </c>
      <c r="M432" s="40">
        <v>0</v>
      </c>
      <c r="N432" s="40">
        <v>0</v>
      </c>
      <c r="O432" s="40">
        <v>0</v>
      </c>
      <c r="P432" s="40">
        <v>0</v>
      </c>
      <c r="Q432" s="40"/>
      <c r="R432" s="40">
        <v>0</v>
      </c>
      <c r="S432" s="68">
        <v>0</v>
      </c>
      <c r="T432" s="41"/>
      <c r="U432" s="11"/>
      <c r="V432" s="41"/>
      <c r="W432" s="68">
        <v>0</v>
      </c>
      <c r="X432" s="44">
        <v>0</v>
      </c>
      <c r="Y432" s="44">
        <v>0</v>
      </c>
    </row>
    <row r="433" spans="1:25" x14ac:dyDescent="0.2">
      <c r="A433" s="49"/>
      <c r="B433" s="49" t="s">
        <v>36</v>
      </c>
      <c r="C433" s="40">
        <v>0</v>
      </c>
      <c r="D433" s="40">
        <v>0</v>
      </c>
      <c r="E433" s="40">
        <v>0</v>
      </c>
      <c r="F433" s="40"/>
      <c r="G433" s="40">
        <v>0</v>
      </c>
      <c r="H433" s="40">
        <v>0</v>
      </c>
      <c r="I433" s="40">
        <v>0</v>
      </c>
      <c r="J433" s="68">
        <v>0</v>
      </c>
      <c r="K433" s="43"/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/>
      <c r="R433" s="40">
        <v>0</v>
      </c>
      <c r="S433" s="68">
        <v>0</v>
      </c>
      <c r="T433" s="41"/>
      <c r="U433" s="11"/>
      <c r="V433" s="41"/>
      <c r="W433" s="68">
        <v>0</v>
      </c>
      <c r="X433" s="44">
        <v>0</v>
      </c>
      <c r="Y433" s="44">
        <v>0</v>
      </c>
    </row>
    <row r="434" spans="1:25" x14ac:dyDescent="0.2">
      <c r="A434" s="49"/>
      <c r="B434" s="49" t="s">
        <v>36</v>
      </c>
      <c r="C434" s="40">
        <v>0</v>
      </c>
      <c r="D434" s="40">
        <v>0</v>
      </c>
      <c r="E434" s="40">
        <v>0</v>
      </c>
      <c r="F434" s="40"/>
      <c r="G434" s="40">
        <v>0</v>
      </c>
      <c r="H434" s="40">
        <v>0</v>
      </c>
      <c r="I434" s="40">
        <v>0</v>
      </c>
      <c r="J434" s="68">
        <v>0</v>
      </c>
      <c r="K434" s="43"/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/>
      <c r="R434" s="40">
        <v>0</v>
      </c>
      <c r="S434" s="68">
        <v>0</v>
      </c>
      <c r="T434" s="41"/>
      <c r="U434" s="11"/>
      <c r="V434" s="41"/>
      <c r="W434" s="68">
        <v>0</v>
      </c>
      <c r="X434" s="44">
        <v>0</v>
      </c>
      <c r="Y434" s="44">
        <v>0</v>
      </c>
    </row>
    <row r="435" spans="1:25" x14ac:dyDescent="0.2">
      <c r="A435" s="49"/>
      <c r="B435" s="49" t="s">
        <v>36</v>
      </c>
      <c r="C435" s="40">
        <v>0</v>
      </c>
      <c r="D435" s="40">
        <v>0</v>
      </c>
      <c r="E435" s="40">
        <v>0</v>
      </c>
      <c r="F435" s="40"/>
      <c r="G435" s="40">
        <v>0</v>
      </c>
      <c r="H435" s="40">
        <v>0</v>
      </c>
      <c r="I435" s="40">
        <v>0</v>
      </c>
      <c r="J435" s="68">
        <v>0</v>
      </c>
      <c r="K435" s="43"/>
      <c r="L435" s="40">
        <v>0</v>
      </c>
      <c r="M435" s="40">
        <v>0</v>
      </c>
      <c r="N435" s="40">
        <v>0</v>
      </c>
      <c r="O435" s="40">
        <v>0</v>
      </c>
      <c r="P435" s="40">
        <v>0</v>
      </c>
      <c r="Q435" s="40"/>
      <c r="R435" s="40">
        <v>0</v>
      </c>
      <c r="S435" s="68">
        <v>0</v>
      </c>
      <c r="T435" s="41"/>
      <c r="U435" s="11"/>
      <c r="V435" s="41"/>
      <c r="W435" s="68">
        <v>0</v>
      </c>
      <c r="X435" s="44">
        <v>0</v>
      </c>
      <c r="Y435" s="44">
        <v>0</v>
      </c>
    </row>
    <row r="436" spans="1:25" x14ac:dyDescent="0.2">
      <c r="A436" s="49"/>
      <c r="B436" s="49" t="s">
        <v>36</v>
      </c>
      <c r="C436" s="40">
        <v>0</v>
      </c>
      <c r="D436" s="40">
        <v>0</v>
      </c>
      <c r="E436" s="40">
        <v>0</v>
      </c>
      <c r="F436" s="40"/>
      <c r="G436" s="40">
        <v>0</v>
      </c>
      <c r="H436" s="40">
        <v>0</v>
      </c>
      <c r="I436" s="40">
        <v>0</v>
      </c>
      <c r="J436" s="68">
        <v>0</v>
      </c>
      <c r="K436" s="43"/>
      <c r="L436" s="40">
        <v>0</v>
      </c>
      <c r="M436" s="40">
        <v>0</v>
      </c>
      <c r="N436" s="40">
        <v>0</v>
      </c>
      <c r="O436" s="40">
        <v>0</v>
      </c>
      <c r="P436" s="40">
        <v>0</v>
      </c>
      <c r="Q436" s="40"/>
      <c r="R436" s="40">
        <v>0</v>
      </c>
      <c r="S436" s="68">
        <v>0</v>
      </c>
      <c r="T436" s="41"/>
      <c r="U436" s="11"/>
      <c r="V436" s="41"/>
      <c r="W436" s="68">
        <v>0</v>
      </c>
      <c r="X436" s="44">
        <v>0</v>
      </c>
      <c r="Y436" s="44">
        <v>0</v>
      </c>
    </row>
    <row r="437" spans="1:25" x14ac:dyDescent="0.2">
      <c r="A437" s="49"/>
      <c r="B437" s="49" t="s">
        <v>36</v>
      </c>
      <c r="C437" s="40">
        <v>0</v>
      </c>
      <c r="D437" s="40">
        <v>0</v>
      </c>
      <c r="E437" s="40">
        <v>0</v>
      </c>
      <c r="F437" s="40"/>
      <c r="G437" s="40">
        <v>0</v>
      </c>
      <c r="H437" s="40">
        <v>0</v>
      </c>
      <c r="I437" s="40">
        <v>0</v>
      </c>
      <c r="J437" s="68">
        <v>0</v>
      </c>
      <c r="K437" s="43"/>
      <c r="L437" s="40">
        <v>0</v>
      </c>
      <c r="M437" s="40">
        <v>0</v>
      </c>
      <c r="N437" s="40">
        <v>0</v>
      </c>
      <c r="O437" s="40">
        <v>0</v>
      </c>
      <c r="P437" s="40">
        <v>0</v>
      </c>
      <c r="Q437" s="40"/>
      <c r="R437" s="40">
        <v>0</v>
      </c>
      <c r="S437" s="68">
        <v>0</v>
      </c>
      <c r="T437" s="41"/>
      <c r="U437" s="11"/>
      <c r="V437" s="41"/>
      <c r="W437" s="68">
        <v>0</v>
      </c>
      <c r="X437" s="44">
        <v>0</v>
      </c>
      <c r="Y437" s="44">
        <v>0</v>
      </c>
    </row>
    <row r="438" spans="1:25" x14ac:dyDescent="0.2">
      <c r="A438" s="49"/>
      <c r="B438" s="49" t="s">
        <v>36</v>
      </c>
      <c r="C438" s="40">
        <v>0</v>
      </c>
      <c r="D438" s="40">
        <v>0</v>
      </c>
      <c r="E438" s="40">
        <v>0</v>
      </c>
      <c r="F438" s="40"/>
      <c r="G438" s="40">
        <v>0</v>
      </c>
      <c r="H438" s="40">
        <v>0</v>
      </c>
      <c r="I438" s="40">
        <v>0</v>
      </c>
      <c r="J438" s="68">
        <v>0</v>
      </c>
      <c r="K438" s="43"/>
      <c r="L438" s="40">
        <v>0</v>
      </c>
      <c r="M438" s="40">
        <v>0</v>
      </c>
      <c r="N438" s="40">
        <v>0</v>
      </c>
      <c r="O438" s="40">
        <v>0</v>
      </c>
      <c r="P438" s="40">
        <v>0</v>
      </c>
      <c r="Q438" s="40"/>
      <c r="R438" s="40">
        <v>0</v>
      </c>
      <c r="S438" s="68">
        <v>0</v>
      </c>
      <c r="T438" s="41"/>
      <c r="U438" s="11"/>
      <c r="V438" s="41"/>
      <c r="W438" s="68">
        <v>0</v>
      </c>
      <c r="X438" s="44">
        <v>0</v>
      </c>
      <c r="Y438" s="44">
        <v>0</v>
      </c>
    </row>
    <row r="439" spans="1:25" x14ac:dyDescent="0.2">
      <c r="A439" s="49"/>
      <c r="B439" s="49" t="s">
        <v>36</v>
      </c>
      <c r="C439" s="40">
        <v>0</v>
      </c>
      <c r="D439" s="40">
        <v>0</v>
      </c>
      <c r="E439" s="40">
        <v>0</v>
      </c>
      <c r="F439" s="40"/>
      <c r="G439" s="40">
        <v>0</v>
      </c>
      <c r="H439" s="40">
        <v>0</v>
      </c>
      <c r="I439" s="40">
        <v>0</v>
      </c>
      <c r="J439" s="68">
        <v>0</v>
      </c>
      <c r="K439" s="43"/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/>
      <c r="R439" s="40">
        <v>0</v>
      </c>
      <c r="S439" s="68">
        <v>0</v>
      </c>
      <c r="T439" s="41"/>
      <c r="U439" s="11"/>
      <c r="V439" s="41"/>
      <c r="W439" s="68">
        <v>0</v>
      </c>
      <c r="X439" s="44">
        <v>0</v>
      </c>
      <c r="Y439" s="44">
        <v>0</v>
      </c>
    </row>
    <row r="440" spans="1:25" x14ac:dyDescent="0.2">
      <c r="A440" s="49"/>
      <c r="B440" s="49" t="s">
        <v>36</v>
      </c>
      <c r="C440" s="40">
        <v>0</v>
      </c>
      <c r="D440" s="40">
        <v>0</v>
      </c>
      <c r="E440" s="40">
        <v>0</v>
      </c>
      <c r="F440" s="40"/>
      <c r="G440" s="40">
        <v>0</v>
      </c>
      <c r="H440" s="40">
        <v>0</v>
      </c>
      <c r="I440" s="40">
        <v>0</v>
      </c>
      <c r="J440" s="68">
        <v>0</v>
      </c>
      <c r="K440" s="43"/>
      <c r="L440" s="40">
        <v>0</v>
      </c>
      <c r="M440" s="40">
        <v>0</v>
      </c>
      <c r="N440" s="40">
        <v>0</v>
      </c>
      <c r="O440" s="40">
        <v>0</v>
      </c>
      <c r="P440" s="40">
        <v>0</v>
      </c>
      <c r="Q440" s="40"/>
      <c r="R440" s="40">
        <v>0</v>
      </c>
      <c r="S440" s="68">
        <v>0</v>
      </c>
      <c r="T440" s="41"/>
      <c r="U440" s="11"/>
      <c r="V440" s="41"/>
      <c r="W440" s="68">
        <v>0</v>
      </c>
      <c r="X440" s="44">
        <v>0</v>
      </c>
      <c r="Y440" s="44">
        <v>0</v>
      </c>
    </row>
    <row r="441" spans="1:25" x14ac:dyDescent="0.2">
      <c r="A441" s="49"/>
      <c r="B441" s="49" t="s">
        <v>36</v>
      </c>
      <c r="C441" s="40">
        <v>0</v>
      </c>
      <c r="D441" s="40">
        <v>0</v>
      </c>
      <c r="E441" s="40">
        <v>0</v>
      </c>
      <c r="F441" s="40"/>
      <c r="G441" s="40">
        <v>0</v>
      </c>
      <c r="H441" s="40">
        <v>0</v>
      </c>
      <c r="I441" s="40">
        <v>0</v>
      </c>
      <c r="J441" s="68">
        <v>0</v>
      </c>
      <c r="K441" s="43"/>
      <c r="L441" s="40">
        <v>0</v>
      </c>
      <c r="M441" s="40">
        <v>0</v>
      </c>
      <c r="N441" s="40">
        <v>0</v>
      </c>
      <c r="O441" s="40">
        <v>0</v>
      </c>
      <c r="P441" s="40">
        <v>0</v>
      </c>
      <c r="Q441" s="40"/>
      <c r="R441" s="40">
        <v>0</v>
      </c>
      <c r="S441" s="68">
        <v>0</v>
      </c>
      <c r="T441" s="41"/>
      <c r="U441" s="11"/>
      <c r="V441" s="41"/>
      <c r="W441" s="68">
        <v>0</v>
      </c>
      <c r="X441" s="44">
        <v>0</v>
      </c>
      <c r="Y441" s="44">
        <v>0</v>
      </c>
    </row>
    <row r="442" spans="1:25" x14ac:dyDescent="0.2">
      <c r="A442" s="49"/>
      <c r="B442" s="49" t="s">
        <v>36</v>
      </c>
      <c r="C442" s="40">
        <v>0</v>
      </c>
      <c r="D442" s="40">
        <v>0</v>
      </c>
      <c r="E442" s="40">
        <v>0</v>
      </c>
      <c r="F442" s="40"/>
      <c r="G442" s="40">
        <v>0</v>
      </c>
      <c r="H442" s="40">
        <v>0</v>
      </c>
      <c r="I442" s="40">
        <v>0</v>
      </c>
      <c r="J442" s="68">
        <v>0</v>
      </c>
      <c r="K442" s="43"/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0"/>
      <c r="R442" s="40">
        <v>0</v>
      </c>
      <c r="S442" s="68">
        <v>0</v>
      </c>
      <c r="T442" s="41"/>
      <c r="U442" s="11"/>
      <c r="V442" s="41"/>
      <c r="W442" s="68">
        <v>0</v>
      </c>
      <c r="X442" s="44">
        <v>0</v>
      </c>
      <c r="Y442" s="44">
        <v>0</v>
      </c>
    </row>
    <row r="443" spans="1:25" x14ac:dyDescent="0.2">
      <c r="A443" s="49"/>
      <c r="B443" s="49" t="s">
        <v>36</v>
      </c>
      <c r="C443" s="40">
        <v>0</v>
      </c>
      <c r="D443" s="40">
        <v>0</v>
      </c>
      <c r="E443" s="40">
        <v>0</v>
      </c>
      <c r="F443" s="40"/>
      <c r="G443" s="40">
        <v>0</v>
      </c>
      <c r="H443" s="40">
        <v>0</v>
      </c>
      <c r="I443" s="40">
        <v>0</v>
      </c>
      <c r="J443" s="68">
        <v>0</v>
      </c>
      <c r="K443" s="43"/>
      <c r="L443" s="40">
        <v>0</v>
      </c>
      <c r="M443" s="40">
        <v>0</v>
      </c>
      <c r="N443" s="40">
        <v>0</v>
      </c>
      <c r="O443" s="40">
        <v>0</v>
      </c>
      <c r="P443" s="40">
        <v>0</v>
      </c>
      <c r="Q443" s="40"/>
      <c r="R443" s="40">
        <v>0</v>
      </c>
      <c r="S443" s="68">
        <v>0</v>
      </c>
      <c r="T443" s="41"/>
      <c r="U443" s="11"/>
      <c r="V443" s="41"/>
      <c r="W443" s="68">
        <v>0</v>
      </c>
      <c r="X443" s="44">
        <v>0</v>
      </c>
      <c r="Y443" s="44">
        <v>0</v>
      </c>
    </row>
    <row r="444" spans="1:25" x14ac:dyDescent="0.2">
      <c r="A444" s="49"/>
      <c r="B444" s="49" t="s">
        <v>36</v>
      </c>
      <c r="C444" s="40">
        <v>0</v>
      </c>
      <c r="D444" s="40">
        <v>0</v>
      </c>
      <c r="E444" s="40">
        <v>0</v>
      </c>
      <c r="F444" s="40"/>
      <c r="G444" s="40">
        <v>0</v>
      </c>
      <c r="H444" s="40">
        <v>0</v>
      </c>
      <c r="I444" s="40">
        <v>0</v>
      </c>
      <c r="J444" s="68">
        <v>0</v>
      </c>
      <c r="K444" s="43"/>
      <c r="L444" s="40">
        <v>0</v>
      </c>
      <c r="M444" s="40">
        <v>0</v>
      </c>
      <c r="N444" s="40">
        <v>0</v>
      </c>
      <c r="O444" s="40">
        <v>0</v>
      </c>
      <c r="P444" s="40">
        <v>0</v>
      </c>
      <c r="Q444" s="40"/>
      <c r="R444" s="40">
        <v>0</v>
      </c>
      <c r="S444" s="68">
        <v>0</v>
      </c>
      <c r="T444" s="41"/>
      <c r="U444" s="11"/>
      <c r="V444" s="41"/>
      <c r="W444" s="68">
        <v>0</v>
      </c>
      <c r="X444" s="44">
        <v>0</v>
      </c>
      <c r="Y444" s="44">
        <v>0</v>
      </c>
    </row>
    <row r="445" spans="1:25" x14ac:dyDescent="0.2">
      <c r="A445" s="49"/>
      <c r="B445" s="49" t="s">
        <v>36</v>
      </c>
      <c r="C445" s="40">
        <v>0</v>
      </c>
      <c r="D445" s="40">
        <v>0</v>
      </c>
      <c r="E445" s="40">
        <v>0</v>
      </c>
      <c r="F445" s="40"/>
      <c r="G445" s="40">
        <v>0</v>
      </c>
      <c r="H445" s="40">
        <v>0</v>
      </c>
      <c r="I445" s="40">
        <v>0</v>
      </c>
      <c r="J445" s="68">
        <v>0</v>
      </c>
      <c r="K445" s="43"/>
      <c r="L445" s="40">
        <v>0</v>
      </c>
      <c r="M445" s="40">
        <v>0</v>
      </c>
      <c r="N445" s="40">
        <v>0</v>
      </c>
      <c r="O445" s="40">
        <v>0</v>
      </c>
      <c r="P445" s="40">
        <v>0</v>
      </c>
      <c r="Q445" s="40"/>
      <c r="R445" s="40">
        <v>0</v>
      </c>
      <c r="S445" s="68">
        <v>0</v>
      </c>
      <c r="T445" s="41"/>
      <c r="U445" s="11"/>
      <c r="V445" s="41"/>
      <c r="W445" s="68">
        <v>0</v>
      </c>
      <c r="X445" s="44">
        <v>0</v>
      </c>
      <c r="Y445" s="44">
        <v>0</v>
      </c>
    </row>
    <row r="446" spans="1:25" x14ac:dyDescent="0.2">
      <c r="A446" s="49"/>
      <c r="B446" s="49" t="s">
        <v>36</v>
      </c>
      <c r="C446" s="40">
        <v>0</v>
      </c>
      <c r="D446" s="40">
        <v>0</v>
      </c>
      <c r="E446" s="40">
        <v>0</v>
      </c>
      <c r="F446" s="40"/>
      <c r="G446" s="40">
        <v>0</v>
      </c>
      <c r="H446" s="40">
        <v>0</v>
      </c>
      <c r="I446" s="40">
        <v>0</v>
      </c>
      <c r="J446" s="68">
        <v>0</v>
      </c>
      <c r="K446" s="43"/>
      <c r="L446" s="40">
        <v>0</v>
      </c>
      <c r="M446" s="40">
        <v>0</v>
      </c>
      <c r="N446" s="40">
        <v>0</v>
      </c>
      <c r="O446" s="40">
        <v>0</v>
      </c>
      <c r="P446" s="40">
        <v>0</v>
      </c>
      <c r="Q446" s="40"/>
      <c r="R446" s="40">
        <v>0</v>
      </c>
      <c r="S446" s="68">
        <v>0</v>
      </c>
      <c r="T446" s="41"/>
      <c r="U446" s="11"/>
      <c r="V446" s="41"/>
      <c r="W446" s="68">
        <v>0</v>
      </c>
      <c r="X446" s="44">
        <v>0</v>
      </c>
      <c r="Y446" s="44">
        <v>0</v>
      </c>
    </row>
    <row r="447" spans="1:25" x14ac:dyDescent="0.2">
      <c r="A447" s="49"/>
      <c r="B447" s="49" t="s">
        <v>36</v>
      </c>
      <c r="C447" s="40">
        <v>0</v>
      </c>
      <c r="D447" s="40">
        <v>0</v>
      </c>
      <c r="E447" s="40">
        <v>0</v>
      </c>
      <c r="F447" s="40"/>
      <c r="G447" s="40">
        <v>0</v>
      </c>
      <c r="H447" s="40">
        <v>0</v>
      </c>
      <c r="I447" s="40">
        <v>0</v>
      </c>
      <c r="J447" s="68">
        <v>0</v>
      </c>
      <c r="K447" s="43"/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/>
      <c r="R447" s="40">
        <v>0</v>
      </c>
      <c r="S447" s="68">
        <v>0</v>
      </c>
      <c r="T447" s="41"/>
      <c r="U447" s="11"/>
      <c r="V447" s="41"/>
      <c r="W447" s="68">
        <v>0</v>
      </c>
      <c r="X447" s="44">
        <v>0</v>
      </c>
      <c r="Y447" s="44">
        <v>0</v>
      </c>
    </row>
    <row r="448" spans="1:25" x14ac:dyDescent="0.2">
      <c r="A448" s="49"/>
      <c r="B448" s="49" t="s">
        <v>36</v>
      </c>
      <c r="C448" s="40">
        <v>0</v>
      </c>
      <c r="D448" s="40">
        <v>0</v>
      </c>
      <c r="E448" s="40">
        <v>0</v>
      </c>
      <c r="F448" s="40"/>
      <c r="G448" s="40">
        <v>0</v>
      </c>
      <c r="H448" s="40">
        <v>0</v>
      </c>
      <c r="I448" s="40">
        <v>0</v>
      </c>
      <c r="J448" s="68">
        <v>0</v>
      </c>
      <c r="K448" s="43"/>
      <c r="L448" s="40">
        <v>0</v>
      </c>
      <c r="M448" s="40">
        <v>0</v>
      </c>
      <c r="N448" s="40">
        <v>0</v>
      </c>
      <c r="O448" s="40">
        <v>0</v>
      </c>
      <c r="P448" s="40">
        <v>0</v>
      </c>
      <c r="Q448" s="40"/>
      <c r="R448" s="40">
        <v>0</v>
      </c>
      <c r="S448" s="68">
        <v>0</v>
      </c>
      <c r="T448" s="41"/>
      <c r="U448" s="11"/>
      <c r="V448" s="41"/>
      <c r="W448" s="68">
        <v>0</v>
      </c>
      <c r="X448" s="44">
        <v>0</v>
      </c>
      <c r="Y448" s="44">
        <v>0</v>
      </c>
    </row>
    <row r="449" spans="1:25" x14ac:dyDescent="0.2">
      <c r="A449" s="49"/>
      <c r="B449" s="49" t="s">
        <v>36</v>
      </c>
      <c r="C449" s="40">
        <v>0</v>
      </c>
      <c r="D449" s="40">
        <v>0</v>
      </c>
      <c r="E449" s="40">
        <v>0</v>
      </c>
      <c r="F449" s="40"/>
      <c r="G449" s="40">
        <v>0</v>
      </c>
      <c r="H449" s="40">
        <v>0</v>
      </c>
      <c r="I449" s="40">
        <v>0</v>
      </c>
      <c r="J449" s="68">
        <v>0</v>
      </c>
      <c r="K449" s="43"/>
      <c r="L449" s="40">
        <v>0</v>
      </c>
      <c r="M449" s="40">
        <v>0</v>
      </c>
      <c r="N449" s="40">
        <v>0</v>
      </c>
      <c r="O449" s="40">
        <v>0</v>
      </c>
      <c r="P449" s="40">
        <v>0</v>
      </c>
      <c r="Q449" s="40"/>
      <c r="R449" s="40">
        <v>0</v>
      </c>
      <c r="S449" s="68">
        <v>0</v>
      </c>
      <c r="T449" s="41"/>
      <c r="U449" s="11"/>
      <c r="V449" s="41"/>
      <c r="W449" s="68">
        <v>0</v>
      </c>
      <c r="X449" s="44">
        <v>0</v>
      </c>
      <c r="Y449" s="44">
        <v>0</v>
      </c>
    </row>
    <row r="450" spans="1:25" x14ac:dyDescent="0.2">
      <c r="A450" s="49"/>
      <c r="B450" s="49" t="s">
        <v>36</v>
      </c>
      <c r="C450" s="40">
        <v>0</v>
      </c>
      <c r="D450" s="40">
        <v>0</v>
      </c>
      <c r="E450" s="40">
        <v>0</v>
      </c>
      <c r="F450" s="40"/>
      <c r="G450" s="40">
        <v>0</v>
      </c>
      <c r="H450" s="40">
        <v>0</v>
      </c>
      <c r="I450" s="40">
        <v>0</v>
      </c>
      <c r="J450" s="68">
        <v>0</v>
      </c>
      <c r="K450" s="43"/>
      <c r="L450" s="40">
        <v>0</v>
      </c>
      <c r="M450" s="40">
        <v>0</v>
      </c>
      <c r="N450" s="40">
        <v>0</v>
      </c>
      <c r="O450" s="40">
        <v>0</v>
      </c>
      <c r="P450" s="40">
        <v>0</v>
      </c>
      <c r="Q450" s="40"/>
      <c r="R450" s="40">
        <v>0</v>
      </c>
      <c r="S450" s="68">
        <v>0</v>
      </c>
      <c r="T450" s="41"/>
      <c r="U450" s="11"/>
      <c r="V450" s="41"/>
      <c r="W450" s="68">
        <v>0</v>
      </c>
      <c r="X450" s="44">
        <v>0</v>
      </c>
      <c r="Y450" s="44">
        <v>0</v>
      </c>
    </row>
    <row r="451" spans="1:25" x14ac:dyDescent="0.2">
      <c r="A451" s="49"/>
      <c r="B451" s="49" t="s">
        <v>36</v>
      </c>
      <c r="C451" s="40">
        <v>0</v>
      </c>
      <c r="D451" s="40">
        <v>0</v>
      </c>
      <c r="E451" s="40">
        <v>0</v>
      </c>
      <c r="F451" s="40"/>
      <c r="G451" s="40">
        <v>0</v>
      </c>
      <c r="H451" s="40">
        <v>0</v>
      </c>
      <c r="I451" s="40">
        <v>0</v>
      </c>
      <c r="J451" s="68">
        <v>0</v>
      </c>
      <c r="K451" s="43"/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/>
      <c r="R451" s="40">
        <v>0</v>
      </c>
      <c r="S451" s="68">
        <v>0</v>
      </c>
      <c r="T451" s="41"/>
      <c r="U451" s="11"/>
      <c r="V451" s="41"/>
      <c r="W451" s="68">
        <v>0</v>
      </c>
      <c r="X451" s="44">
        <v>0</v>
      </c>
      <c r="Y451" s="44">
        <v>0</v>
      </c>
    </row>
    <row r="452" spans="1:25" x14ac:dyDescent="0.2">
      <c r="A452" s="49"/>
      <c r="B452" s="49" t="s">
        <v>36</v>
      </c>
      <c r="C452" s="40">
        <v>0</v>
      </c>
      <c r="D452" s="40">
        <v>0</v>
      </c>
      <c r="E452" s="40">
        <v>0</v>
      </c>
      <c r="F452" s="40"/>
      <c r="G452" s="40">
        <v>0</v>
      </c>
      <c r="H452" s="40">
        <v>0</v>
      </c>
      <c r="I452" s="40">
        <v>0</v>
      </c>
      <c r="J452" s="68">
        <v>0</v>
      </c>
      <c r="K452" s="43"/>
      <c r="L452" s="40">
        <v>0</v>
      </c>
      <c r="M452" s="40">
        <v>0</v>
      </c>
      <c r="N452" s="40">
        <v>0</v>
      </c>
      <c r="O452" s="40">
        <v>0</v>
      </c>
      <c r="P452" s="40">
        <v>0</v>
      </c>
      <c r="Q452" s="40"/>
      <c r="R452" s="40">
        <v>0</v>
      </c>
      <c r="S452" s="68">
        <v>0</v>
      </c>
      <c r="T452" s="41"/>
      <c r="U452" s="11"/>
      <c r="V452" s="41"/>
      <c r="W452" s="68">
        <v>0</v>
      </c>
      <c r="X452" s="44">
        <v>0</v>
      </c>
      <c r="Y452" s="44">
        <v>0</v>
      </c>
    </row>
    <row r="453" spans="1:25" x14ac:dyDescent="0.2">
      <c r="A453" s="49"/>
      <c r="B453" s="49" t="s">
        <v>36</v>
      </c>
      <c r="C453" s="40">
        <v>0</v>
      </c>
      <c r="D453" s="40">
        <v>0</v>
      </c>
      <c r="E453" s="40">
        <v>0</v>
      </c>
      <c r="F453" s="40"/>
      <c r="G453" s="40">
        <v>0</v>
      </c>
      <c r="H453" s="40">
        <v>0</v>
      </c>
      <c r="I453" s="40">
        <v>0</v>
      </c>
      <c r="J453" s="68">
        <v>0</v>
      </c>
      <c r="K453" s="43"/>
      <c r="L453" s="40">
        <v>0</v>
      </c>
      <c r="M453" s="40">
        <v>0</v>
      </c>
      <c r="N453" s="40">
        <v>0</v>
      </c>
      <c r="O453" s="40">
        <v>0</v>
      </c>
      <c r="P453" s="40">
        <v>0</v>
      </c>
      <c r="Q453" s="40"/>
      <c r="R453" s="40">
        <v>0</v>
      </c>
      <c r="S453" s="68">
        <v>0</v>
      </c>
      <c r="T453" s="41"/>
      <c r="U453" s="11"/>
      <c r="V453" s="41"/>
      <c r="W453" s="68">
        <v>0</v>
      </c>
      <c r="X453" s="44">
        <v>0</v>
      </c>
      <c r="Y453" s="44">
        <v>0</v>
      </c>
    </row>
    <row r="454" spans="1:25" x14ac:dyDescent="0.2">
      <c r="A454" s="49"/>
      <c r="B454" s="49" t="s">
        <v>36</v>
      </c>
      <c r="C454" s="40">
        <v>0</v>
      </c>
      <c r="D454" s="40">
        <v>0</v>
      </c>
      <c r="E454" s="40">
        <v>0</v>
      </c>
      <c r="F454" s="40"/>
      <c r="G454" s="40">
        <v>0</v>
      </c>
      <c r="H454" s="40">
        <v>0</v>
      </c>
      <c r="I454" s="40">
        <v>0</v>
      </c>
      <c r="J454" s="68">
        <v>0</v>
      </c>
      <c r="K454" s="43"/>
      <c r="L454" s="40">
        <v>0</v>
      </c>
      <c r="M454" s="40">
        <v>0</v>
      </c>
      <c r="N454" s="40">
        <v>0</v>
      </c>
      <c r="O454" s="40">
        <v>0</v>
      </c>
      <c r="P454" s="40">
        <v>0</v>
      </c>
      <c r="Q454" s="40"/>
      <c r="R454" s="40">
        <v>0</v>
      </c>
      <c r="S454" s="68">
        <v>0</v>
      </c>
      <c r="T454" s="41"/>
      <c r="U454" s="11"/>
      <c r="V454" s="41"/>
      <c r="W454" s="68">
        <v>0</v>
      </c>
      <c r="X454" s="44">
        <v>0</v>
      </c>
      <c r="Y454" s="44">
        <v>0</v>
      </c>
    </row>
    <row r="455" spans="1:25" x14ac:dyDescent="0.2">
      <c r="A455" s="49"/>
      <c r="B455" s="49" t="s">
        <v>36</v>
      </c>
      <c r="C455" s="40">
        <v>0</v>
      </c>
      <c r="D455" s="40">
        <v>0</v>
      </c>
      <c r="E455" s="40">
        <v>0</v>
      </c>
      <c r="F455" s="40"/>
      <c r="G455" s="40">
        <v>0</v>
      </c>
      <c r="H455" s="40">
        <v>0</v>
      </c>
      <c r="I455" s="40">
        <v>0</v>
      </c>
      <c r="J455" s="68">
        <v>0</v>
      </c>
      <c r="K455" s="43"/>
      <c r="L455" s="40">
        <v>0</v>
      </c>
      <c r="M455" s="40">
        <v>0</v>
      </c>
      <c r="N455" s="40">
        <v>0</v>
      </c>
      <c r="O455" s="40">
        <v>0</v>
      </c>
      <c r="P455" s="40">
        <v>0</v>
      </c>
      <c r="Q455" s="40"/>
      <c r="R455" s="40">
        <v>0</v>
      </c>
      <c r="S455" s="68">
        <v>0</v>
      </c>
      <c r="T455" s="41"/>
      <c r="U455" s="11"/>
      <c r="V455" s="41"/>
      <c r="W455" s="68">
        <v>0</v>
      </c>
      <c r="X455" s="44">
        <v>0</v>
      </c>
      <c r="Y455" s="44">
        <v>0</v>
      </c>
    </row>
    <row r="456" spans="1:25" x14ac:dyDescent="0.2">
      <c r="A456" s="49"/>
      <c r="B456" s="49" t="s">
        <v>36</v>
      </c>
      <c r="C456" s="40">
        <v>0</v>
      </c>
      <c r="D456" s="40">
        <v>0</v>
      </c>
      <c r="E456" s="40">
        <v>0</v>
      </c>
      <c r="F456" s="40"/>
      <c r="G456" s="40">
        <v>0</v>
      </c>
      <c r="H456" s="40">
        <v>0</v>
      </c>
      <c r="I456" s="40">
        <v>0</v>
      </c>
      <c r="J456" s="68">
        <v>0</v>
      </c>
      <c r="K456" s="43"/>
      <c r="L456" s="40">
        <v>0</v>
      </c>
      <c r="M456" s="40">
        <v>0</v>
      </c>
      <c r="N456" s="40">
        <v>0</v>
      </c>
      <c r="O456" s="40">
        <v>0</v>
      </c>
      <c r="P456" s="40">
        <v>0</v>
      </c>
      <c r="Q456" s="40"/>
      <c r="R456" s="40">
        <v>0</v>
      </c>
      <c r="S456" s="68">
        <v>0</v>
      </c>
      <c r="T456" s="41"/>
      <c r="U456" s="11"/>
      <c r="V456" s="41"/>
      <c r="W456" s="68">
        <v>0</v>
      </c>
      <c r="X456" s="44">
        <v>0</v>
      </c>
      <c r="Y456" s="44">
        <v>0</v>
      </c>
    </row>
    <row r="457" spans="1:25" x14ac:dyDescent="0.2">
      <c r="A457" s="49"/>
      <c r="B457" s="49" t="s">
        <v>36</v>
      </c>
      <c r="C457" s="40">
        <v>0</v>
      </c>
      <c r="D457" s="40">
        <v>0</v>
      </c>
      <c r="E457" s="40">
        <v>0</v>
      </c>
      <c r="F457" s="40"/>
      <c r="G457" s="40">
        <v>0</v>
      </c>
      <c r="H457" s="40">
        <v>0</v>
      </c>
      <c r="I457" s="40">
        <v>0</v>
      </c>
      <c r="J457" s="68">
        <v>0</v>
      </c>
      <c r="K457" s="43"/>
      <c r="L457" s="40">
        <v>0</v>
      </c>
      <c r="M457" s="40">
        <v>0</v>
      </c>
      <c r="N457" s="40">
        <v>0</v>
      </c>
      <c r="O457" s="40">
        <v>0</v>
      </c>
      <c r="P457" s="40">
        <v>0</v>
      </c>
      <c r="Q457" s="40"/>
      <c r="R457" s="40">
        <v>0</v>
      </c>
      <c r="S457" s="68">
        <v>0</v>
      </c>
      <c r="T457" s="41"/>
      <c r="U457" s="11"/>
      <c r="V457" s="41"/>
      <c r="W457" s="68">
        <v>0</v>
      </c>
      <c r="X457" s="44">
        <v>0</v>
      </c>
      <c r="Y457" s="44">
        <v>0</v>
      </c>
    </row>
    <row r="458" spans="1:25" x14ac:dyDescent="0.2">
      <c r="A458" s="49"/>
      <c r="B458" s="49" t="s">
        <v>36</v>
      </c>
      <c r="C458" s="40">
        <v>0</v>
      </c>
      <c r="D458" s="40">
        <v>0</v>
      </c>
      <c r="E458" s="40">
        <v>0</v>
      </c>
      <c r="F458" s="40"/>
      <c r="G458" s="40">
        <v>0</v>
      </c>
      <c r="H458" s="40">
        <v>0</v>
      </c>
      <c r="I458" s="40">
        <v>0</v>
      </c>
      <c r="J458" s="68">
        <v>0</v>
      </c>
      <c r="K458" s="43"/>
      <c r="L458" s="40">
        <v>0</v>
      </c>
      <c r="M458" s="40">
        <v>0</v>
      </c>
      <c r="N458" s="40">
        <v>0</v>
      </c>
      <c r="O458" s="40">
        <v>0</v>
      </c>
      <c r="P458" s="40">
        <v>0</v>
      </c>
      <c r="Q458" s="40"/>
      <c r="R458" s="40">
        <v>0</v>
      </c>
      <c r="S458" s="68">
        <v>0</v>
      </c>
      <c r="T458" s="41"/>
      <c r="U458" s="11"/>
      <c r="V458" s="41"/>
      <c r="W458" s="68">
        <v>0</v>
      </c>
      <c r="X458" s="44">
        <v>0</v>
      </c>
      <c r="Y458" s="44">
        <v>0</v>
      </c>
    </row>
    <row r="459" spans="1:25" x14ac:dyDescent="0.2">
      <c r="A459" s="49"/>
      <c r="B459" s="49" t="s">
        <v>36</v>
      </c>
      <c r="C459" s="40">
        <v>0</v>
      </c>
      <c r="D459" s="40">
        <v>0</v>
      </c>
      <c r="E459" s="40">
        <v>0</v>
      </c>
      <c r="F459" s="40"/>
      <c r="G459" s="40">
        <v>0</v>
      </c>
      <c r="H459" s="40">
        <v>0</v>
      </c>
      <c r="I459" s="40">
        <v>0</v>
      </c>
      <c r="J459" s="68">
        <v>0</v>
      </c>
      <c r="K459" s="43"/>
      <c r="L459" s="40">
        <v>0</v>
      </c>
      <c r="M459" s="40">
        <v>0</v>
      </c>
      <c r="N459" s="40">
        <v>0</v>
      </c>
      <c r="O459" s="40">
        <v>0</v>
      </c>
      <c r="P459" s="40">
        <v>0</v>
      </c>
      <c r="Q459" s="40"/>
      <c r="R459" s="40">
        <v>0</v>
      </c>
      <c r="S459" s="68">
        <v>0</v>
      </c>
      <c r="T459" s="41"/>
      <c r="U459" s="11"/>
      <c r="V459" s="41"/>
      <c r="W459" s="68">
        <v>0</v>
      </c>
      <c r="X459" s="44">
        <v>0</v>
      </c>
      <c r="Y459" s="44">
        <v>0</v>
      </c>
    </row>
    <row r="460" spans="1:25" x14ac:dyDescent="0.2">
      <c r="A460" s="49"/>
      <c r="B460" s="49" t="s">
        <v>36</v>
      </c>
      <c r="C460" s="40">
        <v>0</v>
      </c>
      <c r="D460" s="40">
        <v>0</v>
      </c>
      <c r="E460" s="40">
        <v>0</v>
      </c>
      <c r="F460" s="40"/>
      <c r="G460" s="40">
        <v>0</v>
      </c>
      <c r="H460" s="40">
        <v>0</v>
      </c>
      <c r="I460" s="40">
        <v>0</v>
      </c>
      <c r="J460" s="68">
        <v>0</v>
      </c>
      <c r="K460" s="43"/>
      <c r="L460" s="40">
        <v>0</v>
      </c>
      <c r="M460" s="40">
        <v>0</v>
      </c>
      <c r="N460" s="40">
        <v>0</v>
      </c>
      <c r="O460" s="40">
        <v>0</v>
      </c>
      <c r="P460" s="40">
        <v>0</v>
      </c>
      <c r="Q460" s="40"/>
      <c r="R460" s="40">
        <v>0</v>
      </c>
      <c r="S460" s="68">
        <v>0</v>
      </c>
      <c r="T460" s="41"/>
      <c r="U460" s="11"/>
      <c r="V460" s="41"/>
      <c r="W460" s="68">
        <v>0</v>
      </c>
      <c r="X460" s="44">
        <v>0</v>
      </c>
      <c r="Y460" s="44">
        <v>0</v>
      </c>
    </row>
    <row r="461" spans="1:25" x14ac:dyDescent="0.2">
      <c r="A461" s="49"/>
      <c r="B461" s="49" t="s">
        <v>36</v>
      </c>
      <c r="C461" s="40">
        <v>0</v>
      </c>
      <c r="D461" s="40">
        <v>0</v>
      </c>
      <c r="E461" s="40">
        <v>0</v>
      </c>
      <c r="F461" s="40"/>
      <c r="G461" s="40">
        <v>0</v>
      </c>
      <c r="H461" s="40">
        <v>0</v>
      </c>
      <c r="I461" s="40">
        <v>0</v>
      </c>
      <c r="J461" s="68">
        <v>0</v>
      </c>
      <c r="K461" s="43"/>
      <c r="L461" s="40">
        <v>0</v>
      </c>
      <c r="M461" s="40">
        <v>0</v>
      </c>
      <c r="N461" s="40">
        <v>0</v>
      </c>
      <c r="O461" s="40">
        <v>0</v>
      </c>
      <c r="P461" s="40">
        <v>0</v>
      </c>
      <c r="Q461" s="40"/>
      <c r="R461" s="40">
        <v>0</v>
      </c>
      <c r="S461" s="68">
        <v>0</v>
      </c>
      <c r="T461" s="41"/>
      <c r="U461" s="11"/>
      <c r="V461" s="41"/>
      <c r="W461" s="68">
        <v>0</v>
      </c>
      <c r="X461" s="44">
        <v>0</v>
      </c>
      <c r="Y461" s="44">
        <v>0</v>
      </c>
    </row>
    <row r="462" spans="1:25" x14ac:dyDescent="0.2">
      <c r="A462" s="49"/>
      <c r="B462" s="49" t="s">
        <v>36</v>
      </c>
      <c r="C462" s="40">
        <v>0</v>
      </c>
      <c r="D462" s="40">
        <v>0</v>
      </c>
      <c r="E462" s="40">
        <v>0</v>
      </c>
      <c r="F462" s="40"/>
      <c r="G462" s="40">
        <v>0</v>
      </c>
      <c r="H462" s="40">
        <v>0</v>
      </c>
      <c r="I462" s="40">
        <v>0</v>
      </c>
      <c r="J462" s="68">
        <v>0</v>
      </c>
      <c r="K462" s="43"/>
      <c r="L462" s="40">
        <v>0</v>
      </c>
      <c r="M462" s="40">
        <v>0</v>
      </c>
      <c r="N462" s="40">
        <v>0</v>
      </c>
      <c r="O462" s="40">
        <v>0</v>
      </c>
      <c r="P462" s="40">
        <v>0</v>
      </c>
      <c r="Q462" s="40"/>
      <c r="R462" s="40">
        <v>0</v>
      </c>
      <c r="S462" s="68">
        <v>0</v>
      </c>
      <c r="T462" s="41"/>
      <c r="U462" s="11"/>
      <c r="V462" s="41"/>
      <c r="W462" s="68">
        <v>0</v>
      </c>
      <c r="X462" s="44">
        <v>0</v>
      </c>
      <c r="Y462" s="44">
        <v>0</v>
      </c>
    </row>
    <row r="463" spans="1:25" x14ac:dyDescent="0.2">
      <c r="A463" s="49"/>
      <c r="B463" s="49" t="s">
        <v>36</v>
      </c>
      <c r="C463" s="40">
        <v>0</v>
      </c>
      <c r="D463" s="40">
        <v>0</v>
      </c>
      <c r="E463" s="40">
        <v>0</v>
      </c>
      <c r="F463" s="40"/>
      <c r="G463" s="40">
        <v>0</v>
      </c>
      <c r="H463" s="40">
        <v>0</v>
      </c>
      <c r="I463" s="40">
        <v>0</v>
      </c>
      <c r="J463" s="68">
        <v>0</v>
      </c>
      <c r="K463" s="43"/>
      <c r="L463" s="40">
        <v>0</v>
      </c>
      <c r="M463" s="40">
        <v>0</v>
      </c>
      <c r="N463" s="40">
        <v>0</v>
      </c>
      <c r="O463" s="40">
        <v>0</v>
      </c>
      <c r="P463" s="40">
        <v>0</v>
      </c>
      <c r="Q463" s="40"/>
      <c r="R463" s="40">
        <v>0</v>
      </c>
      <c r="S463" s="68">
        <v>0</v>
      </c>
      <c r="T463" s="41"/>
      <c r="U463" s="11"/>
      <c r="V463" s="41"/>
      <c r="W463" s="68">
        <v>0</v>
      </c>
      <c r="X463" s="44">
        <v>0</v>
      </c>
      <c r="Y463" s="44">
        <v>0</v>
      </c>
    </row>
    <row r="464" spans="1:25" x14ac:dyDescent="0.2">
      <c r="A464" s="49"/>
      <c r="B464" s="49" t="s">
        <v>36</v>
      </c>
      <c r="C464" s="40">
        <v>0</v>
      </c>
      <c r="D464" s="40">
        <v>0</v>
      </c>
      <c r="E464" s="40">
        <v>0</v>
      </c>
      <c r="F464" s="40"/>
      <c r="G464" s="40">
        <v>0</v>
      </c>
      <c r="H464" s="40">
        <v>0</v>
      </c>
      <c r="I464" s="40">
        <v>0</v>
      </c>
      <c r="J464" s="68">
        <v>0</v>
      </c>
      <c r="K464" s="43"/>
      <c r="L464" s="40">
        <v>0</v>
      </c>
      <c r="M464" s="40">
        <v>0</v>
      </c>
      <c r="N464" s="40">
        <v>0</v>
      </c>
      <c r="O464" s="40">
        <v>0</v>
      </c>
      <c r="P464" s="40">
        <v>0</v>
      </c>
      <c r="Q464" s="40"/>
      <c r="R464" s="40">
        <v>0</v>
      </c>
      <c r="S464" s="68">
        <v>0</v>
      </c>
      <c r="T464" s="41"/>
      <c r="U464" s="11"/>
      <c r="V464" s="41"/>
      <c r="W464" s="68">
        <v>0</v>
      </c>
      <c r="X464" s="44">
        <v>0</v>
      </c>
      <c r="Y464" s="44">
        <v>0</v>
      </c>
    </row>
    <row r="465" spans="1:25" x14ac:dyDescent="0.2">
      <c r="A465" s="49"/>
      <c r="B465" s="49" t="s">
        <v>36</v>
      </c>
      <c r="C465" s="40">
        <v>0</v>
      </c>
      <c r="D465" s="40">
        <v>0</v>
      </c>
      <c r="E465" s="40">
        <v>0</v>
      </c>
      <c r="F465" s="40"/>
      <c r="G465" s="40">
        <v>0</v>
      </c>
      <c r="H465" s="40">
        <v>0</v>
      </c>
      <c r="I465" s="40">
        <v>0</v>
      </c>
      <c r="J465" s="68">
        <v>0</v>
      </c>
      <c r="K465" s="43"/>
      <c r="L465" s="40">
        <v>0</v>
      </c>
      <c r="M465" s="40">
        <v>0</v>
      </c>
      <c r="N465" s="40">
        <v>0</v>
      </c>
      <c r="O465" s="40">
        <v>0</v>
      </c>
      <c r="P465" s="40">
        <v>0</v>
      </c>
      <c r="Q465" s="40"/>
      <c r="R465" s="40">
        <v>0</v>
      </c>
      <c r="S465" s="68">
        <v>0</v>
      </c>
      <c r="T465" s="41"/>
      <c r="U465" s="11"/>
      <c r="V465" s="41"/>
      <c r="W465" s="68">
        <v>0</v>
      </c>
      <c r="X465" s="44">
        <v>0</v>
      </c>
      <c r="Y465" s="44">
        <v>0</v>
      </c>
    </row>
    <row r="466" spans="1:25" x14ac:dyDescent="0.2">
      <c r="A466" s="49"/>
      <c r="B466" s="49" t="s">
        <v>36</v>
      </c>
      <c r="C466" s="40">
        <v>0</v>
      </c>
      <c r="D466" s="40">
        <v>0</v>
      </c>
      <c r="E466" s="40">
        <v>0</v>
      </c>
      <c r="F466" s="40"/>
      <c r="G466" s="40">
        <v>0</v>
      </c>
      <c r="H466" s="40">
        <v>0</v>
      </c>
      <c r="I466" s="40">
        <v>0</v>
      </c>
      <c r="J466" s="68">
        <v>0</v>
      </c>
      <c r="K466" s="43"/>
      <c r="L466" s="40">
        <v>0</v>
      </c>
      <c r="M466" s="40">
        <v>0</v>
      </c>
      <c r="N466" s="40">
        <v>0</v>
      </c>
      <c r="O466" s="40">
        <v>0</v>
      </c>
      <c r="P466" s="40">
        <v>0</v>
      </c>
      <c r="Q466" s="40"/>
      <c r="R466" s="40">
        <v>0</v>
      </c>
      <c r="S466" s="68">
        <v>0</v>
      </c>
      <c r="T466" s="41"/>
      <c r="U466" s="11"/>
      <c r="V466" s="41"/>
      <c r="W466" s="68">
        <v>0</v>
      </c>
      <c r="X466" s="44">
        <v>0</v>
      </c>
      <c r="Y466" s="44">
        <v>0</v>
      </c>
    </row>
    <row r="467" spans="1:25" x14ac:dyDescent="0.2">
      <c r="A467" s="49"/>
      <c r="B467" s="49" t="s">
        <v>36</v>
      </c>
      <c r="C467" s="40">
        <v>0</v>
      </c>
      <c r="D467" s="40">
        <v>0</v>
      </c>
      <c r="E467" s="40">
        <v>0</v>
      </c>
      <c r="F467" s="40"/>
      <c r="G467" s="40">
        <v>0</v>
      </c>
      <c r="H467" s="40">
        <v>0</v>
      </c>
      <c r="I467" s="40">
        <v>0</v>
      </c>
      <c r="J467" s="68">
        <v>0</v>
      </c>
      <c r="K467" s="43"/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/>
      <c r="R467" s="40">
        <v>0</v>
      </c>
      <c r="S467" s="68">
        <v>0</v>
      </c>
      <c r="T467" s="41"/>
      <c r="U467" s="11"/>
      <c r="V467" s="41"/>
      <c r="W467" s="68">
        <v>0</v>
      </c>
      <c r="X467" s="44">
        <v>0</v>
      </c>
      <c r="Y467" s="44">
        <v>0</v>
      </c>
    </row>
    <row r="468" spans="1:25" x14ac:dyDescent="0.2">
      <c r="A468" s="49"/>
      <c r="B468" s="49" t="s">
        <v>36</v>
      </c>
      <c r="C468" s="40">
        <v>0</v>
      </c>
      <c r="D468" s="40">
        <v>0</v>
      </c>
      <c r="E468" s="40">
        <v>0</v>
      </c>
      <c r="F468" s="40"/>
      <c r="G468" s="40">
        <v>0</v>
      </c>
      <c r="H468" s="40">
        <v>0</v>
      </c>
      <c r="I468" s="40">
        <v>0</v>
      </c>
      <c r="J468" s="68">
        <v>0</v>
      </c>
      <c r="K468" s="43"/>
      <c r="L468" s="40">
        <v>0</v>
      </c>
      <c r="M468" s="40">
        <v>0</v>
      </c>
      <c r="N468" s="40">
        <v>0</v>
      </c>
      <c r="O468" s="40">
        <v>0</v>
      </c>
      <c r="P468" s="40">
        <v>0</v>
      </c>
      <c r="Q468" s="40"/>
      <c r="R468" s="40">
        <v>0</v>
      </c>
      <c r="S468" s="68">
        <v>0</v>
      </c>
      <c r="T468" s="41"/>
      <c r="U468" s="11"/>
      <c r="V468" s="41"/>
      <c r="W468" s="68">
        <v>0</v>
      </c>
      <c r="X468" s="44">
        <v>0</v>
      </c>
      <c r="Y468" s="44">
        <v>0</v>
      </c>
    </row>
    <row r="469" spans="1:25" x14ac:dyDescent="0.2">
      <c r="A469" s="49"/>
      <c r="B469" s="49" t="s">
        <v>36</v>
      </c>
      <c r="C469" s="40">
        <v>0</v>
      </c>
      <c r="D469" s="40">
        <v>0</v>
      </c>
      <c r="E469" s="40">
        <v>0</v>
      </c>
      <c r="F469" s="40"/>
      <c r="G469" s="40">
        <v>0</v>
      </c>
      <c r="H469" s="40">
        <v>0</v>
      </c>
      <c r="I469" s="40">
        <v>0</v>
      </c>
      <c r="J469" s="68">
        <v>0</v>
      </c>
      <c r="K469" s="43"/>
      <c r="L469" s="40">
        <v>0</v>
      </c>
      <c r="M469" s="40">
        <v>0</v>
      </c>
      <c r="N469" s="40">
        <v>0</v>
      </c>
      <c r="O469" s="40">
        <v>0</v>
      </c>
      <c r="P469" s="40">
        <v>0</v>
      </c>
      <c r="Q469" s="40"/>
      <c r="R469" s="40">
        <v>0</v>
      </c>
      <c r="S469" s="68">
        <v>0</v>
      </c>
      <c r="T469" s="41"/>
      <c r="U469" s="11"/>
      <c r="V469" s="41"/>
      <c r="W469" s="68">
        <v>0</v>
      </c>
      <c r="X469" s="44">
        <v>0</v>
      </c>
      <c r="Y469" s="44">
        <v>0</v>
      </c>
    </row>
    <row r="470" spans="1:25" x14ac:dyDescent="0.2">
      <c r="A470" s="49"/>
      <c r="B470" s="49" t="s">
        <v>36</v>
      </c>
      <c r="C470" s="40">
        <v>0</v>
      </c>
      <c r="D470" s="40">
        <v>0</v>
      </c>
      <c r="E470" s="40">
        <v>0</v>
      </c>
      <c r="F470" s="40"/>
      <c r="G470" s="40">
        <v>0</v>
      </c>
      <c r="H470" s="40">
        <v>0</v>
      </c>
      <c r="I470" s="40">
        <v>0</v>
      </c>
      <c r="J470" s="68">
        <v>0</v>
      </c>
      <c r="K470" s="43"/>
      <c r="L470" s="40">
        <v>0</v>
      </c>
      <c r="M470" s="40">
        <v>0</v>
      </c>
      <c r="N470" s="40">
        <v>0</v>
      </c>
      <c r="O470" s="40">
        <v>0</v>
      </c>
      <c r="P470" s="40">
        <v>0</v>
      </c>
      <c r="Q470" s="40"/>
      <c r="R470" s="40">
        <v>0</v>
      </c>
      <c r="S470" s="68">
        <v>0</v>
      </c>
      <c r="T470" s="41"/>
      <c r="U470" s="11"/>
      <c r="V470" s="41"/>
      <c r="W470" s="68">
        <v>0</v>
      </c>
      <c r="X470" s="44">
        <v>0</v>
      </c>
      <c r="Y470" s="44">
        <v>0</v>
      </c>
    </row>
    <row r="471" spans="1:25" x14ac:dyDescent="0.2">
      <c r="A471" s="49"/>
      <c r="B471" s="49" t="s">
        <v>36</v>
      </c>
      <c r="C471" s="40">
        <v>0</v>
      </c>
      <c r="D471" s="40">
        <v>0</v>
      </c>
      <c r="E471" s="40">
        <v>0</v>
      </c>
      <c r="F471" s="40"/>
      <c r="G471" s="40">
        <v>0</v>
      </c>
      <c r="H471" s="40">
        <v>0</v>
      </c>
      <c r="I471" s="40">
        <v>0</v>
      </c>
      <c r="J471" s="68">
        <v>0</v>
      </c>
      <c r="K471" s="43"/>
      <c r="L471" s="40">
        <v>0</v>
      </c>
      <c r="M471" s="40">
        <v>0</v>
      </c>
      <c r="N471" s="40">
        <v>0</v>
      </c>
      <c r="O471" s="40">
        <v>0</v>
      </c>
      <c r="P471" s="40">
        <v>0</v>
      </c>
      <c r="Q471" s="40"/>
      <c r="R471" s="40">
        <v>0</v>
      </c>
      <c r="S471" s="68">
        <v>0</v>
      </c>
      <c r="T471" s="41"/>
      <c r="U471" s="11"/>
      <c r="V471" s="41"/>
      <c r="W471" s="68">
        <v>0</v>
      </c>
      <c r="X471" s="44">
        <v>0</v>
      </c>
      <c r="Y471" s="44">
        <v>0</v>
      </c>
    </row>
    <row r="472" spans="1:25" x14ac:dyDescent="0.2">
      <c r="A472" s="49"/>
      <c r="B472" s="49" t="s">
        <v>36</v>
      </c>
      <c r="C472" s="40">
        <v>0</v>
      </c>
      <c r="D472" s="40">
        <v>0</v>
      </c>
      <c r="E472" s="40">
        <v>0</v>
      </c>
      <c r="F472" s="40"/>
      <c r="G472" s="40">
        <v>0</v>
      </c>
      <c r="H472" s="40">
        <v>0</v>
      </c>
      <c r="I472" s="40">
        <v>0</v>
      </c>
      <c r="J472" s="68">
        <v>0</v>
      </c>
      <c r="K472" s="43"/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/>
      <c r="R472" s="40">
        <v>0</v>
      </c>
      <c r="S472" s="68">
        <v>0</v>
      </c>
      <c r="T472" s="41"/>
      <c r="U472" s="11"/>
      <c r="V472" s="41"/>
      <c r="W472" s="68">
        <v>0</v>
      </c>
      <c r="X472" s="44">
        <v>0</v>
      </c>
      <c r="Y472" s="44">
        <v>0</v>
      </c>
    </row>
    <row r="473" spans="1:25" x14ac:dyDescent="0.2">
      <c r="A473" s="49"/>
      <c r="B473" s="49" t="s">
        <v>36</v>
      </c>
      <c r="C473" s="40">
        <v>0</v>
      </c>
      <c r="D473" s="40">
        <v>0</v>
      </c>
      <c r="E473" s="40">
        <v>0</v>
      </c>
      <c r="F473" s="40"/>
      <c r="G473" s="40">
        <v>0</v>
      </c>
      <c r="H473" s="40">
        <v>0</v>
      </c>
      <c r="I473" s="40">
        <v>0</v>
      </c>
      <c r="J473" s="68">
        <v>0</v>
      </c>
      <c r="K473" s="43"/>
      <c r="L473" s="40">
        <v>0</v>
      </c>
      <c r="M473" s="40">
        <v>0</v>
      </c>
      <c r="N473" s="40">
        <v>0</v>
      </c>
      <c r="O473" s="40">
        <v>0</v>
      </c>
      <c r="P473" s="40">
        <v>0</v>
      </c>
      <c r="Q473" s="40"/>
      <c r="R473" s="40">
        <v>0</v>
      </c>
      <c r="S473" s="68">
        <v>0</v>
      </c>
      <c r="T473" s="41"/>
      <c r="U473" s="11"/>
      <c r="V473" s="41"/>
      <c r="W473" s="68">
        <v>0</v>
      </c>
      <c r="X473" s="44">
        <v>0</v>
      </c>
      <c r="Y473" s="44">
        <v>0</v>
      </c>
    </row>
    <row r="474" spans="1:25" x14ac:dyDescent="0.2">
      <c r="A474" s="49"/>
      <c r="B474" s="49" t="s">
        <v>36</v>
      </c>
      <c r="C474" s="40">
        <v>0</v>
      </c>
      <c r="D474" s="40">
        <v>0</v>
      </c>
      <c r="E474" s="40">
        <v>0</v>
      </c>
      <c r="F474" s="40"/>
      <c r="G474" s="40">
        <v>0</v>
      </c>
      <c r="H474" s="40">
        <v>0</v>
      </c>
      <c r="I474" s="40">
        <v>0</v>
      </c>
      <c r="J474" s="68">
        <v>0</v>
      </c>
      <c r="K474" s="43"/>
      <c r="L474" s="40">
        <v>0</v>
      </c>
      <c r="M474" s="40">
        <v>0</v>
      </c>
      <c r="N474" s="40">
        <v>0</v>
      </c>
      <c r="O474" s="40">
        <v>0</v>
      </c>
      <c r="P474" s="40">
        <v>0</v>
      </c>
      <c r="Q474" s="40"/>
      <c r="R474" s="40">
        <v>0</v>
      </c>
      <c r="S474" s="68">
        <v>0</v>
      </c>
      <c r="T474" s="41"/>
      <c r="U474" s="11"/>
      <c r="V474" s="41"/>
      <c r="W474" s="68">
        <v>0</v>
      </c>
      <c r="X474" s="44">
        <v>0</v>
      </c>
      <c r="Y474" s="44">
        <v>0</v>
      </c>
    </row>
    <row r="475" spans="1:25" x14ac:dyDescent="0.2">
      <c r="A475" s="49"/>
      <c r="B475" s="49" t="s">
        <v>36</v>
      </c>
      <c r="C475" s="40">
        <v>0</v>
      </c>
      <c r="D475" s="40">
        <v>0</v>
      </c>
      <c r="E475" s="40">
        <v>0</v>
      </c>
      <c r="F475" s="40"/>
      <c r="G475" s="40">
        <v>0</v>
      </c>
      <c r="H475" s="40">
        <v>0</v>
      </c>
      <c r="I475" s="40">
        <v>0</v>
      </c>
      <c r="J475" s="68">
        <v>0</v>
      </c>
      <c r="K475" s="43"/>
      <c r="L475" s="40">
        <v>0</v>
      </c>
      <c r="M475" s="40">
        <v>0</v>
      </c>
      <c r="N475" s="40">
        <v>0</v>
      </c>
      <c r="O475" s="40">
        <v>0</v>
      </c>
      <c r="P475" s="40">
        <v>0</v>
      </c>
      <c r="Q475" s="40"/>
      <c r="R475" s="40">
        <v>0</v>
      </c>
      <c r="S475" s="68">
        <v>0</v>
      </c>
      <c r="T475" s="41"/>
      <c r="U475" s="11"/>
      <c r="V475" s="41"/>
      <c r="W475" s="68">
        <v>0</v>
      </c>
      <c r="X475" s="44">
        <v>0</v>
      </c>
      <c r="Y475" s="44">
        <v>0</v>
      </c>
    </row>
    <row r="476" spans="1:25" x14ac:dyDescent="0.2">
      <c r="A476" s="49"/>
      <c r="B476" s="49" t="s">
        <v>36</v>
      </c>
      <c r="C476" s="40">
        <v>0</v>
      </c>
      <c r="D476" s="40">
        <v>0</v>
      </c>
      <c r="E476" s="40">
        <v>0</v>
      </c>
      <c r="F476" s="40"/>
      <c r="G476" s="40">
        <v>0</v>
      </c>
      <c r="H476" s="40">
        <v>0</v>
      </c>
      <c r="I476" s="40">
        <v>0</v>
      </c>
      <c r="J476" s="68">
        <v>0</v>
      </c>
      <c r="K476" s="43"/>
      <c r="L476" s="40">
        <v>0</v>
      </c>
      <c r="M476" s="40">
        <v>0</v>
      </c>
      <c r="N476" s="40">
        <v>0</v>
      </c>
      <c r="O476" s="40">
        <v>0</v>
      </c>
      <c r="P476" s="40">
        <v>0</v>
      </c>
      <c r="Q476" s="40"/>
      <c r="R476" s="40">
        <v>0</v>
      </c>
      <c r="S476" s="68">
        <v>0</v>
      </c>
      <c r="T476" s="41"/>
      <c r="U476" s="11"/>
      <c r="V476" s="41"/>
      <c r="W476" s="68">
        <v>0</v>
      </c>
      <c r="X476" s="44">
        <v>0</v>
      </c>
      <c r="Y476" s="44">
        <v>0</v>
      </c>
    </row>
    <row r="477" spans="1:25" x14ac:dyDescent="0.2">
      <c r="A477" s="49"/>
      <c r="B477" s="49" t="s">
        <v>36</v>
      </c>
      <c r="C477" s="40">
        <v>0</v>
      </c>
      <c r="D477" s="40">
        <v>0</v>
      </c>
      <c r="E477" s="40">
        <v>0</v>
      </c>
      <c r="F477" s="40"/>
      <c r="G477" s="40">
        <v>0</v>
      </c>
      <c r="H477" s="40">
        <v>0</v>
      </c>
      <c r="I477" s="40">
        <v>0</v>
      </c>
      <c r="J477" s="68">
        <v>0</v>
      </c>
      <c r="K477" s="43"/>
      <c r="L477" s="40">
        <v>0</v>
      </c>
      <c r="M477" s="40">
        <v>0</v>
      </c>
      <c r="N477" s="40">
        <v>0</v>
      </c>
      <c r="O477" s="40">
        <v>0</v>
      </c>
      <c r="P477" s="40">
        <v>0</v>
      </c>
      <c r="Q477" s="40"/>
      <c r="R477" s="40">
        <v>0</v>
      </c>
      <c r="S477" s="68">
        <v>0</v>
      </c>
      <c r="T477" s="41"/>
      <c r="U477" s="11"/>
      <c r="V477" s="41"/>
      <c r="W477" s="68">
        <v>0</v>
      </c>
      <c r="X477" s="44">
        <v>0</v>
      </c>
      <c r="Y477" s="44">
        <v>0</v>
      </c>
    </row>
    <row r="478" spans="1:25" x14ac:dyDescent="0.2">
      <c r="A478" s="49"/>
      <c r="B478" s="49" t="s">
        <v>36</v>
      </c>
      <c r="C478" s="40">
        <v>0</v>
      </c>
      <c r="D478" s="40">
        <v>0</v>
      </c>
      <c r="E478" s="40">
        <v>0</v>
      </c>
      <c r="F478" s="40"/>
      <c r="G478" s="40">
        <v>0</v>
      </c>
      <c r="H478" s="40">
        <v>0</v>
      </c>
      <c r="I478" s="40">
        <v>0</v>
      </c>
      <c r="J478" s="68">
        <v>0</v>
      </c>
      <c r="K478" s="43"/>
      <c r="L478" s="40">
        <v>0</v>
      </c>
      <c r="M478" s="40">
        <v>0</v>
      </c>
      <c r="N478" s="40">
        <v>0</v>
      </c>
      <c r="O478" s="40">
        <v>0</v>
      </c>
      <c r="P478" s="40">
        <v>0</v>
      </c>
      <c r="Q478" s="40"/>
      <c r="R478" s="40">
        <v>0</v>
      </c>
      <c r="S478" s="68">
        <v>0</v>
      </c>
      <c r="T478" s="41"/>
      <c r="U478" s="11"/>
      <c r="V478" s="41"/>
      <c r="W478" s="68">
        <v>0</v>
      </c>
      <c r="X478" s="44">
        <v>0</v>
      </c>
      <c r="Y478" s="44">
        <v>0</v>
      </c>
    </row>
    <row r="479" spans="1:25" x14ac:dyDescent="0.2">
      <c r="A479" s="49"/>
      <c r="B479" s="49" t="s">
        <v>36</v>
      </c>
      <c r="C479" s="40">
        <v>0</v>
      </c>
      <c r="D479" s="40">
        <v>0</v>
      </c>
      <c r="E479" s="40">
        <v>0</v>
      </c>
      <c r="F479" s="40"/>
      <c r="G479" s="40">
        <v>0</v>
      </c>
      <c r="H479" s="40">
        <v>0</v>
      </c>
      <c r="I479" s="40">
        <v>0</v>
      </c>
      <c r="J479" s="68">
        <v>0</v>
      </c>
      <c r="K479" s="43"/>
      <c r="L479" s="40">
        <v>0</v>
      </c>
      <c r="M479" s="40">
        <v>0</v>
      </c>
      <c r="N479" s="40">
        <v>0</v>
      </c>
      <c r="O479" s="40">
        <v>0</v>
      </c>
      <c r="P479" s="40">
        <v>0</v>
      </c>
      <c r="Q479" s="40"/>
      <c r="R479" s="40">
        <v>0</v>
      </c>
      <c r="S479" s="68">
        <v>0</v>
      </c>
      <c r="T479" s="41"/>
      <c r="U479" s="11"/>
      <c r="V479" s="41"/>
      <c r="W479" s="68">
        <v>0</v>
      </c>
      <c r="X479" s="44">
        <v>0</v>
      </c>
      <c r="Y479" s="44">
        <v>0</v>
      </c>
    </row>
    <row r="480" spans="1:25" x14ac:dyDescent="0.2">
      <c r="A480" s="49"/>
      <c r="B480" s="49" t="s">
        <v>36</v>
      </c>
      <c r="C480" s="40">
        <v>0</v>
      </c>
      <c r="D480" s="40">
        <v>0</v>
      </c>
      <c r="E480" s="40">
        <v>0</v>
      </c>
      <c r="F480" s="40"/>
      <c r="G480" s="40">
        <v>0</v>
      </c>
      <c r="H480" s="40">
        <v>0</v>
      </c>
      <c r="I480" s="40">
        <v>0</v>
      </c>
      <c r="J480" s="68">
        <v>0</v>
      </c>
      <c r="K480" s="43"/>
      <c r="L480" s="40">
        <v>0</v>
      </c>
      <c r="M480" s="40">
        <v>0</v>
      </c>
      <c r="N480" s="40">
        <v>0</v>
      </c>
      <c r="O480" s="40">
        <v>0</v>
      </c>
      <c r="P480" s="40">
        <v>0</v>
      </c>
      <c r="Q480" s="40"/>
      <c r="R480" s="40">
        <v>0</v>
      </c>
      <c r="S480" s="68">
        <v>0</v>
      </c>
      <c r="T480" s="41"/>
      <c r="U480" s="11"/>
      <c r="V480" s="41"/>
      <c r="W480" s="68">
        <v>0</v>
      </c>
      <c r="X480" s="44">
        <v>0</v>
      </c>
      <c r="Y480" s="44">
        <v>0</v>
      </c>
    </row>
    <row r="481" spans="1:25" x14ac:dyDescent="0.2">
      <c r="A481" s="49"/>
      <c r="B481" s="49" t="s">
        <v>36</v>
      </c>
      <c r="C481" s="40">
        <v>0</v>
      </c>
      <c r="D481" s="40">
        <v>0</v>
      </c>
      <c r="E481" s="40">
        <v>0</v>
      </c>
      <c r="F481" s="40"/>
      <c r="G481" s="40">
        <v>0</v>
      </c>
      <c r="H481" s="40">
        <v>0</v>
      </c>
      <c r="I481" s="40">
        <v>0</v>
      </c>
      <c r="J481" s="68">
        <v>0</v>
      </c>
      <c r="K481" s="43"/>
      <c r="L481" s="40">
        <v>0</v>
      </c>
      <c r="M481" s="40">
        <v>0</v>
      </c>
      <c r="N481" s="40">
        <v>0</v>
      </c>
      <c r="O481" s="40">
        <v>0</v>
      </c>
      <c r="P481" s="40">
        <v>0</v>
      </c>
      <c r="Q481" s="40"/>
      <c r="R481" s="40">
        <v>0</v>
      </c>
      <c r="S481" s="68">
        <v>0</v>
      </c>
      <c r="T481" s="41"/>
      <c r="U481" s="11"/>
      <c r="V481" s="41"/>
      <c r="W481" s="68">
        <v>0</v>
      </c>
      <c r="X481" s="44">
        <v>0</v>
      </c>
      <c r="Y481" s="44">
        <v>0</v>
      </c>
    </row>
    <row r="482" spans="1:25" x14ac:dyDescent="0.2">
      <c r="A482" s="49"/>
      <c r="B482" s="49" t="s">
        <v>36</v>
      </c>
      <c r="C482" s="40">
        <v>0</v>
      </c>
      <c r="D482" s="40">
        <v>0</v>
      </c>
      <c r="E482" s="40">
        <v>0</v>
      </c>
      <c r="F482" s="40"/>
      <c r="G482" s="40">
        <v>0</v>
      </c>
      <c r="H482" s="40">
        <v>0</v>
      </c>
      <c r="I482" s="40">
        <v>0</v>
      </c>
      <c r="J482" s="68">
        <v>0</v>
      </c>
      <c r="K482" s="43"/>
      <c r="L482" s="40">
        <v>0</v>
      </c>
      <c r="M482" s="40">
        <v>0</v>
      </c>
      <c r="N482" s="40">
        <v>0</v>
      </c>
      <c r="O482" s="40">
        <v>0</v>
      </c>
      <c r="P482" s="40">
        <v>0</v>
      </c>
      <c r="Q482" s="40"/>
      <c r="R482" s="40">
        <v>0</v>
      </c>
      <c r="S482" s="68">
        <v>0</v>
      </c>
      <c r="T482" s="41"/>
      <c r="U482" s="11"/>
      <c r="V482" s="41"/>
      <c r="W482" s="68">
        <v>0</v>
      </c>
      <c r="X482" s="44">
        <v>0</v>
      </c>
      <c r="Y482" s="44">
        <v>0</v>
      </c>
    </row>
    <row r="483" spans="1:25" x14ac:dyDescent="0.2">
      <c r="A483" s="49"/>
      <c r="B483" s="49" t="s">
        <v>36</v>
      </c>
      <c r="C483" s="40">
        <v>0</v>
      </c>
      <c r="D483" s="40">
        <v>0</v>
      </c>
      <c r="E483" s="40">
        <v>0</v>
      </c>
      <c r="F483" s="40"/>
      <c r="G483" s="40">
        <v>0</v>
      </c>
      <c r="H483" s="40">
        <v>0</v>
      </c>
      <c r="I483" s="40">
        <v>0</v>
      </c>
      <c r="J483" s="68">
        <v>0</v>
      </c>
      <c r="K483" s="43"/>
      <c r="L483" s="40">
        <v>0</v>
      </c>
      <c r="M483" s="40">
        <v>0</v>
      </c>
      <c r="N483" s="40">
        <v>0</v>
      </c>
      <c r="O483" s="40">
        <v>0</v>
      </c>
      <c r="P483" s="40">
        <v>0</v>
      </c>
      <c r="Q483" s="40"/>
      <c r="R483" s="40">
        <v>0</v>
      </c>
      <c r="S483" s="68">
        <v>0</v>
      </c>
      <c r="T483" s="41"/>
      <c r="U483" s="11"/>
      <c r="V483" s="41"/>
      <c r="W483" s="68">
        <v>0</v>
      </c>
      <c r="X483" s="44">
        <v>0</v>
      </c>
      <c r="Y483" s="44">
        <v>0</v>
      </c>
    </row>
    <row r="484" spans="1:25" x14ac:dyDescent="0.2">
      <c r="A484" s="49"/>
      <c r="B484" s="49" t="s">
        <v>36</v>
      </c>
      <c r="C484" s="40">
        <v>0</v>
      </c>
      <c r="D484" s="40">
        <v>0</v>
      </c>
      <c r="E484" s="40">
        <v>0</v>
      </c>
      <c r="F484" s="40"/>
      <c r="G484" s="40">
        <v>0</v>
      </c>
      <c r="H484" s="40">
        <v>0</v>
      </c>
      <c r="I484" s="40">
        <v>0</v>
      </c>
      <c r="J484" s="68">
        <v>0</v>
      </c>
      <c r="K484" s="43"/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/>
      <c r="R484" s="40">
        <v>0</v>
      </c>
      <c r="S484" s="68">
        <v>0</v>
      </c>
      <c r="T484" s="41"/>
      <c r="U484" s="11"/>
      <c r="V484" s="41"/>
      <c r="W484" s="68">
        <v>0</v>
      </c>
      <c r="X484" s="44">
        <v>0</v>
      </c>
      <c r="Y484" s="44">
        <v>0</v>
      </c>
    </row>
    <row r="485" spans="1:25" x14ac:dyDescent="0.2">
      <c r="A485" s="49"/>
      <c r="B485" s="49" t="s">
        <v>36</v>
      </c>
      <c r="C485" s="40">
        <v>0</v>
      </c>
      <c r="D485" s="40">
        <v>0</v>
      </c>
      <c r="E485" s="40">
        <v>0</v>
      </c>
      <c r="F485" s="40"/>
      <c r="G485" s="40">
        <v>0</v>
      </c>
      <c r="H485" s="40">
        <v>0</v>
      </c>
      <c r="I485" s="40">
        <v>0</v>
      </c>
      <c r="J485" s="68">
        <v>0</v>
      </c>
      <c r="K485" s="43"/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/>
      <c r="R485" s="40">
        <v>0</v>
      </c>
      <c r="S485" s="68">
        <v>0</v>
      </c>
      <c r="T485" s="41"/>
      <c r="U485" s="11"/>
      <c r="V485" s="41"/>
      <c r="W485" s="68">
        <v>0</v>
      </c>
      <c r="X485" s="44">
        <v>0</v>
      </c>
      <c r="Y485" s="44">
        <v>0</v>
      </c>
    </row>
    <row r="486" spans="1:25" x14ac:dyDescent="0.2">
      <c r="A486" s="49"/>
      <c r="B486" s="49" t="s">
        <v>36</v>
      </c>
      <c r="C486" s="40">
        <v>0</v>
      </c>
      <c r="D486" s="40">
        <v>0</v>
      </c>
      <c r="E486" s="40">
        <v>0</v>
      </c>
      <c r="F486" s="40"/>
      <c r="G486" s="40">
        <v>0</v>
      </c>
      <c r="H486" s="40">
        <v>0</v>
      </c>
      <c r="I486" s="40">
        <v>0</v>
      </c>
      <c r="J486" s="68">
        <v>0</v>
      </c>
      <c r="K486" s="43"/>
      <c r="L486" s="40">
        <v>0</v>
      </c>
      <c r="M486" s="40">
        <v>0</v>
      </c>
      <c r="N486" s="40">
        <v>0</v>
      </c>
      <c r="O486" s="40">
        <v>0</v>
      </c>
      <c r="P486" s="40">
        <v>0</v>
      </c>
      <c r="Q486" s="40"/>
      <c r="R486" s="40">
        <v>0</v>
      </c>
      <c r="S486" s="68">
        <v>0</v>
      </c>
      <c r="T486" s="41"/>
      <c r="U486" s="11"/>
      <c r="V486" s="41"/>
      <c r="W486" s="68">
        <v>0</v>
      </c>
      <c r="X486" s="44">
        <v>0</v>
      </c>
      <c r="Y486" s="44">
        <v>0</v>
      </c>
    </row>
    <row r="487" spans="1:25" x14ac:dyDescent="0.2">
      <c r="A487" s="49"/>
      <c r="B487" s="49" t="s">
        <v>36</v>
      </c>
      <c r="C487" s="40">
        <v>0</v>
      </c>
      <c r="D487" s="40">
        <v>0</v>
      </c>
      <c r="E487" s="40">
        <v>0</v>
      </c>
      <c r="F487" s="40"/>
      <c r="G487" s="40">
        <v>0</v>
      </c>
      <c r="H487" s="40">
        <v>0</v>
      </c>
      <c r="I487" s="40">
        <v>0</v>
      </c>
      <c r="J487" s="68">
        <v>0</v>
      </c>
      <c r="K487" s="43"/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/>
      <c r="R487" s="40">
        <v>0</v>
      </c>
      <c r="S487" s="68">
        <v>0</v>
      </c>
      <c r="T487" s="41"/>
      <c r="U487" s="11"/>
      <c r="V487" s="41"/>
      <c r="W487" s="68">
        <v>0</v>
      </c>
      <c r="X487" s="44">
        <v>0</v>
      </c>
      <c r="Y487" s="44">
        <v>0</v>
      </c>
    </row>
    <row r="488" spans="1:25" x14ac:dyDescent="0.2">
      <c r="A488" s="49"/>
      <c r="B488" s="49" t="s">
        <v>36</v>
      </c>
      <c r="C488" s="40">
        <v>0</v>
      </c>
      <c r="D488" s="40">
        <v>0</v>
      </c>
      <c r="E488" s="40">
        <v>0</v>
      </c>
      <c r="F488" s="40"/>
      <c r="G488" s="40">
        <v>0</v>
      </c>
      <c r="H488" s="40">
        <v>0</v>
      </c>
      <c r="I488" s="40">
        <v>0</v>
      </c>
      <c r="J488" s="68">
        <v>0</v>
      </c>
      <c r="K488" s="43"/>
      <c r="L488" s="40">
        <v>0</v>
      </c>
      <c r="M488" s="40">
        <v>0</v>
      </c>
      <c r="N488" s="40">
        <v>0</v>
      </c>
      <c r="O488" s="40">
        <v>0</v>
      </c>
      <c r="P488" s="40">
        <v>0</v>
      </c>
      <c r="Q488" s="40"/>
      <c r="R488" s="40">
        <v>0</v>
      </c>
      <c r="S488" s="68">
        <v>0</v>
      </c>
      <c r="T488" s="41"/>
      <c r="U488" s="11"/>
      <c r="V488" s="41"/>
      <c r="W488" s="68">
        <v>0</v>
      </c>
      <c r="X488" s="44">
        <v>0</v>
      </c>
      <c r="Y488" s="44">
        <v>0</v>
      </c>
    </row>
    <row r="489" spans="1:25" x14ac:dyDescent="0.2">
      <c r="A489" s="49"/>
      <c r="B489" s="49" t="s">
        <v>36</v>
      </c>
      <c r="C489" s="40">
        <v>0</v>
      </c>
      <c r="D489" s="40">
        <v>0</v>
      </c>
      <c r="E489" s="40">
        <v>0</v>
      </c>
      <c r="F489" s="40"/>
      <c r="G489" s="40">
        <v>0</v>
      </c>
      <c r="H489" s="40">
        <v>0</v>
      </c>
      <c r="I489" s="40">
        <v>0</v>
      </c>
      <c r="J489" s="68">
        <v>0</v>
      </c>
      <c r="K489" s="43"/>
      <c r="L489" s="40">
        <v>0</v>
      </c>
      <c r="M489" s="40">
        <v>0</v>
      </c>
      <c r="N489" s="40">
        <v>0</v>
      </c>
      <c r="O489" s="40">
        <v>0</v>
      </c>
      <c r="P489" s="40">
        <v>0</v>
      </c>
      <c r="Q489" s="40"/>
      <c r="R489" s="40">
        <v>0</v>
      </c>
      <c r="S489" s="68">
        <v>0</v>
      </c>
      <c r="T489" s="41"/>
      <c r="U489" s="11"/>
      <c r="V489" s="41"/>
      <c r="W489" s="68">
        <v>0</v>
      </c>
      <c r="X489" s="44">
        <v>0</v>
      </c>
      <c r="Y489" s="44">
        <v>0</v>
      </c>
    </row>
    <row r="490" spans="1:25" x14ac:dyDescent="0.2">
      <c r="A490" s="49"/>
      <c r="B490" s="49" t="s">
        <v>36</v>
      </c>
      <c r="C490" s="40">
        <v>0</v>
      </c>
      <c r="D490" s="40">
        <v>0</v>
      </c>
      <c r="E490" s="40">
        <v>0</v>
      </c>
      <c r="F490" s="40"/>
      <c r="G490" s="40">
        <v>0</v>
      </c>
      <c r="H490" s="40">
        <v>0</v>
      </c>
      <c r="I490" s="40">
        <v>0</v>
      </c>
      <c r="J490" s="68">
        <v>0</v>
      </c>
      <c r="K490" s="43"/>
      <c r="L490" s="40">
        <v>0</v>
      </c>
      <c r="M490" s="40">
        <v>0</v>
      </c>
      <c r="N490" s="40">
        <v>0</v>
      </c>
      <c r="O490" s="40">
        <v>0</v>
      </c>
      <c r="P490" s="40">
        <v>0</v>
      </c>
      <c r="Q490" s="40"/>
      <c r="R490" s="40">
        <v>0</v>
      </c>
      <c r="S490" s="68">
        <v>0</v>
      </c>
      <c r="T490" s="41"/>
      <c r="U490" s="11"/>
      <c r="V490" s="41"/>
      <c r="W490" s="68">
        <v>0</v>
      </c>
      <c r="X490" s="44">
        <v>0</v>
      </c>
      <c r="Y490" s="44">
        <v>0</v>
      </c>
    </row>
    <row r="491" spans="1:25" x14ac:dyDescent="0.2">
      <c r="A491" s="49"/>
      <c r="B491" s="49"/>
      <c r="C491" s="40"/>
      <c r="D491" s="40"/>
      <c r="E491" s="40"/>
      <c r="F491" s="40"/>
      <c r="G491" s="40"/>
      <c r="H491" s="40"/>
      <c r="I491" s="40"/>
      <c r="J491" s="68"/>
      <c r="L491" s="40"/>
      <c r="M491" s="40"/>
      <c r="N491" s="40"/>
      <c r="O491" s="40"/>
      <c r="P491" s="40"/>
      <c r="Q491" s="40"/>
      <c r="R491" s="40"/>
      <c r="S491" s="68"/>
      <c r="U491" s="11"/>
      <c r="W491" s="68"/>
    </row>
    <row r="492" spans="1:25" x14ac:dyDescent="0.2">
      <c r="A492" s="49"/>
      <c r="B492" s="49"/>
      <c r="C492" s="40"/>
      <c r="D492" s="40"/>
      <c r="E492" s="40"/>
      <c r="F492" s="40"/>
      <c r="G492" s="40"/>
      <c r="H492" s="40"/>
      <c r="I492" s="40"/>
      <c r="J492" s="68"/>
      <c r="L492" s="40"/>
      <c r="M492" s="40"/>
      <c r="N492" s="40"/>
      <c r="O492" s="40"/>
      <c r="P492" s="40"/>
      <c r="Q492" s="40"/>
      <c r="R492" s="40"/>
      <c r="S492" s="68"/>
      <c r="U492" s="11"/>
      <c r="W492" s="68"/>
    </row>
    <row r="493" spans="1:25" x14ac:dyDescent="0.2">
      <c r="A493" s="49"/>
      <c r="B493" s="49"/>
      <c r="C493" s="40"/>
      <c r="D493" s="40"/>
      <c r="E493" s="40"/>
      <c r="F493" s="40"/>
      <c r="G493" s="40"/>
      <c r="H493" s="40"/>
      <c r="I493" s="40"/>
      <c r="J493" s="68"/>
      <c r="L493" s="40"/>
      <c r="M493" s="40"/>
      <c r="N493" s="40"/>
      <c r="O493" s="40"/>
      <c r="P493" s="40"/>
      <c r="Q493" s="40"/>
      <c r="R493" s="40"/>
      <c r="S493" s="68"/>
      <c r="U493" s="11"/>
      <c r="W493" s="68"/>
    </row>
    <row r="494" spans="1:25" x14ac:dyDescent="0.2">
      <c r="A494" s="49"/>
      <c r="B494" s="49"/>
      <c r="C494" s="40"/>
      <c r="D494" s="40"/>
      <c r="E494" s="40"/>
      <c r="F494" s="40"/>
      <c r="G494" s="40"/>
      <c r="H494" s="40"/>
      <c r="I494" s="40"/>
      <c r="J494" s="68"/>
      <c r="L494" s="40"/>
      <c r="M494" s="40"/>
      <c r="N494" s="40"/>
      <c r="O494" s="40"/>
      <c r="P494" s="40"/>
      <c r="Q494" s="40"/>
      <c r="R494" s="40"/>
      <c r="S494" s="68"/>
      <c r="U494" s="11"/>
      <c r="W494" s="68"/>
    </row>
    <row r="495" spans="1:25" x14ac:dyDescent="0.2">
      <c r="A495" s="49"/>
      <c r="B495" s="49"/>
      <c r="C495" s="40"/>
      <c r="D495" s="40"/>
      <c r="E495" s="40"/>
      <c r="F495" s="40"/>
      <c r="G495" s="40"/>
      <c r="H495" s="40"/>
      <c r="I495" s="40"/>
      <c r="J495" s="68"/>
      <c r="L495" s="40"/>
      <c r="M495" s="40"/>
      <c r="N495" s="40"/>
      <c r="O495" s="40"/>
      <c r="P495" s="40"/>
      <c r="Q495" s="40"/>
      <c r="R495" s="40"/>
      <c r="S495" s="68"/>
      <c r="U495" s="11"/>
      <c r="W495" s="68"/>
    </row>
    <row r="496" spans="1:25" x14ac:dyDescent="0.2">
      <c r="A496" s="49"/>
      <c r="B496" s="49"/>
      <c r="C496" s="40"/>
      <c r="D496" s="40"/>
      <c r="E496" s="40"/>
      <c r="F496" s="40"/>
      <c r="G496" s="40"/>
      <c r="H496" s="40"/>
      <c r="I496" s="40"/>
      <c r="J496" s="68"/>
      <c r="L496" s="40"/>
      <c r="M496" s="40"/>
      <c r="N496" s="40"/>
      <c r="O496" s="40"/>
      <c r="P496" s="40"/>
      <c r="Q496" s="40"/>
      <c r="R496" s="40"/>
      <c r="S496" s="68"/>
      <c r="U496" s="11"/>
      <c r="W496" s="68"/>
    </row>
    <row r="497" spans="1:23" x14ac:dyDescent="0.2">
      <c r="A497" s="49"/>
      <c r="B497" s="49"/>
      <c r="C497" s="40"/>
      <c r="D497" s="40"/>
      <c r="E497" s="40"/>
      <c r="F497" s="40"/>
      <c r="G497" s="40"/>
      <c r="H497" s="40"/>
      <c r="I497" s="40"/>
      <c r="J497" s="68"/>
      <c r="L497" s="40"/>
      <c r="M497" s="40"/>
      <c r="N497" s="40"/>
      <c r="O497" s="40"/>
      <c r="P497" s="40"/>
      <c r="Q497" s="40"/>
      <c r="R497" s="40"/>
      <c r="S497" s="68"/>
      <c r="U497" s="11"/>
      <c r="W497" s="68"/>
    </row>
    <row r="498" spans="1:23" x14ac:dyDescent="0.2">
      <c r="A498" s="49"/>
      <c r="B498" s="49"/>
      <c r="C498" s="40"/>
      <c r="D498" s="40"/>
      <c r="E498" s="40"/>
      <c r="F498" s="40"/>
      <c r="G498" s="40"/>
      <c r="H498" s="40"/>
      <c r="I498" s="40"/>
      <c r="J498" s="68"/>
      <c r="L498" s="40"/>
      <c r="M498" s="40"/>
      <c r="N498" s="40"/>
      <c r="O498" s="40"/>
      <c r="P498" s="40"/>
      <c r="Q498" s="40"/>
      <c r="R498" s="40"/>
      <c r="S498" s="68"/>
      <c r="U498" s="11"/>
      <c r="W498" s="68"/>
    </row>
    <row r="499" spans="1:23" x14ac:dyDescent="0.2">
      <c r="A499" s="49"/>
      <c r="B499" s="49"/>
      <c r="C499" s="40"/>
      <c r="D499" s="40"/>
      <c r="E499" s="40"/>
      <c r="F499" s="40"/>
      <c r="G499" s="40"/>
      <c r="H499" s="40"/>
      <c r="I499" s="40"/>
      <c r="J499" s="68"/>
      <c r="L499" s="40"/>
      <c r="M499" s="40"/>
      <c r="N499" s="40"/>
      <c r="O499" s="40"/>
      <c r="P499" s="40"/>
      <c r="Q499" s="40"/>
      <c r="R499" s="40"/>
      <c r="S499" s="68"/>
      <c r="U499" s="11"/>
      <c r="W499" s="68"/>
    </row>
    <row r="500" spans="1:23" x14ac:dyDescent="0.2">
      <c r="A500" s="49"/>
      <c r="B500" s="49"/>
      <c r="C500" s="40"/>
      <c r="D500" s="40"/>
      <c r="E500" s="40"/>
      <c r="F500" s="40"/>
      <c r="G500" s="40"/>
      <c r="H500" s="40"/>
      <c r="I500" s="40"/>
      <c r="J500" s="68"/>
      <c r="L500" s="40"/>
      <c r="M500" s="40"/>
      <c r="N500" s="40"/>
      <c r="O500" s="40"/>
      <c r="P500" s="40"/>
      <c r="Q500" s="40"/>
      <c r="R500" s="40"/>
      <c r="S500" s="68"/>
      <c r="U500" s="11"/>
      <c r="W500" s="68"/>
    </row>
    <row r="501" spans="1:23" x14ac:dyDescent="0.2">
      <c r="A501" s="49"/>
      <c r="B501" s="49"/>
      <c r="C501" s="40"/>
      <c r="D501" s="40"/>
      <c r="E501" s="40"/>
      <c r="F501" s="40"/>
      <c r="G501" s="40"/>
      <c r="H501" s="40"/>
      <c r="I501" s="40"/>
      <c r="J501" s="68"/>
      <c r="L501" s="40"/>
      <c r="M501" s="40"/>
      <c r="N501" s="40"/>
      <c r="O501" s="40"/>
      <c r="P501" s="40"/>
      <c r="Q501" s="40"/>
      <c r="R501" s="40"/>
      <c r="S501" s="68"/>
      <c r="U501" s="11"/>
      <c r="W501" s="68"/>
    </row>
    <row r="502" spans="1:23" x14ac:dyDescent="0.2">
      <c r="A502" s="49"/>
      <c r="B502" s="49"/>
      <c r="C502" s="40"/>
      <c r="D502" s="40"/>
      <c r="E502" s="40"/>
      <c r="F502" s="40"/>
      <c r="G502" s="40"/>
      <c r="H502" s="40"/>
      <c r="I502" s="40"/>
      <c r="J502" s="68"/>
      <c r="L502" s="40"/>
      <c r="M502" s="40"/>
      <c r="N502" s="40"/>
      <c r="O502" s="40"/>
      <c r="P502" s="40"/>
      <c r="Q502" s="40"/>
      <c r="R502" s="40"/>
      <c r="S502" s="68"/>
      <c r="U502" s="11"/>
      <c r="W502" s="68"/>
    </row>
    <row r="503" spans="1:23" x14ac:dyDescent="0.2">
      <c r="A503" s="49"/>
      <c r="B503" s="49"/>
      <c r="C503" s="40"/>
      <c r="D503" s="40"/>
      <c r="E503" s="40"/>
      <c r="F503" s="40"/>
      <c r="G503" s="40"/>
      <c r="H503" s="40"/>
      <c r="I503" s="40"/>
      <c r="J503" s="68"/>
      <c r="L503" s="40"/>
      <c r="M503" s="40"/>
      <c r="N503" s="40"/>
      <c r="O503" s="40"/>
      <c r="P503" s="40"/>
      <c r="Q503" s="40"/>
      <c r="R503" s="40"/>
      <c r="S503" s="68"/>
      <c r="U503" s="11"/>
      <c r="W503" s="68"/>
    </row>
    <row r="504" spans="1:23" x14ac:dyDescent="0.2">
      <c r="A504" s="49"/>
      <c r="B504" s="49"/>
      <c r="C504" s="40"/>
      <c r="D504" s="40"/>
      <c r="E504" s="40"/>
      <c r="F504" s="40"/>
      <c r="G504" s="40"/>
      <c r="H504" s="40"/>
      <c r="I504" s="40"/>
      <c r="J504" s="68"/>
      <c r="L504" s="40"/>
      <c r="M504" s="40"/>
      <c r="N504" s="40"/>
      <c r="O504" s="40"/>
      <c r="P504" s="40"/>
      <c r="Q504" s="40"/>
      <c r="R504" s="40"/>
      <c r="S504" s="68"/>
      <c r="U504" s="11"/>
      <c r="W504" s="68"/>
    </row>
    <row r="505" spans="1:23" x14ac:dyDescent="0.2">
      <c r="A505" s="49"/>
      <c r="B505" s="49"/>
      <c r="C505" s="40"/>
      <c r="D505" s="40"/>
      <c r="E505" s="40"/>
      <c r="F505" s="40"/>
      <c r="G505" s="40"/>
      <c r="H505" s="40"/>
      <c r="I505" s="40"/>
      <c r="J505" s="68"/>
      <c r="L505" s="40"/>
      <c r="M505" s="40"/>
      <c r="N505" s="40"/>
      <c r="O505" s="40"/>
      <c r="P505" s="40"/>
      <c r="Q505" s="40"/>
      <c r="R505" s="40"/>
      <c r="S505" s="68"/>
      <c r="U505" s="11"/>
      <c r="W505" s="68"/>
    </row>
    <row r="506" spans="1:23" x14ac:dyDescent="0.2">
      <c r="A506" s="49"/>
      <c r="B506" s="49"/>
      <c r="C506" s="40"/>
      <c r="D506" s="40"/>
      <c r="E506" s="40"/>
      <c r="F506" s="40"/>
      <c r="G506" s="40"/>
      <c r="H506" s="40"/>
      <c r="I506" s="40"/>
      <c r="J506" s="68"/>
      <c r="L506" s="40"/>
      <c r="M506" s="40"/>
      <c r="N506" s="40"/>
      <c r="O506" s="40"/>
      <c r="P506" s="40"/>
      <c r="Q506" s="40"/>
      <c r="R506" s="40"/>
      <c r="S506" s="68"/>
      <c r="U506" s="11"/>
      <c r="W506" s="68"/>
    </row>
    <row r="507" spans="1:23" x14ac:dyDescent="0.2">
      <c r="A507" s="49"/>
      <c r="B507" s="49"/>
      <c r="C507" s="40"/>
      <c r="D507" s="40"/>
      <c r="E507" s="40"/>
      <c r="F507" s="40"/>
      <c r="G507" s="40"/>
      <c r="H507" s="40"/>
      <c r="I507" s="40"/>
      <c r="J507" s="68"/>
      <c r="L507" s="40"/>
      <c r="M507" s="40"/>
      <c r="N507" s="40"/>
      <c r="O507" s="40"/>
      <c r="P507" s="40"/>
      <c r="Q507" s="40"/>
      <c r="R507" s="40"/>
      <c r="S507" s="68"/>
      <c r="U507" s="11"/>
      <c r="W507" s="68"/>
    </row>
    <row r="508" spans="1:23" x14ac:dyDescent="0.2">
      <c r="A508" s="49"/>
      <c r="B508" s="49"/>
      <c r="C508" s="40"/>
      <c r="D508" s="40"/>
      <c r="E508" s="40"/>
      <c r="F508" s="40"/>
      <c r="G508" s="40"/>
      <c r="H508" s="40"/>
      <c r="I508" s="40"/>
      <c r="J508" s="68"/>
      <c r="L508" s="40"/>
      <c r="M508" s="40"/>
      <c r="N508" s="40"/>
      <c r="O508" s="40"/>
      <c r="P508" s="40"/>
      <c r="Q508" s="40"/>
      <c r="R508" s="40"/>
      <c r="S508" s="68"/>
      <c r="U508" s="11"/>
      <c r="W508" s="68"/>
    </row>
    <row r="509" spans="1:23" x14ac:dyDescent="0.2">
      <c r="A509" s="49"/>
      <c r="B509" s="49"/>
      <c r="C509" s="40"/>
      <c r="D509" s="40"/>
      <c r="E509" s="40"/>
      <c r="F509" s="40"/>
      <c r="G509" s="40"/>
      <c r="H509" s="40"/>
      <c r="I509" s="40"/>
      <c r="J509" s="68"/>
      <c r="L509" s="40"/>
      <c r="M509" s="40"/>
      <c r="N509" s="40"/>
      <c r="O509" s="40"/>
      <c r="P509" s="40"/>
      <c r="Q509" s="40"/>
      <c r="R509" s="40"/>
      <c r="S509" s="68"/>
      <c r="U509" s="11"/>
      <c r="W509" s="68"/>
    </row>
    <row r="510" spans="1:23" x14ac:dyDescent="0.2">
      <c r="A510" s="49"/>
      <c r="B510" s="49"/>
      <c r="C510" s="40"/>
      <c r="D510" s="40"/>
      <c r="E510" s="40"/>
      <c r="F510" s="40"/>
      <c r="G510" s="40"/>
      <c r="H510" s="40"/>
      <c r="I510" s="40"/>
      <c r="J510" s="68"/>
      <c r="L510" s="40"/>
      <c r="M510" s="40"/>
      <c r="N510" s="40"/>
      <c r="O510" s="40"/>
      <c r="P510" s="40"/>
      <c r="Q510" s="40"/>
      <c r="R510" s="40"/>
      <c r="S510" s="68"/>
      <c r="U510" s="11"/>
      <c r="W510" s="68"/>
    </row>
    <row r="511" spans="1:23" x14ac:dyDescent="0.2">
      <c r="A511" s="49"/>
      <c r="B511" s="49"/>
      <c r="C511" s="40"/>
      <c r="D511" s="40"/>
      <c r="E511" s="40"/>
      <c r="F511" s="40"/>
      <c r="G511" s="40"/>
      <c r="H511" s="40"/>
      <c r="I511" s="40"/>
      <c r="J511" s="68"/>
      <c r="L511" s="40"/>
      <c r="M511" s="40"/>
      <c r="N511" s="40"/>
      <c r="O511" s="40"/>
      <c r="P511" s="40"/>
      <c r="Q511" s="40"/>
      <c r="R511" s="40"/>
      <c r="S511" s="68"/>
      <c r="U511" s="11"/>
      <c r="W511" s="68"/>
    </row>
    <row r="512" spans="1:23" x14ac:dyDescent="0.2">
      <c r="A512" s="49"/>
      <c r="B512" s="49"/>
      <c r="C512" s="40"/>
      <c r="D512" s="40"/>
      <c r="E512" s="40"/>
      <c r="F512" s="40"/>
      <c r="G512" s="40"/>
      <c r="H512" s="40"/>
      <c r="I512" s="40"/>
      <c r="J512" s="68"/>
      <c r="L512" s="40"/>
      <c r="M512" s="40"/>
      <c r="N512" s="40"/>
      <c r="O512" s="40"/>
      <c r="P512" s="40"/>
      <c r="Q512" s="40"/>
      <c r="R512" s="40"/>
      <c r="S512" s="68"/>
      <c r="U512" s="11"/>
      <c r="W512" s="68"/>
    </row>
    <row r="513" spans="1:23" x14ac:dyDescent="0.2">
      <c r="A513" s="49"/>
      <c r="B513" s="49"/>
      <c r="C513" s="40"/>
      <c r="D513" s="40"/>
      <c r="E513" s="40"/>
      <c r="F513" s="40"/>
      <c r="G513" s="40"/>
      <c r="H513" s="40"/>
      <c r="I513" s="40"/>
      <c r="J513" s="68"/>
      <c r="L513" s="40"/>
      <c r="M513" s="40"/>
      <c r="N513" s="40"/>
      <c r="O513" s="40"/>
      <c r="P513" s="40"/>
      <c r="Q513" s="40"/>
      <c r="R513" s="40"/>
      <c r="S513" s="68"/>
      <c r="U513" s="11"/>
      <c r="W513" s="68"/>
    </row>
    <row r="514" spans="1:23" x14ac:dyDescent="0.2">
      <c r="A514" s="49"/>
      <c r="B514" s="49"/>
      <c r="C514" s="40"/>
      <c r="D514" s="40"/>
      <c r="E514" s="40"/>
      <c r="F514" s="40"/>
      <c r="G514" s="40"/>
      <c r="H514" s="40"/>
      <c r="I514" s="40"/>
      <c r="J514" s="68"/>
      <c r="L514" s="40"/>
      <c r="M514" s="40"/>
      <c r="N514" s="40"/>
      <c r="O514" s="40"/>
      <c r="P514" s="40"/>
      <c r="Q514" s="40"/>
      <c r="R514" s="40"/>
      <c r="S514" s="68"/>
      <c r="U514" s="11"/>
      <c r="W514" s="68"/>
    </row>
    <row r="515" spans="1:23" x14ac:dyDescent="0.2">
      <c r="A515" s="49"/>
      <c r="B515" s="49"/>
      <c r="C515" s="40"/>
      <c r="D515" s="40"/>
      <c r="E515" s="40"/>
      <c r="F515" s="40"/>
      <c r="G515" s="40"/>
      <c r="H515" s="40"/>
      <c r="I515" s="40"/>
      <c r="J515" s="68"/>
      <c r="L515" s="40"/>
      <c r="M515" s="40"/>
      <c r="N515" s="40"/>
      <c r="O515" s="40"/>
      <c r="P515" s="40"/>
      <c r="Q515" s="40"/>
      <c r="R515" s="40"/>
      <c r="S515" s="68"/>
      <c r="U515" s="11"/>
      <c r="W515" s="68"/>
    </row>
    <row r="516" spans="1:23" x14ac:dyDescent="0.2">
      <c r="A516" s="49"/>
      <c r="B516" s="49"/>
      <c r="C516" s="40"/>
      <c r="D516" s="40"/>
      <c r="E516" s="40"/>
      <c r="F516" s="40"/>
      <c r="G516" s="40"/>
      <c r="H516" s="40"/>
      <c r="I516" s="40"/>
      <c r="J516" s="68"/>
      <c r="L516" s="40"/>
      <c r="M516" s="40"/>
      <c r="N516" s="40"/>
      <c r="O516" s="40"/>
      <c r="P516" s="40"/>
      <c r="Q516" s="40"/>
      <c r="R516" s="40"/>
      <c r="S516" s="68"/>
      <c r="U516" s="11"/>
      <c r="W516" s="68"/>
    </row>
    <row r="517" spans="1:23" x14ac:dyDescent="0.2">
      <c r="A517" s="49"/>
      <c r="B517" s="49"/>
      <c r="C517" s="40"/>
      <c r="D517" s="40"/>
      <c r="E517" s="40"/>
      <c r="F517" s="40"/>
      <c r="G517" s="40"/>
      <c r="H517" s="40"/>
      <c r="I517" s="40"/>
      <c r="J517" s="68"/>
      <c r="L517" s="40"/>
      <c r="M517" s="40"/>
      <c r="N517" s="40"/>
      <c r="O517" s="40"/>
      <c r="P517" s="40"/>
      <c r="Q517" s="40"/>
      <c r="R517" s="40"/>
      <c r="S517" s="68"/>
      <c r="U517" s="11"/>
      <c r="W517" s="68"/>
    </row>
    <row r="518" spans="1:23" x14ac:dyDescent="0.2">
      <c r="A518" s="49"/>
      <c r="B518" s="49"/>
      <c r="C518" s="40"/>
      <c r="D518" s="40"/>
      <c r="E518" s="40"/>
      <c r="F518" s="40"/>
      <c r="G518" s="40"/>
      <c r="H518" s="40"/>
      <c r="I518" s="40"/>
      <c r="J518" s="68"/>
      <c r="L518" s="40"/>
      <c r="M518" s="40"/>
      <c r="N518" s="40"/>
      <c r="O518" s="40"/>
      <c r="P518" s="40"/>
      <c r="Q518" s="40"/>
      <c r="R518" s="40"/>
      <c r="S518" s="68"/>
      <c r="U518" s="11"/>
      <c r="W518" s="68"/>
    </row>
    <row r="519" spans="1:23" x14ac:dyDescent="0.2">
      <c r="A519" s="49"/>
      <c r="B519" s="49"/>
      <c r="C519" s="40"/>
      <c r="D519" s="40"/>
      <c r="E519" s="40"/>
      <c r="F519" s="40"/>
      <c r="G519" s="40"/>
      <c r="H519" s="40"/>
      <c r="I519" s="40"/>
      <c r="J519" s="68"/>
      <c r="L519" s="40"/>
      <c r="M519" s="40"/>
      <c r="N519" s="40"/>
      <c r="O519" s="40"/>
      <c r="P519" s="40"/>
      <c r="Q519" s="40"/>
      <c r="R519" s="40"/>
      <c r="S519" s="68"/>
      <c r="U519" s="11"/>
      <c r="W519" s="68"/>
    </row>
    <row r="520" spans="1:23" x14ac:dyDescent="0.2">
      <c r="A520" s="49"/>
      <c r="B520" s="49"/>
      <c r="C520" s="40"/>
      <c r="D520" s="40"/>
      <c r="E520" s="40"/>
      <c r="F520" s="40"/>
      <c r="G520" s="40"/>
      <c r="H520" s="40"/>
      <c r="I520" s="40"/>
      <c r="J520" s="68"/>
      <c r="L520" s="40"/>
      <c r="M520" s="40"/>
      <c r="N520" s="40"/>
      <c r="O520" s="40"/>
      <c r="P520" s="40"/>
      <c r="Q520" s="40"/>
      <c r="R520" s="40"/>
      <c r="S520" s="68"/>
      <c r="U520" s="11"/>
      <c r="W520" s="68"/>
    </row>
    <row r="521" spans="1:23" x14ac:dyDescent="0.2">
      <c r="A521" s="49"/>
      <c r="B521" s="49"/>
      <c r="C521" s="40"/>
      <c r="D521" s="40"/>
      <c r="E521" s="40"/>
      <c r="F521" s="40"/>
      <c r="G521" s="40"/>
      <c r="H521" s="40"/>
      <c r="I521" s="40"/>
      <c r="J521" s="68"/>
      <c r="L521" s="40"/>
      <c r="M521" s="40"/>
      <c r="N521" s="40"/>
      <c r="O521" s="40"/>
      <c r="P521" s="40"/>
      <c r="Q521" s="40"/>
      <c r="R521" s="40"/>
      <c r="S521" s="68"/>
      <c r="U521" s="11"/>
      <c r="W521" s="68"/>
    </row>
    <row r="522" spans="1:23" x14ac:dyDescent="0.2">
      <c r="A522" s="49"/>
      <c r="B522" s="49"/>
      <c r="C522" s="40"/>
      <c r="D522" s="40"/>
      <c r="E522" s="40"/>
      <c r="F522" s="40"/>
      <c r="G522" s="40"/>
      <c r="H522" s="40"/>
      <c r="I522" s="40"/>
      <c r="J522" s="68"/>
      <c r="L522" s="40"/>
      <c r="M522" s="40"/>
      <c r="N522" s="40"/>
      <c r="O522" s="40"/>
      <c r="P522" s="40"/>
      <c r="Q522" s="40"/>
      <c r="R522" s="40"/>
      <c r="S522" s="68"/>
      <c r="U522" s="11"/>
      <c r="W522" s="68"/>
    </row>
    <row r="523" spans="1:23" x14ac:dyDescent="0.2">
      <c r="A523" s="49"/>
      <c r="B523" s="49"/>
      <c r="C523" s="40"/>
      <c r="D523" s="40"/>
      <c r="E523" s="40"/>
      <c r="F523" s="40"/>
      <c r="G523" s="40"/>
      <c r="H523" s="40"/>
      <c r="I523" s="40"/>
      <c r="J523" s="68"/>
      <c r="L523" s="40"/>
      <c r="M523" s="40"/>
      <c r="N523" s="40"/>
      <c r="O523" s="40"/>
      <c r="P523" s="40"/>
      <c r="Q523" s="40"/>
      <c r="R523" s="40"/>
      <c r="S523" s="68"/>
      <c r="U523" s="11"/>
      <c r="W523" s="68"/>
    </row>
    <row r="524" spans="1:23" x14ac:dyDescent="0.2">
      <c r="A524" s="49"/>
      <c r="B524" s="49"/>
      <c r="C524" s="40"/>
      <c r="D524" s="40"/>
      <c r="E524" s="40"/>
      <c r="F524" s="40"/>
      <c r="G524" s="40"/>
      <c r="H524" s="40"/>
      <c r="I524" s="40"/>
      <c r="J524" s="68"/>
      <c r="L524" s="40"/>
      <c r="M524" s="40"/>
      <c r="N524" s="40"/>
      <c r="O524" s="40"/>
      <c r="P524" s="40"/>
      <c r="Q524" s="40"/>
      <c r="R524" s="40"/>
      <c r="S524" s="68"/>
      <c r="U524" s="11"/>
      <c r="W524" s="68"/>
    </row>
    <row r="525" spans="1:23" x14ac:dyDescent="0.2">
      <c r="A525" s="49"/>
      <c r="B525" s="49"/>
      <c r="C525" s="40"/>
      <c r="D525" s="40"/>
      <c r="E525" s="40"/>
      <c r="F525" s="40"/>
      <c r="G525" s="40"/>
      <c r="H525" s="40"/>
      <c r="I525" s="40"/>
      <c r="J525" s="68"/>
      <c r="L525" s="40"/>
      <c r="M525" s="40"/>
      <c r="N525" s="40"/>
      <c r="O525" s="40"/>
      <c r="P525" s="40"/>
      <c r="Q525" s="40"/>
      <c r="R525" s="40"/>
      <c r="S525" s="68"/>
      <c r="U525" s="11"/>
      <c r="W525" s="68"/>
    </row>
    <row r="526" spans="1:23" x14ac:dyDescent="0.2">
      <c r="A526" s="49"/>
      <c r="B526" s="49"/>
      <c r="C526" s="40"/>
      <c r="D526" s="40"/>
      <c r="E526" s="40"/>
      <c r="F526" s="40"/>
      <c r="G526" s="40"/>
      <c r="H526" s="40"/>
      <c r="I526" s="40"/>
      <c r="J526" s="68"/>
      <c r="L526" s="40"/>
      <c r="M526" s="40"/>
      <c r="N526" s="40"/>
      <c r="O526" s="40"/>
      <c r="P526" s="40"/>
      <c r="Q526" s="40"/>
      <c r="R526" s="40"/>
      <c r="S526" s="68"/>
      <c r="U526" s="11"/>
      <c r="W526" s="68"/>
    </row>
    <row r="527" spans="1:23" x14ac:dyDescent="0.2">
      <c r="A527" s="49"/>
      <c r="B527" s="49"/>
      <c r="C527" s="40"/>
      <c r="D527" s="40"/>
      <c r="E527" s="40"/>
      <c r="F527" s="40"/>
      <c r="G527" s="40"/>
      <c r="H527" s="40"/>
      <c r="I527" s="40"/>
      <c r="J527" s="68"/>
      <c r="L527" s="40"/>
      <c r="M527" s="40"/>
      <c r="N527" s="40"/>
      <c r="O527" s="40"/>
      <c r="P527" s="40"/>
      <c r="Q527" s="40"/>
      <c r="R527" s="40"/>
      <c r="S527" s="68"/>
      <c r="U527" s="11"/>
      <c r="W527" s="68"/>
    </row>
    <row r="528" spans="1:23" x14ac:dyDescent="0.2">
      <c r="A528" s="49"/>
      <c r="B528" s="49"/>
      <c r="C528" s="40"/>
      <c r="D528" s="40"/>
      <c r="E528" s="40"/>
      <c r="F528" s="40"/>
      <c r="G528" s="40"/>
      <c r="H528" s="40"/>
      <c r="I528" s="40"/>
      <c r="J528" s="68"/>
      <c r="L528" s="40"/>
      <c r="M528" s="40"/>
      <c r="N528" s="40"/>
      <c r="O528" s="40"/>
      <c r="P528" s="40"/>
      <c r="Q528" s="40"/>
      <c r="R528" s="40"/>
      <c r="S528" s="68"/>
      <c r="U528" s="11"/>
      <c r="W528" s="68"/>
    </row>
    <row r="529" spans="1:23" x14ac:dyDescent="0.2">
      <c r="A529" s="49"/>
      <c r="B529" s="49"/>
      <c r="C529" s="40"/>
      <c r="D529" s="40"/>
      <c r="E529" s="40"/>
      <c r="F529" s="40"/>
      <c r="G529" s="40"/>
      <c r="H529" s="40"/>
      <c r="I529" s="40"/>
      <c r="J529" s="68"/>
      <c r="L529" s="40"/>
      <c r="M529" s="40"/>
      <c r="N529" s="40"/>
      <c r="O529" s="40"/>
      <c r="P529" s="40"/>
      <c r="Q529" s="40"/>
      <c r="R529" s="40"/>
      <c r="S529" s="68"/>
      <c r="U529" s="11"/>
      <c r="W529" s="68"/>
    </row>
    <row r="530" spans="1:23" x14ac:dyDescent="0.2">
      <c r="A530" s="49"/>
      <c r="B530" s="49"/>
      <c r="C530" s="40"/>
      <c r="D530" s="40"/>
      <c r="E530" s="40"/>
      <c r="F530" s="40"/>
      <c r="G530" s="40"/>
      <c r="H530" s="40"/>
      <c r="I530" s="40"/>
      <c r="J530" s="68"/>
      <c r="L530" s="40"/>
      <c r="M530" s="40"/>
      <c r="N530" s="40"/>
      <c r="O530" s="40"/>
      <c r="P530" s="40"/>
      <c r="Q530" s="40"/>
      <c r="R530" s="40"/>
      <c r="S530" s="68"/>
      <c r="U530" s="11"/>
      <c r="W530" s="68"/>
    </row>
    <row r="531" spans="1:23" x14ac:dyDescent="0.2">
      <c r="A531" s="49"/>
      <c r="B531" s="49"/>
      <c r="C531" s="40"/>
      <c r="D531" s="40"/>
      <c r="E531" s="40"/>
      <c r="F531" s="40"/>
      <c r="G531" s="40"/>
      <c r="H531" s="40"/>
      <c r="I531" s="40"/>
      <c r="J531" s="68"/>
      <c r="L531" s="40"/>
      <c r="M531" s="40"/>
      <c r="N531" s="40"/>
      <c r="O531" s="40"/>
      <c r="P531" s="40"/>
      <c r="Q531" s="40"/>
      <c r="R531" s="40"/>
      <c r="S531" s="68"/>
      <c r="U531" s="11"/>
      <c r="W531" s="68"/>
    </row>
    <row r="532" spans="1:23" x14ac:dyDescent="0.2">
      <c r="A532" s="49"/>
      <c r="B532" s="49"/>
      <c r="C532" s="40"/>
      <c r="D532" s="40"/>
      <c r="E532" s="40"/>
      <c r="F532" s="40"/>
      <c r="G532" s="40"/>
      <c r="H532" s="40"/>
      <c r="I532" s="40"/>
      <c r="J532" s="68"/>
      <c r="L532" s="40"/>
      <c r="M532" s="40"/>
      <c r="N532" s="40"/>
      <c r="O532" s="40"/>
      <c r="P532" s="40"/>
      <c r="Q532" s="40"/>
      <c r="R532" s="40"/>
      <c r="S532" s="68"/>
      <c r="U532" s="11"/>
      <c r="W532" s="68"/>
    </row>
    <row r="533" spans="1:23" x14ac:dyDescent="0.2">
      <c r="A533" s="49"/>
      <c r="B533" s="49"/>
      <c r="C533" s="40"/>
      <c r="D533" s="40"/>
      <c r="E533" s="40"/>
      <c r="F533" s="40"/>
      <c r="G533" s="40"/>
      <c r="H533" s="40"/>
      <c r="I533" s="40"/>
      <c r="J533" s="68"/>
      <c r="L533" s="40"/>
      <c r="M533" s="40"/>
      <c r="N533" s="40"/>
      <c r="O533" s="40"/>
      <c r="P533" s="40"/>
      <c r="Q533" s="40"/>
      <c r="R533" s="40"/>
      <c r="S533" s="68"/>
      <c r="U533" s="11"/>
      <c r="W533" s="68"/>
    </row>
    <row r="534" spans="1:23" x14ac:dyDescent="0.2">
      <c r="A534" s="49"/>
      <c r="B534" s="49"/>
      <c r="C534" s="40"/>
      <c r="D534" s="40"/>
      <c r="E534" s="40"/>
      <c r="F534" s="40"/>
      <c r="G534" s="40"/>
      <c r="H534" s="40"/>
      <c r="I534" s="40"/>
      <c r="J534" s="68"/>
      <c r="L534" s="40"/>
      <c r="M534" s="40"/>
      <c r="N534" s="40"/>
      <c r="O534" s="40"/>
      <c r="P534" s="40"/>
      <c r="Q534" s="40"/>
      <c r="R534" s="40"/>
      <c r="S534" s="68"/>
      <c r="U534" s="11"/>
      <c r="W534" s="68"/>
    </row>
    <row r="535" spans="1:23" x14ac:dyDescent="0.2">
      <c r="A535" s="49"/>
      <c r="B535" s="49"/>
      <c r="C535" s="40"/>
      <c r="D535" s="40"/>
      <c r="E535" s="40"/>
      <c r="F535" s="40"/>
      <c r="G535" s="40"/>
      <c r="H535" s="40"/>
      <c r="I535" s="40"/>
      <c r="J535" s="68"/>
      <c r="L535" s="40"/>
      <c r="M535" s="40"/>
      <c r="N535" s="40"/>
      <c r="O535" s="40"/>
      <c r="P535" s="40"/>
      <c r="Q535" s="40"/>
      <c r="R535" s="40"/>
      <c r="S535" s="68"/>
      <c r="U535" s="11"/>
      <c r="W535" s="68"/>
    </row>
    <row r="536" spans="1:23" x14ac:dyDescent="0.2">
      <c r="A536" s="49"/>
      <c r="B536" s="49"/>
      <c r="C536" s="40"/>
      <c r="D536" s="40"/>
      <c r="E536" s="40"/>
      <c r="F536" s="40"/>
      <c r="G536" s="40"/>
      <c r="H536" s="40"/>
      <c r="I536" s="40"/>
      <c r="J536" s="68"/>
      <c r="L536" s="40"/>
      <c r="M536" s="40"/>
      <c r="N536" s="40"/>
      <c r="O536" s="40"/>
      <c r="P536" s="40"/>
      <c r="Q536" s="40"/>
      <c r="R536" s="40"/>
      <c r="S536" s="68"/>
      <c r="U536" s="11"/>
      <c r="W536" s="68"/>
    </row>
    <row r="537" spans="1:23" x14ac:dyDescent="0.2">
      <c r="A537" s="49"/>
      <c r="B537" s="49"/>
      <c r="C537" s="40"/>
      <c r="D537" s="40"/>
      <c r="E537" s="40"/>
      <c r="F537" s="40"/>
      <c r="G537" s="40"/>
      <c r="H537" s="40"/>
      <c r="I537" s="40"/>
      <c r="J537" s="68"/>
      <c r="L537" s="40"/>
      <c r="M537" s="40"/>
      <c r="N537" s="40"/>
      <c r="O537" s="40"/>
      <c r="P537" s="40"/>
      <c r="Q537" s="40"/>
      <c r="R537" s="40"/>
      <c r="S537" s="68"/>
      <c r="U537" s="11"/>
      <c r="W537" s="68"/>
    </row>
    <row r="538" spans="1:23" x14ac:dyDescent="0.2">
      <c r="A538" s="49"/>
      <c r="B538" s="49"/>
      <c r="C538" s="40"/>
      <c r="D538" s="40"/>
      <c r="E538" s="40"/>
      <c r="F538" s="40"/>
      <c r="G538" s="40"/>
      <c r="H538" s="40"/>
      <c r="I538" s="40"/>
      <c r="J538" s="68"/>
      <c r="L538" s="40"/>
      <c r="M538" s="40"/>
      <c r="N538" s="40"/>
      <c r="O538" s="40"/>
      <c r="P538" s="40"/>
      <c r="Q538" s="40"/>
      <c r="R538" s="40"/>
      <c r="S538" s="68"/>
      <c r="U538" s="11"/>
      <c r="W538" s="68"/>
    </row>
    <row r="539" spans="1:23" x14ac:dyDescent="0.2">
      <c r="A539" s="49"/>
      <c r="B539" s="49"/>
      <c r="C539" s="40"/>
      <c r="D539" s="40"/>
      <c r="E539" s="40"/>
      <c r="F539" s="40"/>
      <c r="G539" s="40"/>
      <c r="H539" s="40"/>
      <c r="I539" s="40"/>
      <c r="J539" s="68"/>
      <c r="L539" s="40"/>
      <c r="M539" s="40"/>
      <c r="N539" s="40"/>
      <c r="O539" s="40"/>
      <c r="P539" s="40"/>
      <c r="Q539" s="40"/>
      <c r="R539" s="40"/>
      <c r="S539" s="68"/>
      <c r="U539" s="11"/>
      <c r="W539" s="68"/>
    </row>
    <row r="540" spans="1:23" x14ac:dyDescent="0.2">
      <c r="A540" s="49"/>
      <c r="B540" s="49"/>
      <c r="C540" s="40"/>
      <c r="D540" s="40"/>
      <c r="E540" s="40"/>
      <c r="F540" s="40"/>
      <c r="G540" s="40"/>
      <c r="H540" s="40"/>
      <c r="I540" s="40"/>
      <c r="J540" s="68"/>
      <c r="L540" s="40"/>
      <c r="M540" s="40"/>
      <c r="N540" s="40"/>
      <c r="O540" s="40"/>
      <c r="P540" s="40"/>
      <c r="Q540" s="40"/>
      <c r="R540" s="40"/>
      <c r="S540" s="68"/>
      <c r="U540" s="11"/>
      <c r="W540" s="68"/>
    </row>
    <row r="541" spans="1:23" x14ac:dyDescent="0.2">
      <c r="A541" s="49"/>
      <c r="B541" s="49"/>
      <c r="C541" s="40"/>
      <c r="D541" s="40"/>
      <c r="E541" s="40"/>
      <c r="F541" s="40"/>
      <c r="G541" s="40"/>
      <c r="H541" s="40"/>
      <c r="I541" s="40"/>
      <c r="J541" s="68"/>
      <c r="L541" s="40"/>
      <c r="M541" s="40"/>
      <c r="N541" s="40"/>
      <c r="O541" s="40"/>
      <c r="P541" s="40"/>
      <c r="Q541" s="40"/>
      <c r="R541" s="40"/>
      <c r="S541" s="68"/>
      <c r="U541" s="11"/>
      <c r="W541" s="68"/>
    </row>
    <row r="542" spans="1:23" x14ac:dyDescent="0.2">
      <c r="A542" s="49"/>
      <c r="B542" s="49"/>
      <c r="C542" s="40"/>
      <c r="D542" s="40"/>
      <c r="E542" s="40"/>
      <c r="F542" s="40"/>
      <c r="G542" s="40"/>
      <c r="H542" s="40"/>
      <c r="I542" s="40"/>
      <c r="J542" s="68"/>
      <c r="L542" s="40"/>
      <c r="M542" s="40"/>
      <c r="N542" s="40"/>
      <c r="O542" s="40"/>
      <c r="P542" s="40"/>
      <c r="Q542" s="40"/>
      <c r="R542" s="40"/>
      <c r="S542" s="68"/>
      <c r="U542" s="11"/>
      <c r="W542" s="68"/>
    </row>
    <row r="543" spans="1:23" x14ac:dyDescent="0.2">
      <c r="A543" s="49"/>
      <c r="B543" s="49"/>
      <c r="C543" s="40"/>
      <c r="D543" s="40"/>
      <c r="E543" s="40"/>
      <c r="F543" s="40"/>
      <c r="G543" s="40"/>
      <c r="H543" s="40"/>
      <c r="I543" s="40"/>
      <c r="J543" s="68"/>
      <c r="L543" s="40"/>
      <c r="M543" s="40"/>
      <c r="N543" s="40"/>
      <c r="O543" s="40"/>
      <c r="P543" s="40"/>
      <c r="Q543" s="40"/>
      <c r="R543" s="40"/>
      <c r="S543" s="68"/>
      <c r="U543" s="11"/>
      <c r="W543" s="68"/>
    </row>
    <row r="544" spans="1:23" x14ac:dyDescent="0.2">
      <c r="A544" s="49"/>
      <c r="B544" s="49"/>
      <c r="C544" s="40"/>
      <c r="D544" s="40"/>
      <c r="E544" s="40"/>
      <c r="F544" s="40"/>
      <c r="G544" s="40"/>
      <c r="H544" s="40"/>
      <c r="I544" s="40"/>
      <c r="J544" s="68"/>
      <c r="L544" s="40"/>
      <c r="M544" s="40"/>
      <c r="N544" s="40"/>
      <c r="O544" s="40"/>
      <c r="P544" s="40"/>
      <c r="Q544" s="40"/>
      <c r="R544" s="40"/>
      <c r="S544" s="68"/>
      <c r="U544" s="11"/>
      <c r="W544" s="68"/>
    </row>
    <row r="545" spans="1:23" x14ac:dyDescent="0.2">
      <c r="A545" s="49"/>
      <c r="B545" s="49"/>
      <c r="C545" s="40"/>
      <c r="D545" s="40"/>
      <c r="E545" s="40"/>
      <c r="F545" s="40"/>
      <c r="G545" s="40"/>
      <c r="H545" s="40"/>
      <c r="I545" s="40"/>
      <c r="J545" s="68"/>
      <c r="L545" s="40"/>
      <c r="M545" s="40"/>
      <c r="N545" s="40"/>
      <c r="O545" s="40"/>
      <c r="P545" s="40"/>
      <c r="Q545" s="40"/>
      <c r="R545" s="40"/>
      <c r="S545" s="68"/>
      <c r="U545" s="11"/>
      <c r="W545" s="68"/>
    </row>
    <row r="546" spans="1:23" x14ac:dyDescent="0.2">
      <c r="A546" s="49"/>
      <c r="B546" s="49"/>
      <c r="C546" s="40"/>
      <c r="D546" s="40"/>
      <c r="E546" s="40"/>
      <c r="F546" s="40"/>
      <c r="G546" s="40"/>
      <c r="H546" s="40"/>
      <c r="I546" s="40"/>
      <c r="J546" s="68"/>
      <c r="L546" s="40"/>
      <c r="M546" s="40"/>
      <c r="N546" s="40"/>
      <c r="O546" s="40"/>
      <c r="P546" s="40"/>
      <c r="Q546" s="40"/>
      <c r="R546" s="40"/>
      <c r="S546" s="68"/>
      <c r="U546" s="11"/>
      <c r="W546" s="68"/>
    </row>
    <row r="547" spans="1:23" x14ac:dyDescent="0.2">
      <c r="A547" s="49"/>
      <c r="B547" s="49"/>
      <c r="C547" s="40"/>
      <c r="D547" s="40"/>
      <c r="E547" s="40"/>
      <c r="F547" s="40"/>
      <c r="G547" s="40"/>
      <c r="H547" s="40"/>
      <c r="I547" s="40"/>
      <c r="J547" s="68"/>
      <c r="L547" s="40"/>
      <c r="M547" s="40"/>
      <c r="N547" s="40"/>
      <c r="O547" s="40"/>
      <c r="P547" s="40"/>
      <c r="Q547" s="40"/>
      <c r="R547" s="40"/>
      <c r="S547" s="68"/>
      <c r="U547" s="11"/>
      <c r="W547" s="68"/>
    </row>
    <row r="548" spans="1:23" x14ac:dyDescent="0.2">
      <c r="A548" s="49"/>
      <c r="B548" s="49"/>
      <c r="C548" s="40"/>
      <c r="D548" s="40"/>
      <c r="E548" s="40"/>
      <c r="F548" s="40"/>
      <c r="G548" s="40"/>
      <c r="H548" s="40"/>
      <c r="I548" s="40"/>
      <c r="J548" s="68"/>
      <c r="L548" s="40"/>
      <c r="M548" s="40"/>
      <c r="N548" s="40"/>
      <c r="O548" s="40"/>
      <c r="P548" s="40"/>
      <c r="Q548" s="40"/>
      <c r="R548" s="40"/>
      <c r="S548" s="68"/>
      <c r="U548" s="11"/>
      <c r="W548" s="68"/>
    </row>
    <row r="549" spans="1:23" x14ac:dyDescent="0.2">
      <c r="A549" s="49"/>
      <c r="B549" s="49"/>
      <c r="C549" s="40"/>
      <c r="D549" s="40"/>
      <c r="E549" s="40"/>
      <c r="F549" s="40"/>
      <c r="G549" s="40"/>
      <c r="H549" s="40"/>
      <c r="I549" s="40"/>
      <c r="J549" s="68"/>
      <c r="L549" s="40"/>
      <c r="M549" s="40"/>
      <c r="N549" s="40"/>
      <c r="O549" s="40"/>
      <c r="P549" s="40"/>
      <c r="Q549" s="40"/>
      <c r="R549" s="40"/>
      <c r="S549" s="68"/>
      <c r="U549" s="11"/>
      <c r="W549" s="68"/>
    </row>
    <row r="550" spans="1:23" x14ac:dyDescent="0.2">
      <c r="A550" s="49"/>
      <c r="B550" s="49"/>
      <c r="C550" s="40"/>
      <c r="D550" s="40"/>
      <c r="E550" s="40"/>
      <c r="F550" s="40"/>
      <c r="G550" s="40"/>
      <c r="H550" s="40"/>
      <c r="I550" s="40"/>
      <c r="J550" s="68"/>
      <c r="L550" s="40"/>
      <c r="M550" s="40"/>
      <c r="N550" s="40"/>
      <c r="O550" s="40"/>
      <c r="P550" s="40"/>
      <c r="Q550" s="40"/>
      <c r="R550" s="40"/>
      <c r="S550" s="68"/>
      <c r="U550" s="11"/>
      <c r="W550" s="68"/>
    </row>
    <row r="551" spans="1:23" x14ac:dyDescent="0.2">
      <c r="A551" s="49"/>
      <c r="B551" s="49"/>
      <c r="C551" s="40"/>
      <c r="D551" s="40"/>
      <c r="E551" s="40"/>
      <c r="F551" s="40"/>
      <c r="G551" s="40"/>
      <c r="H551" s="40"/>
      <c r="I551" s="40"/>
      <c r="J551" s="68"/>
      <c r="L551" s="40"/>
      <c r="M551" s="40"/>
      <c r="N551" s="40"/>
      <c r="O551" s="40"/>
      <c r="P551" s="40"/>
      <c r="Q551" s="40"/>
      <c r="R551" s="40"/>
      <c r="S551" s="68"/>
      <c r="U551" s="11"/>
      <c r="W551" s="68"/>
    </row>
    <row r="552" spans="1:23" x14ac:dyDescent="0.2">
      <c r="A552" s="49"/>
      <c r="B552" s="49"/>
      <c r="C552" s="40"/>
      <c r="D552" s="40"/>
      <c r="E552" s="40"/>
      <c r="F552" s="40"/>
      <c r="G552" s="40"/>
      <c r="H552" s="40"/>
      <c r="I552" s="40"/>
      <c r="J552" s="68"/>
      <c r="L552" s="40"/>
      <c r="M552" s="40"/>
      <c r="N552" s="40"/>
      <c r="O552" s="40"/>
      <c r="P552" s="40"/>
      <c r="Q552" s="40"/>
      <c r="R552" s="40"/>
      <c r="S552" s="68"/>
      <c r="U552" s="11"/>
      <c r="W552" s="68"/>
    </row>
    <row r="553" spans="1:23" x14ac:dyDescent="0.2">
      <c r="A553" s="49"/>
      <c r="B553" s="49"/>
      <c r="C553" s="40"/>
      <c r="D553" s="40"/>
      <c r="E553" s="40"/>
      <c r="F553" s="40"/>
      <c r="G553" s="40"/>
      <c r="H553" s="40"/>
      <c r="I553" s="40"/>
      <c r="J553" s="68"/>
      <c r="L553" s="40"/>
      <c r="M553" s="40"/>
      <c r="N553" s="40"/>
      <c r="O553" s="40"/>
      <c r="P553" s="40"/>
      <c r="Q553" s="40"/>
      <c r="R553" s="40"/>
      <c r="S553" s="68"/>
      <c r="U553" s="11"/>
      <c r="W553" s="68"/>
    </row>
    <row r="554" spans="1:23" x14ac:dyDescent="0.2">
      <c r="A554" s="49"/>
      <c r="B554" s="49"/>
      <c r="C554" s="40"/>
      <c r="D554" s="40"/>
      <c r="E554" s="40"/>
      <c r="F554" s="40"/>
      <c r="G554" s="40"/>
      <c r="H554" s="40"/>
      <c r="I554" s="40"/>
      <c r="J554" s="68"/>
      <c r="L554" s="40"/>
      <c r="M554" s="40"/>
      <c r="N554" s="40"/>
      <c r="O554" s="40"/>
      <c r="P554" s="40"/>
      <c r="Q554" s="40"/>
      <c r="R554" s="40"/>
      <c r="S554" s="68"/>
      <c r="W554" s="68"/>
    </row>
    <row r="555" spans="1:23" x14ac:dyDescent="0.2">
      <c r="A555" s="49"/>
      <c r="B555" s="49"/>
      <c r="C555" s="40"/>
      <c r="D555" s="40"/>
      <c r="E555" s="40"/>
      <c r="F555" s="40"/>
      <c r="G555" s="40"/>
      <c r="H555" s="40"/>
      <c r="I555" s="40"/>
      <c r="J555" s="68"/>
      <c r="L555" s="40"/>
      <c r="M555" s="40"/>
      <c r="N555" s="40"/>
      <c r="O555" s="40"/>
      <c r="P555" s="40"/>
      <c r="Q555" s="40"/>
      <c r="R555" s="40"/>
      <c r="S555" s="68"/>
      <c r="W555" s="68"/>
    </row>
    <row r="556" spans="1:23" x14ac:dyDescent="0.2">
      <c r="A556" s="49"/>
      <c r="B556" s="49"/>
      <c r="C556" s="40"/>
      <c r="D556" s="40"/>
      <c r="E556" s="40"/>
      <c r="F556" s="40"/>
      <c r="G556" s="40"/>
      <c r="H556" s="40"/>
      <c r="I556" s="40"/>
      <c r="J556" s="68"/>
      <c r="L556" s="40"/>
      <c r="M556" s="40"/>
      <c r="N556" s="40"/>
      <c r="O556" s="40"/>
      <c r="P556" s="40"/>
      <c r="Q556" s="40"/>
      <c r="R556" s="40"/>
      <c r="S556" s="68"/>
      <c r="W556" s="68"/>
    </row>
    <row r="557" spans="1:23" x14ac:dyDescent="0.2">
      <c r="A557" s="49"/>
      <c r="B557" s="49"/>
      <c r="C557" s="40"/>
      <c r="D557" s="40"/>
      <c r="E557" s="40"/>
      <c r="F557" s="40"/>
      <c r="G557" s="40"/>
      <c r="H557" s="40"/>
      <c r="I557" s="40"/>
      <c r="J557" s="68"/>
      <c r="L557" s="40"/>
      <c r="M557" s="40"/>
      <c r="N557" s="40"/>
      <c r="O557" s="40"/>
      <c r="P557" s="40"/>
      <c r="Q557" s="40"/>
      <c r="R557" s="40"/>
      <c r="S557" s="68"/>
      <c r="W557" s="68"/>
    </row>
    <row r="558" spans="1:23" x14ac:dyDescent="0.2">
      <c r="A558" s="49"/>
      <c r="B558" s="49"/>
      <c r="C558" s="40"/>
      <c r="D558" s="40"/>
      <c r="E558" s="40"/>
      <c r="F558" s="40"/>
      <c r="G558" s="40"/>
      <c r="H558" s="40"/>
      <c r="I558" s="40"/>
      <c r="J558" s="68"/>
      <c r="L558" s="40"/>
      <c r="M558" s="40"/>
      <c r="N558" s="40"/>
      <c r="O558" s="40"/>
      <c r="P558" s="40"/>
      <c r="Q558" s="40"/>
      <c r="R558" s="40"/>
      <c r="S558" s="68"/>
      <c r="W558" s="68"/>
    </row>
    <row r="559" spans="1:23" x14ac:dyDescent="0.2">
      <c r="A559" s="49"/>
      <c r="B559" s="49"/>
      <c r="C559" s="40"/>
      <c r="D559" s="40"/>
      <c r="E559" s="40"/>
      <c r="F559" s="40"/>
      <c r="G559" s="40"/>
      <c r="H559" s="40"/>
      <c r="I559" s="40"/>
      <c r="J559" s="68"/>
      <c r="L559" s="40"/>
      <c r="M559" s="40"/>
      <c r="N559" s="40"/>
      <c r="O559" s="40"/>
      <c r="P559" s="40"/>
      <c r="Q559" s="40"/>
      <c r="R559" s="40"/>
      <c r="S559" s="68"/>
      <c r="W559" s="68"/>
    </row>
    <row r="560" spans="1:23" x14ac:dyDescent="0.2">
      <c r="A560" s="49"/>
      <c r="B560" s="49"/>
      <c r="C560" s="40"/>
      <c r="D560" s="40"/>
      <c r="E560" s="40"/>
      <c r="F560" s="40"/>
      <c r="G560" s="40"/>
      <c r="H560" s="40"/>
      <c r="I560" s="40"/>
      <c r="J560" s="68"/>
      <c r="L560" s="40"/>
      <c r="M560" s="40"/>
      <c r="N560" s="40"/>
      <c r="O560" s="40"/>
      <c r="P560" s="40"/>
      <c r="Q560" s="40"/>
      <c r="R560" s="40"/>
      <c r="S560" s="68"/>
      <c r="W560" s="68"/>
    </row>
    <row r="561" spans="1:23" x14ac:dyDescent="0.2">
      <c r="A561" s="49"/>
      <c r="B561" s="49"/>
      <c r="C561" s="40"/>
      <c r="D561" s="40"/>
      <c r="E561" s="40"/>
      <c r="F561" s="40"/>
      <c r="G561" s="40"/>
      <c r="H561" s="40"/>
      <c r="I561" s="40"/>
      <c r="J561" s="68"/>
      <c r="L561" s="40"/>
      <c r="M561" s="40"/>
      <c r="N561" s="40"/>
      <c r="O561" s="40"/>
      <c r="P561" s="40"/>
      <c r="Q561" s="40"/>
      <c r="R561" s="40"/>
      <c r="S561" s="68"/>
      <c r="W561" s="68"/>
    </row>
    <row r="562" spans="1:23" x14ac:dyDescent="0.2">
      <c r="A562" s="49"/>
      <c r="B562" s="49"/>
      <c r="C562" s="40"/>
      <c r="D562" s="40"/>
      <c r="E562" s="40"/>
      <c r="F562" s="40"/>
      <c r="G562" s="40"/>
      <c r="H562" s="40"/>
      <c r="I562" s="40"/>
      <c r="J562" s="68"/>
      <c r="L562" s="40"/>
      <c r="M562" s="40"/>
      <c r="N562" s="40"/>
      <c r="O562" s="40"/>
      <c r="P562" s="40"/>
      <c r="Q562" s="40"/>
      <c r="R562" s="40"/>
      <c r="S562" s="68"/>
      <c r="W562" s="68"/>
    </row>
    <row r="563" spans="1:23" x14ac:dyDescent="0.2">
      <c r="A563" s="49"/>
      <c r="B563" s="49"/>
      <c r="C563" s="40"/>
      <c r="D563" s="40"/>
      <c r="E563" s="40"/>
      <c r="F563" s="40"/>
      <c r="G563" s="40"/>
      <c r="H563" s="40"/>
      <c r="I563" s="40"/>
      <c r="J563" s="68"/>
      <c r="L563" s="40"/>
      <c r="M563" s="40"/>
      <c r="N563" s="40"/>
      <c r="O563" s="40"/>
      <c r="P563" s="40"/>
      <c r="Q563" s="40"/>
      <c r="R563" s="40"/>
      <c r="S563" s="68"/>
      <c r="W563" s="68"/>
    </row>
    <row r="564" spans="1:23" x14ac:dyDescent="0.2">
      <c r="A564" s="49"/>
      <c r="B564" s="49"/>
      <c r="C564" s="40"/>
      <c r="D564" s="40"/>
      <c r="E564" s="40"/>
      <c r="F564" s="40"/>
      <c r="G564" s="40"/>
      <c r="H564" s="40"/>
      <c r="I564" s="40"/>
      <c r="J564" s="68"/>
      <c r="L564" s="40"/>
      <c r="M564" s="40"/>
      <c r="N564" s="40"/>
      <c r="O564" s="40"/>
      <c r="P564" s="40"/>
      <c r="Q564" s="40"/>
      <c r="R564" s="40"/>
      <c r="S564" s="68"/>
      <c r="W564" s="68"/>
    </row>
    <row r="565" spans="1:23" x14ac:dyDescent="0.2">
      <c r="A565" s="49"/>
      <c r="B565" s="49"/>
      <c r="C565" s="40"/>
      <c r="D565" s="40"/>
      <c r="E565" s="40"/>
      <c r="F565" s="40"/>
      <c r="G565" s="40"/>
      <c r="H565" s="40"/>
      <c r="I565" s="40"/>
      <c r="J565" s="68"/>
      <c r="L565" s="40"/>
      <c r="M565" s="40"/>
      <c r="N565" s="40"/>
      <c r="O565" s="40"/>
      <c r="P565" s="40"/>
      <c r="Q565" s="40"/>
      <c r="R565" s="40"/>
      <c r="S565" s="68"/>
      <c r="W565" s="68"/>
    </row>
    <row r="566" spans="1:23" x14ac:dyDescent="0.2">
      <c r="A566" s="49"/>
      <c r="B566" s="49"/>
      <c r="C566" s="40"/>
      <c r="D566" s="40"/>
      <c r="E566" s="40"/>
      <c r="F566" s="40"/>
      <c r="G566" s="40"/>
      <c r="H566" s="40"/>
      <c r="I566" s="40"/>
      <c r="J566" s="68"/>
      <c r="L566" s="40"/>
      <c r="M566" s="40"/>
      <c r="N566" s="40"/>
      <c r="O566" s="40"/>
      <c r="P566" s="40"/>
      <c r="Q566" s="40"/>
      <c r="R566" s="40"/>
      <c r="S566" s="68"/>
      <c r="W566" s="68"/>
    </row>
    <row r="567" spans="1:23" x14ac:dyDescent="0.2">
      <c r="A567" s="49"/>
      <c r="B567" s="49"/>
      <c r="C567" s="40"/>
      <c r="D567" s="40"/>
      <c r="E567" s="40"/>
      <c r="F567" s="40"/>
      <c r="G567" s="40"/>
      <c r="H567" s="40"/>
      <c r="I567" s="40"/>
      <c r="J567" s="68"/>
      <c r="L567" s="40"/>
      <c r="M567" s="40"/>
      <c r="N567" s="40"/>
      <c r="O567" s="40"/>
      <c r="P567" s="40"/>
      <c r="Q567" s="40"/>
      <c r="R567" s="40"/>
      <c r="S567" s="68"/>
      <c r="W567" s="68"/>
    </row>
    <row r="568" spans="1:23" x14ac:dyDescent="0.2">
      <c r="A568" s="49"/>
      <c r="B568" s="49"/>
      <c r="C568" s="40"/>
      <c r="D568" s="40"/>
      <c r="E568" s="40"/>
      <c r="F568" s="40"/>
      <c r="G568" s="40"/>
      <c r="H568" s="40"/>
      <c r="I568" s="40"/>
      <c r="J568" s="68"/>
      <c r="L568" s="40"/>
      <c r="M568" s="40"/>
      <c r="N568" s="40"/>
      <c r="O568" s="40"/>
      <c r="P568" s="40"/>
      <c r="Q568" s="40"/>
      <c r="R568" s="40"/>
      <c r="S568" s="68"/>
      <c r="W568" s="68"/>
    </row>
    <row r="569" spans="1:23" x14ac:dyDescent="0.2">
      <c r="A569" s="49"/>
      <c r="B569" s="49"/>
      <c r="C569" s="40"/>
      <c r="D569" s="40"/>
      <c r="E569" s="40"/>
      <c r="F569" s="40"/>
      <c r="G569" s="40"/>
      <c r="H569" s="40"/>
      <c r="I569" s="40"/>
      <c r="J569" s="68"/>
      <c r="L569" s="40"/>
      <c r="M569" s="40"/>
      <c r="N569" s="40"/>
      <c r="O569" s="40"/>
      <c r="P569" s="40"/>
      <c r="Q569" s="40"/>
      <c r="R569" s="40"/>
      <c r="S569" s="68"/>
      <c r="W569" s="68"/>
    </row>
    <row r="570" spans="1:23" x14ac:dyDescent="0.2">
      <c r="A570" s="49"/>
      <c r="B570" s="49"/>
      <c r="C570" s="40"/>
      <c r="D570" s="40"/>
      <c r="E570" s="40"/>
      <c r="F570" s="40"/>
      <c r="G570" s="40"/>
      <c r="H570" s="40"/>
      <c r="I570" s="40"/>
      <c r="J570" s="68"/>
      <c r="L570" s="40"/>
      <c r="M570" s="40"/>
      <c r="N570" s="40"/>
      <c r="O570" s="40"/>
      <c r="P570" s="40"/>
      <c r="Q570" s="40"/>
      <c r="R570" s="40"/>
      <c r="S570" s="68"/>
      <c r="W570" s="68"/>
    </row>
    <row r="571" spans="1:23" x14ac:dyDescent="0.2">
      <c r="A571" s="49"/>
      <c r="B571" s="49"/>
      <c r="C571" s="40"/>
      <c r="D571" s="40"/>
      <c r="E571" s="40"/>
      <c r="F571" s="40"/>
      <c r="G571" s="40"/>
      <c r="H571" s="40"/>
      <c r="I571" s="40"/>
      <c r="J571" s="68"/>
      <c r="L571" s="40"/>
      <c r="M571" s="40"/>
      <c r="N571" s="40"/>
      <c r="O571" s="40"/>
      <c r="P571" s="40"/>
      <c r="Q571" s="40"/>
      <c r="R571" s="40"/>
      <c r="S571" s="68"/>
      <c r="W571" s="68"/>
    </row>
    <row r="572" spans="1:23" x14ac:dyDescent="0.2">
      <c r="A572" s="49"/>
      <c r="B572" s="49"/>
      <c r="C572" s="40"/>
      <c r="D572" s="40"/>
      <c r="E572" s="40"/>
      <c r="F572" s="40"/>
      <c r="G572" s="40"/>
      <c r="H572" s="40"/>
      <c r="I572" s="40"/>
      <c r="J572" s="68"/>
      <c r="L572" s="40"/>
      <c r="M572" s="40"/>
      <c r="N572" s="40"/>
      <c r="O572" s="40"/>
      <c r="P572" s="40"/>
      <c r="Q572" s="40"/>
      <c r="R572" s="40"/>
      <c r="S572" s="68"/>
      <c r="W572" s="68"/>
    </row>
    <row r="573" spans="1:23" x14ac:dyDescent="0.2">
      <c r="A573" s="49"/>
      <c r="B573" s="49"/>
      <c r="C573" s="40"/>
      <c r="D573" s="40"/>
      <c r="E573" s="40"/>
      <c r="F573" s="40"/>
      <c r="G573" s="40"/>
      <c r="H573" s="40"/>
      <c r="I573" s="40"/>
      <c r="J573" s="68"/>
      <c r="L573" s="40"/>
      <c r="M573" s="40"/>
      <c r="N573" s="40"/>
      <c r="O573" s="40"/>
      <c r="P573" s="40"/>
      <c r="Q573" s="40"/>
      <c r="R573" s="40"/>
      <c r="S573" s="68"/>
      <c r="W573" s="68"/>
    </row>
    <row r="574" spans="1:23" x14ac:dyDescent="0.2">
      <c r="A574" s="49"/>
      <c r="B574" s="49"/>
      <c r="C574" s="40"/>
      <c r="D574" s="40"/>
      <c r="E574" s="40"/>
      <c r="F574" s="40"/>
      <c r="G574" s="40"/>
      <c r="H574" s="40"/>
      <c r="I574" s="40"/>
      <c r="J574" s="68"/>
      <c r="L574" s="40"/>
      <c r="M574" s="40"/>
      <c r="N574" s="40"/>
      <c r="O574" s="40"/>
      <c r="P574" s="40"/>
      <c r="Q574" s="40"/>
      <c r="R574" s="40"/>
      <c r="S574" s="68"/>
      <c r="W574" s="68"/>
    </row>
    <row r="575" spans="1:23" x14ac:dyDescent="0.2">
      <c r="A575" s="49"/>
      <c r="B575" s="49"/>
      <c r="C575" s="40"/>
      <c r="D575" s="40"/>
      <c r="E575" s="40"/>
      <c r="F575" s="40"/>
      <c r="G575" s="40"/>
      <c r="H575" s="40"/>
      <c r="I575" s="40"/>
      <c r="J575" s="68"/>
      <c r="L575" s="40"/>
      <c r="M575" s="40"/>
      <c r="N575" s="40"/>
      <c r="O575" s="40"/>
      <c r="P575" s="40"/>
      <c r="Q575" s="40"/>
      <c r="R575" s="40"/>
      <c r="S575" s="68"/>
      <c r="W575" s="68"/>
    </row>
    <row r="576" spans="1:23" x14ac:dyDescent="0.2">
      <c r="A576" s="49"/>
      <c r="B576" s="49"/>
      <c r="C576" s="40"/>
      <c r="D576" s="40"/>
      <c r="E576" s="40"/>
      <c r="F576" s="40"/>
      <c r="G576" s="40"/>
      <c r="H576" s="40"/>
      <c r="I576" s="40"/>
      <c r="J576" s="68"/>
      <c r="L576" s="40"/>
      <c r="M576" s="40"/>
      <c r="N576" s="40"/>
      <c r="O576" s="40"/>
      <c r="P576" s="40"/>
      <c r="Q576" s="40"/>
      <c r="R576" s="40"/>
      <c r="S576" s="68"/>
      <c r="W576" s="68"/>
    </row>
    <row r="577" spans="1:23" x14ac:dyDescent="0.2">
      <c r="A577" s="49"/>
      <c r="B577" s="49"/>
      <c r="C577" s="40"/>
      <c r="D577" s="40"/>
      <c r="E577" s="40"/>
      <c r="F577" s="40"/>
      <c r="G577" s="40"/>
      <c r="H577" s="40"/>
      <c r="I577" s="40"/>
      <c r="J577" s="68"/>
      <c r="L577" s="40"/>
      <c r="M577" s="40"/>
      <c r="N577" s="40"/>
      <c r="O577" s="40"/>
      <c r="P577" s="40"/>
      <c r="Q577" s="40"/>
      <c r="R577" s="40"/>
      <c r="S577" s="68"/>
      <c r="W577" s="68"/>
    </row>
    <row r="578" spans="1:23" x14ac:dyDescent="0.2">
      <c r="A578" s="49"/>
      <c r="B578" s="49"/>
      <c r="C578" s="40"/>
      <c r="D578" s="40"/>
      <c r="E578" s="40"/>
      <c r="F578" s="40"/>
      <c r="G578" s="40"/>
      <c r="H578" s="40"/>
      <c r="I578" s="40"/>
      <c r="J578" s="68"/>
      <c r="L578" s="40"/>
      <c r="M578" s="40"/>
      <c r="N578" s="40"/>
      <c r="O578" s="40"/>
      <c r="P578" s="40"/>
      <c r="Q578" s="40"/>
      <c r="R578" s="40"/>
      <c r="S578" s="68"/>
      <c r="W578" s="68"/>
    </row>
    <row r="579" spans="1:23" x14ac:dyDescent="0.2">
      <c r="A579" s="49"/>
      <c r="B579" s="49"/>
      <c r="C579" s="40"/>
      <c r="D579" s="40"/>
      <c r="E579" s="40"/>
      <c r="F579" s="40"/>
      <c r="G579" s="40"/>
      <c r="H579" s="40"/>
      <c r="I579" s="40"/>
      <c r="J579" s="68"/>
      <c r="L579" s="40"/>
      <c r="M579" s="40"/>
      <c r="N579" s="40"/>
      <c r="O579" s="40"/>
      <c r="P579" s="40"/>
      <c r="Q579" s="40"/>
      <c r="R579" s="40"/>
      <c r="S579" s="68"/>
      <c r="W579" s="68"/>
    </row>
    <row r="580" spans="1:23" x14ac:dyDescent="0.2">
      <c r="A580" s="49"/>
      <c r="B580" s="49"/>
      <c r="C580" s="40"/>
      <c r="D580" s="40"/>
      <c r="E580" s="40"/>
      <c r="F580" s="40"/>
      <c r="G580" s="40"/>
      <c r="H580" s="40"/>
      <c r="I580" s="40"/>
      <c r="J580" s="68"/>
      <c r="L580" s="40"/>
      <c r="M580" s="40"/>
      <c r="N580" s="40"/>
      <c r="O580" s="40"/>
      <c r="P580" s="40"/>
      <c r="Q580" s="40"/>
      <c r="R580" s="40"/>
      <c r="S580" s="68"/>
      <c r="W580" s="68"/>
    </row>
    <row r="581" spans="1:23" x14ac:dyDescent="0.2">
      <c r="A581" s="49"/>
      <c r="B581" s="49"/>
      <c r="C581" s="40"/>
      <c r="D581" s="40"/>
      <c r="E581" s="40"/>
      <c r="F581" s="40"/>
      <c r="G581" s="40"/>
      <c r="H581" s="40"/>
      <c r="I581" s="40"/>
      <c r="J581" s="68"/>
      <c r="L581" s="40"/>
      <c r="M581" s="40"/>
      <c r="N581" s="40"/>
      <c r="O581" s="40"/>
      <c r="P581" s="40"/>
      <c r="Q581" s="40"/>
      <c r="R581" s="40"/>
      <c r="S581" s="68"/>
      <c r="W581" s="68"/>
    </row>
    <row r="582" spans="1:23" x14ac:dyDescent="0.2">
      <c r="A582" s="49"/>
      <c r="B582" s="49"/>
      <c r="C582" s="40"/>
      <c r="D582" s="40"/>
      <c r="E582" s="40"/>
      <c r="F582" s="40"/>
      <c r="G582" s="40"/>
      <c r="H582" s="40"/>
      <c r="I582" s="40"/>
      <c r="J582" s="68"/>
      <c r="L582" s="40"/>
      <c r="M582" s="40"/>
      <c r="N582" s="40"/>
      <c r="O582" s="40"/>
      <c r="P582" s="40"/>
      <c r="Q582" s="40"/>
      <c r="R582" s="40"/>
      <c r="S582" s="68"/>
      <c r="W582" s="68"/>
    </row>
    <row r="583" spans="1:23" x14ac:dyDescent="0.2">
      <c r="A583" s="49"/>
      <c r="B583" s="49"/>
      <c r="C583" s="40"/>
      <c r="D583" s="40"/>
      <c r="E583" s="40"/>
      <c r="F583" s="40"/>
      <c r="G583" s="40"/>
      <c r="H583" s="40"/>
      <c r="I583" s="40"/>
      <c r="J583" s="68"/>
      <c r="L583" s="40"/>
      <c r="M583" s="40"/>
      <c r="N583" s="40"/>
      <c r="O583" s="40"/>
      <c r="P583" s="40"/>
      <c r="Q583" s="40"/>
      <c r="R583" s="40"/>
      <c r="S583" s="68"/>
      <c r="W583" s="68"/>
    </row>
    <row r="584" spans="1:23" x14ac:dyDescent="0.2">
      <c r="A584" s="49"/>
      <c r="B584" s="49"/>
      <c r="C584" s="40"/>
      <c r="D584" s="40"/>
      <c r="E584" s="40"/>
      <c r="F584" s="40"/>
      <c r="G584" s="40"/>
      <c r="H584" s="40"/>
      <c r="I584" s="40"/>
      <c r="J584" s="68"/>
      <c r="L584" s="40"/>
      <c r="M584" s="40"/>
      <c r="N584" s="40"/>
      <c r="O584" s="40"/>
      <c r="P584" s="40"/>
      <c r="Q584" s="40"/>
      <c r="R584" s="40"/>
      <c r="S584" s="68"/>
      <c r="W584" s="68"/>
    </row>
    <row r="585" spans="1:23" x14ac:dyDescent="0.2">
      <c r="A585" s="49"/>
      <c r="B585" s="49"/>
      <c r="C585" s="40"/>
      <c r="D585" s="40"/>
      <c r="E585" s="40"/>
      <c r="F585" s="40"/>
      <c r="G585" s="40"/>
      <c r="H585" s="40"/>
      <c r="I585" s="40"/>
      <c r="J585" s="68"/>
      <c r="L585" s="40"/>
      <c r="M585" s="40"/>
      <c r="N585" s="40"/>
      <c r="O585" s="40"/>
      <c r="P585" s="40"/>
      <c r="Q585" s="40"/>
      <c r="R585" s="40"/>
      <c r="S585" s="68"/>
      <c r="W585" s="68"/>
    </row>
    <row r="586" spans="1:23" x14ac:dyDescent="0.2">
      <c r="A586" s="49"/>
      <c r="B586" s="49"/>
      <c r="C586" s="40"/>
      <c r="D586" s="40"/>
      <c r="E586" s="40"/>
      <c r="F586" s="40"/>
      <c r="G586" s="40"/>
      <c r="H586" s="40"/>
      <c r="I586" s="40"/>
      <c r="J586" s="68"/>
      <c r="L586" s="40"/>
      <c r="M586" s="40"/>
      <c r="N586" s="40"/>
      <c r="O586" s="40"/>
      <c r="P586" s="40"/>
      <c r="Q586" s="40"/>
      <c r="R586" s="40"/>
      <c r="S586" s="68"/>
      <c r="W586" s="68"/>
    </row>
    <row r="587" spans="1:23" x14ac:dyDescent="0.2">
      <c r="A587" s="49"/>
      <c r="B587" s="49"/>
      <c r="C587" s="40"/>
      <c r="D587" s="40"/>
      <c r="E587" s="40"/>
      <c r="F587" s="40"/>
      <c r="G587" s="40"/>
      <c r="H587" s="40"/>
      <c r="I587" s="40"/>
      <c r="J587" s="68"/>
      <c r="L587" s="40"/>
      <c r="M587" s="40"/>
      <c r="N587" s="40"/>
      <c r="O587" s="40"/>
      <c r="P587" s="40"/>
      <c r="Q587" s="40"/>
      <c r="R587" s="40"/>
      <c r="S587" s="68"/>
      <c r="W587" s="68"/>
    </row>
    <row r="588" spans="1:23" x14ac:dyDescent="0.2">
      <c r="A588" s="49"/>
      <c r="B588" s="49"/>
      <c r="C588" s="40"/>
      <c r="D588" s="40"/>
      <c r="E588" s="40"/>
      <c r="F588" s="40"/>
      <c r="G588" s="40"/>
      <c r="H588" s="40"/>
      <c r="I588" s="40"/>
      <c r="J588" s="68"/>
      <c r="L588" s="40"/>
      <c r="M588" s="40"/>
      <c r="N588" s="40"/>
      <c r="O588" s="40"/>
      <c r="P588" s="40"/>
      <c r="Q588" s="40"/>
      <c r="R588" s="40"/>
      <c r="S588" s="68"/>
      <c r="W588" s="68"/>
    </row>
    <row r="589" spans="1:23" x14ac:dyDescent="0.2">
      <c r="A589" s="49"/>
      <c r="B589" s="49"/>
      <c r="C589" s="40"/>
      <c r="D589" s="40"/>
      <c r="E589" s="40"/>
      <c r="F589" s="40"/>
      <c r="G589" s="40"/>
      <c r="H589" s="40"/>
      <c r="I589" s="40"/>
      <c r="J589" s="68"/>
      <c r="L589" s="40"/>
      <c r="M589" s="40"/>
      <c r="N589" s="40"/>
      <c r="O589" s="40"/>
      <c r="P589" s="40"/>
      <c r="Q589" s="40"/>
      <c r="R589" s="40"/>
      <c r="S589" s="68"/>
      <c r="W589" s="68"/>
    </row>
    <row r="590" spans="1:23" x14ac:dyDescent="0.2">
      <c r="A590" s="49"/>
      <c r="B590" s="49"/>
      <c r="C590" s="40"/>
      <c r="D590" s="40"/>
      <c r="E590" s="40"/>
      <c r="F590" s="40"/>
      <c r="G590" s="40"/>
      <c r="H590" s="40"/>
      <c r="I590" s="40"/>
      <c r="J590" s="68"/>
      <c r="L590" s="40"/>
      <c r="M590" s="40"/>
      <c r="N590" s="40"/>
      <c r="O590" s="40"/>
      <c r="P590" s="40"/>
      <c r="Q590" s="40"/>
      <c r="R590" s="40"/>
      <c r="S590" s="68"/>
      <c r="W590" s="68"/>
    </row>
    <row r="591" spans="1:23" x14ac:dyDescent="0.2">
      <c r="A591" s="49"/>
      <c r="B591" s="49"/>
      <c r="C591" s="40"/>
      <c r="D591" s="40"/>
      <c r="E591" s="40"/>
      <c r="F591" s="40"/>
      <c r="G591" s="40"/>
      <c r="H591" s="40"/>
      <c r="I591" s="40"/>
      <c r="J591" s="68"/>
      <c r="L591" s="40"/>
      <c r="M591" s="40"/>
      <c r="N591" s="40"/>
      <c r="O591" s="40"/>
      <c r="P591" s="40"/>
      <c r="Q591" s="40"/>
      <c r="R591" s="40"/>
      <c r="S591" s="68"/>
      <c r="W591" s="68"/>
    </row>
    <row r="592" spans="1:23" x14ac:dyDescent="0.2">
      <c r="A592" s="49"/>
      <c r="B592" s="49"/>
      <c r="C592" s="40"/>
      <c r="D592" s="40"/>
      <c r="E592" s="40"/>
      <c r="F592" s="40"/>
      <c r="G592" s="40"/>
      <c r="H592" s="40"/>
      <c r="I592" s="40"/>
      <c r="J592" s="68"/>
      <c r="L592" s="40"/>
      <c r="M592" s="40"/>
      <c r="N592" s="40"/>
      <c r="O592" s="40"/>
      <c r="P592" s="40"/>
      <c r="Q592" s="40"/>
      <c r="R592" s="40"/>
      <c r="S592" s="68"/>
      <c r="W592" s="68"/>
    </row>
    <row r="593" spans="1:23" x14ac:dyDescent="0.2">
      <c r="A593" s="49"/>
      <c r="B593" s="49"/>
      <c r="C593" s="40"/>
      <c r="D593" s="40"/>
      <c r="E593" s="40"/>
      <c r="F593" s="40"/>
      <c r="G593" s="40"/>
      <c r="H593" s="40"/>
      <c r="I593" s="40"/>
      <c r="J593" s="68"/>
      <c r="L593" s="40"/>
      <c r="M593" s="40"/>
      <c r="N593" s="40"/>
      <c r="O593" s="40"/>
      <c r="P593" s="40"/>
      <c r="Q593" s="40"/>
      <c r="R593" s="40"/>
      <c r="S593" s="68"/>
      <c r="W593" s="68"/>
    </row>
    <row r="594" spans="1:23" x14ac:dyDescent="0.2">
      <c r="A594" s="49"/>
      <c r="B594" s="49"/>
      <c r="C594" s="40"/>
      <c r="D594" s="40"/>
      <c r="E594" s="40"/>
      <c r="F594" s="40"/>
      <c r="G594" s="40"/>
      <c r="H594" s="40"/>
      <c r="I594" s="40"/>
      <c r="J594" s="68"/>
      <c r="L594" s="40"/>
      <c r="M594" s="40"/>
      <c r="N594" s="40"/>
      <c r="O594" s="40"/>
      <c r="P594" s="40"/>
      <c r="Q594" s="40"/>
      <c r="R594" s="40"/>
      <c r="S594" s="68"/>
      <c r="W594" s="68"/>
    </row>
    <row r="595" spans="1:23" x14ac:dyDescent="0.2">
      <c r="A595" s="49"/>
      <c r="B595" s="49"/>
      <c r="C595" s="40"/>
      <c r="D595" s="40"/>
      <c r="E595" s="40"/>
      <c r="F595" s="40"/>
      <c r="G595" s="40"/>
      <c r="H595" s="40"/>
      <c r="I595" s="40"/>
      <c r="J595" s="68"/>
      <c r="L595" s="40"/>
      <c r="M595" s="40"/>
      <c r="N595" s="40"/>
      <c r="O595" s="40"/>
      <c r="P595" s="40"/>
      <c r="Q595" s="40"/>
      <c r="R595" s="40"/>
      <c r="S595" s="68"/>
      <c r="W595" s="68"/>
    </row>
    <row r="596" spans="1:23" x14ac:dyDescent="0.2">
      <c r="A596" s="49"/>
      <c r="B596" s="49"/>
      <c r="C596" s="40"/>
      <c r="D596" s="40"/>
      <c r="E596" s="40"/>
      <c r="F596" s="40"/>
      <c r="G596" s="40"/>
      <c r="H596" s="40"/>
      <c r="I596" s="40"/>
      <c r="J596" s="68"/>
      <c r="L596" s="40"/>
      <c r="M596" s="40"/>
      <c r="N596" s="40"/>
      <c r="O596" s="40"/>
      <c r="P596" s="40"/>
      <c r="Q596" s="40"/>
      <c r="R596" s="40"/>
      <c r="S596" s="68"/>
      <c r="W596" s="68"/>
    </row>
    <row r="597" spans="1:23" x14ac:dyDescent="0.2">
      <c r="A597" s="49"/>
      <c r="B597" s="49"/>
      <c r="C597" s="40"/>
      <c r="D597" s="40"/>
      <c r="E597" s="40"/>
      <c r="F597" s="40"/>
      <c r="G597" s="40"/>
      <c r="H597" s="40"/>
      <c r="I597" s="40"/>
      <c r="J597" s="68"/>
      <c r="L597" s="40"/>
      <c r="M597" s="40"/>
      <c r="N597" s="40"/>
      <c r="O597" s="40"/>
      <c r="P597" s="40"/>
      <c r="Q597" s="40"/>
      <c r="R597" s="40"/>
      <c r="S597" s="68"/>
      <c r="W597" s="68"/>
    </row>
    <row r="598" spans="1:23" x14ac:dyDescent="0.2">
      <c r="A598" s="49"/>
      <c r="B598" s="49"/>
      <c r="C598" s="40"/>
      <c r="D598" s="40"/>
      <c r="E598" s="40"/>
      <c r="F598" s="40"/>
      <c r="G598" s="40"/>
      <c r="H598" s="40"/>
      <c r="I598" s="40"/>
      <c r="J598" s="68"/>
      <c r="L598" s="40"/>
      <c r="M598" s="40"/>
      <c r="N598" s="40"/>
      <c r="O598" s="40"/>
      <c r="P598" s="40"/>
      <c r="Q598" s="40"/>
      <c r="R598" s="40"/>
      <c r="S598" s="68"/>
      <c r="W598" s="68"/>
    </row>
    <row r="599" spans="1:23" x14ac:dyDescent="0.2">
      <c r="A599" s="49"/>
      <c r="B599" s="49"/>
      <c r="C599" s="40"/>
      <c r="D599" s="40"/>
      <c r="E599" s="40"/>
      <c r="F599" s="40"/>
      <c r="G599" s="40"/>
      <c r="H599" s="40"/>
      <c r="I599" s="40"/>
      <c r="J599" s="68"/>
      <c r="L599" s="40"/>
      <c r="M599" s="40"/>
      <c r="N599" s="40"/>
      <c r="O599" s="40"/>
      <c r="P599" s="40"/>
      <c r="Q599" s="40"/>
      <c r="R599" s="40"/>
      <c r="S599" s="68"/>
      <c r="W599" s="68"/>
    </row>
    <row r="600" spans="1:23" x14ac:dyDescent="0.2">
      <c r="J600" s="28"/>
      <c r="S600" s="28"/>
      <c r="W600" s="28"/>
    </row>
    <row r="601" spans="1:23" x14ac:dyDescent="0.2">
      <c r="J601" s="28"/>
      <c r="S601" s="28"/>
      <c r="W601" s="28"/>
    </row>
    <row r="602" spans="1:23" x14ac:dyDescent="0.2">
      <c r="J602" s="28"/>
      <c r="S602" s="28"/>
      <c r="W602" s="28"/>
    </row>
    <row r="603" spans="1:23" x14ac:dyDescent="0.2">
      <c r="J603" s="28"/>
      <c r="S603" s="28"/>
      <c r="W603" s="28"/>
    </row>
    <row r="604" spans="1:23" x14ac:dyDescent="0.2">
      <c r="J604" s="28"/>
      <c r="S604" s="28"/>
      <c r="W604" s="28"/>
    </row>
    <row r="605" spans="1:23" x14ac:dyDescent="0.2">
      <c r="J605" s="28"/>
      <c r="S605" s="28"/>
      <c r="W605" s="28"/>
    </row>
    <row r="606" spans="1:23" x14ac:dyDescent="0.2">
      <c r="J606" s="28"/>
      <c r="S606" s="28"/>
      <c r="W606" s="28"/>
    </row>
    <row r="607" spans="1:23" x14ac:dyDescent="0.2">
      <c r="J607" s="28"/>
      <c r="S607" s="28"/>
      <c r="W607" s="28"/>
    </row>
    <row r="608" spans="1:23" x14ac:dyDescent="0.2">
      <c r="J608" s="28"/>
      <c r="S608" s="28"/>
      <c r="W608" s="28"/>
    </row>
    <row r="609" spans="10:23" x14ac:dyDescent="0.2">
      <c r="J609" s="28"/>
      <c r="S609" s="28"/>
      <c r="W609" s="28"/>
    </row>
    <row r="610" spans="10:23" x14ac:dyDescent="0.2">
      <c r="J610" s="28"/>
      <c r="S610" s="28"/>
      <c r="W610" s="28"/>
    </row>
    <row r="611" spans="10:23" x14ac:dyDescent="0.2">
      <c r="J611" s="28"/>
      <c r="S611" s="28"/>
      <c r="W611" s="28"/>
    </row>
    <row r="612" spans="10:23" x14ac:dyDescent="0.2">
      <c r="J612" s="28"/>
      <c r="S612" s="28"/>
      <c r="W612" s="28"/>
    </row>
    <row r="613" spans="10:23" x14ac:dyDescent="0.2">
      <c r="J613" s="28"/>
      <c r="S613" s="28"/>
      <c r="W613" s="28"/>
    </row>
    <row r="614" spans="10:23" x14ac:dyDescent="0.2">
      <c r="J614" s="28"/>
      <c r="S614" s="28"/>
      <c r="W614" s="28"/>
    </row>
    <row r="615" spans="10:23" x14ac:dyDescent="0.2">
      <c r="J615" s="28"/>
      <c r="S615" s="28"/>
      <c r="W615" s="28"/>
    </row>
    <row r="616" spans="10:23" x14ac:dyDescent="0.2">
      <c r="J616" s="28"/>
      <c r="S616" s="28"/>
      <c r="W616" s="28"/>
    </row>
    <row r="617" spans="10:23" x14ac:dyDescent="0.2">
      <c r="J617" s="28"/>
      <c r="S617" s="28"/>
      <c r="W617" s="28"/>
    </row>
    <row r="618" spans="10:23" x14ac:dyDescent="0.2">
      <c r="J618" s="28"/>
      <c r="S618" s="28"/>
      <c r="W618" s="28"/>
    </row>
    <row r="619" spans="10:23" x14ac:dyDescent="0.2">
      <c r="J619" s="28"/>
      <c r="S619" s="28"/>
      <c r="W619" s="28"/>
    </row>
    <row r="620" spans="10:23" x14ac:dyDescent="0.2">
      <c r="J620" s="28"/>
      <c r="S620" s="28"/>
      <c r="W620" s="28"/>
    </row>
    <row r="621" spans="10:23" x14ac:dyDescent="0.2">
      <c r="J621" s="28"/>
      <c r="S621" s="28"/>
      <c r="W621" s="28"/>
    </row>
    <row r="622" spans="10:23" x14ac:dyDescent="0.2">
      <c r="J622" s="28"/>
      <c r="S622" s="28"/>
      <c r="W622" s="28"/>
    </row>
    <row r="623" spans="10:23" x14ac:dyDescent="0.2">
      <c r="J623" s="28"/>
      <c r="S623" s="28"/>
      <c r="W623" s="28"/>
    </row>
    <row r="624" spans="10:23" x14ac:dyDescent="0.2">
      <c r="J624" s="28"/>
      <c r="S624" s="28"/>
      <c r="W624" s="28"/>
    </row>
    <row r="625" spans="10:23" x14ac:dyDescent="0.2">
      <c r="J625" s="28"/>
      <c r="S625" s="28"/>
      <c r="W625" s="28"/>
    </row>
    <row r="626" spans="10:23" x14ac:dyDescent="0.2">
      <c r="J626" s="28"/>
      <c r="S626" s="28"/>
      <c r="W626" s="28"/>
    </row>
    <row r="627" spans="10:23" x14ac:dyDescent="0.2">
      <c r="J627" s="28"/>
      <c r="S627" s="28"/>
      <c r="W627" s="28"/>
    </row>
    <row r="628" spans="10:23" x14ac:dyDescent="0.2">
      <c r="J628" s="28"/>
      <c r="S628" s="28"/>
      <c r="W628" s="28"/>
    </row>
    <row r="629" spans="10:23" x14ac:dyDescent="0.2">
      <c r="J629" s="28"/>
      <c r="S629" s="28"/>
      <c r="W629" s="28"/>
    </row>
    <row r="630" spans="10:23" x14ac:dyDescent="0.2">
      <c r="J630" s="28"/>
      <c r="S630" s="28"/>
      <c r="W630" s="28"/>
    </row>
    <row r="631" spans="10:23" x14ac:dyDescent="0.2">
      <c r="J631" s="28"/>
      <c r="S631" s="28"/>
      <c r="W631" s="28"/>
    </row>
    <row r="632" spans="10:23" x14ac:dyDescent="0.2">
      <c r="J632" s="28"/>
      <c r="S632" s="28"/>
      <c r="W632" s="28"/>
    </row>
    <row r="633" spans="10:23" x14ac:dyDescent="0.2">
      <c r="J633" s="28"/>
      <c r="S633" s="28"/>
      <c r="W633" s="28"/>
    </row>
    <row r="634" spans="10:23" x14ac:dyDescent="0.2">
      <c r="J634" s="28"/>
      <c r="S634" s="28"/>
      <c r="W634" s="28"/>
    </row>
    <row r="635" spans="10:23" x14ac:dyDescent="0.2">
      <c r="J635" s="28"/>
      <c r="S635" s="28"/>
      <c r="W635" s="28"/>
    </row>
    <row r="636" spans="10:23" x14ac:dyDescent="0.2">
      <c r="J636" s="28"/>
      <c r="S636" s="28"/>
      <c r="W636" s="28"/>
    </row>
    <row r="637" spans="10:23" x14ac:dyDescent="0.2">
      <c r="J637" s="28"/>
      <c r="S637" s="28"/>
      <c r="W637" s="28"/>
    </row>
    <row r="638" spans="10:23" x14ac:dyDescent="0.2">
      <c r="J638" s="28"/>
      <c r="S638" s="28"/>
      <c r="W638" s="28"/>
    </row>
    <row r="639" spans="10:23" x14ac:dyDescent="0.2">
      <c r="J639" s="28"/>
      <c r="S639" s="28"/>
      <c r="W639" s="28"/>
    </row>
    <row r="640" spans="10:23" x14ac:dyDescent="0.2">
      <c r="J640" s="28"/>
      <c r="S640" s="28"/>
      <c r="W640" s="28"/>
    </row>
    <row r="641" spans="10:23" x14ac:dyDescent="0.2">
      <c r="J641" s="28"/>
      <c r="S641" s="28"/>
      <c r="W641" s="28"/>
    </row>
    <row r="642" spans="10:23" x14ac:dyDescent="0.2">
      <c r="J642" s="28"/>
      <c r="S642" s="28"/>
      <c r="W642" s="28"/>
    </row>
    <row r="643" spans="10:23" x14ac:dyDescent="0.2">
      <c r="J643" s="28"/>
      <c r="S643" s="28"/>
      <c r="W643" s="28"/>
    </row>
    <row r="644" spans="10:23" x14ac:dyDescent="0.2">
      <c r="J644" s="28"/>
      <c r="S644" s="28"/>
      <c r="W644" s="28"/>
    </row>
    <row r="645" spans="10:23" x14ac:dyDescent="0.2">
      <c r="J645" s="28"/>
      <c r="S645" s="28"/>
      <c r="W645" s="28"/>
    </row>
    <row r="646" spans="10:23" x14ac:dyDescent="0.2">
      <c r="J646" s="28"/>
      <c r="S646" s="28"/>
      <c r="W646" s="28"/>
    </row>
    <row r="647" spans="10:23" x14ac:dyDescent="0.2">
      <c r="J647" s="28"/>
      <c r="S647" s="28"/>
      <c r="W647" s="28"/>
    </row>
    <row r="648" spans="10:23" x14ac:dyDescent="0.2">
      <c r="J648" s="28"/>
      <c r="S648" s="28"/>
      <c r="W648" s="28"/>
    </row>
    <row r="649" spans="10:23" x14ac:dyDescent="0.2">
      <c r="J649" s="28"/>
      <c r="S649" s="28"/>
      <c r="W649" s="28"/>
    </row>
    <row r="650" spans="10:23" x14ac:dyDescent="0.2">
      <c r="J650" s="28"/>
      <c r="S650" s="28"/>
      <c r="W650" s="28"/>
    </row>
    <row r="651" spans="10:23" x14ac:dyDescent="0.2">
      <c r="J651" s="28"/>
      <c r="S651" s="28"/>
      <c r="W651" s="28"/>
    </row>
    <row r="652" spans="10:23" x14ac:dyDescent="0.2">
      <c r="J652" s="28"/>
      <c r="S652" s="28"/>
      <c r="W652" s="28"/>
    </row>
    <row r="653" spans="10:23" x14ac:dyDescent="0.2">
      <c r="J653" s="28"/>
      <c r="S653" s="28"/>
      <c r="W653" s="28"/>
    </row>
    <row r="654" spans="10:23" x14ac:dyDescent="0.2">
      <c r="J654" s="28"/>
      <c r="S654" s="28"/>
      <c r="W654" s="28"/>
    </row>
    <row r="655" spans="10:23" x14ac:dyDescent="0.2">
      <c r="J655" s="28"/>
      <c r="S655" s="28"/>
      <c r="W655" s="28"/>
    </row>
    <row r="656" spans="10:23" x14ac:dyDescent="0.2">
      <c r="J656" s="28"/>
      <c r="S656" s="28"/>
      <c r="W656" s="28"/>
    </row>
    <row r="657" spans="10:23" x14ac:dyDescent="0.2">
      <c r="J657" s="28"/>
      <c r="S657" s="28"/>
      <c r="W657" s="28"/>
    </row>
    <row r="658" spans="10:23" x14ac:dyDescent="0.2">
      <c r="J658" s="28"/>
      <c r="S658" s="28"/>
      <c r="W658" s="28"/>
    </row>
    <row r="659" spans="10:23" x14ac:dyDescent="0.2">
      <c r="J659" s="28"/>
      <c r="S659" s="28"/>
      <c r="W659" s="28"/>
    </row>
    <row r="660" spans="10:23" x14ac:dyDescent="0.2">
      <c r="J660" s="28"/>
      <c r="S660" s="28"/>
      <c r="W660" s="28"/>
    </row>
    <row r="661" spans="10:23" x14ac:dyDescent="0.2">
      <c r="J661" s="28"/>
      <c r="S661" s="28"/>
      <c r="W661" s="28"/>
    </row>
    <row r="662" spans="10:23" x14ac:dyDescent="0.2">
      <c r="J662" s="28"/>
      <c r="S662" s="28"/>
      <c r="W662" s="28"/>
    </row>
    <row r="663" spans="10:23" x14ac:dyDescent="0.2">
      <c r="J663" s="28"/>
      <c r="S663" s="28"/>
      <c r="W663" s="28"/>
    </row>
    <row r="664" spans="10:23" x14ac:dyDescent="0.2">
      <c r="J664" s="28"/>
      <c r="S664" s="28"/>
      <c r="W664" s="28"/>
    </row>
    <row r="665" spans="10:23" x14ac:dyDescent="0.2">
      <c r="J665" s="28"/>
      <c r="S665" s="28"/>
      <c r="W665" s="28"/>
    </row>
    <row r="666" spans="10:23" x14ac:dyDescent="0.2">
      <c r="J666" s="28"/>
      <c r="S666" s="28"/>
      <c r="W666" s="28"/>
    </row>
    <row r="667" spans="10:23" x14ac:dyDescent="0.2">
      <c r="J667" s="28"/>
      <c r="S667" s="28"/>
      <c r="W667" s="28"/>
    </row>
    <row r="668" spans="10:23" x14ac:dyDescent="0.2">
      <c r="J668" s="28"/>
      <c r="S668" s="28"/>
      <c r="W668" s="28"/>
    </row>
    <row r="669" spans="10:23" x14ac:dyDescent="0.2">
      <c r="J669" s="28"/>
      <c r="S669" s="28"/>
      <c r="W669" s="28"/>
    </row>
    <row r="670" spans="10:23" x14ac:dyDescent="0.2">
      <c r="J670" s="28"/>
      <c r="S670" s="28"/>
      <c r="W670" s="28"/>
    </row>
    <row r="671" spans="10:23" x14ac:dyDescent="0.2">
      <c r="J671" s="28"/>
      <c r="S671" s="28"/>
      <c r="W671" s="28"/>
    </row>
    <row r="672" spans="10:23" x14ac:dyDescent="0.2">
      <c r="J672" s="28"/>
      <c r="S672" s="28"/>
      <c r="W672" s="28"/>
    </row>
    <row r="673" spans="10:23" x14ac:dyDescent="0.2">
      <c r="J673" s="28"/>
      <c r="S673" s="28"/>
      <c r="W673" s="28"/>
    </row>
    <row r="674" spans="10:23" x14ac:dyDescent="0.2">
      <c r="J674" s="28"/>
      <c r="S674" s="28"/>
      <c r="W674" s="28"/>
    </row>
    <row r="675" spans="10:23" x14ac:dyDescent="0.2">
      <c r="J675" s="28"/>
      <c r="S675" s="28"/>
      <c r="W675" s="28"/>
    </row>
    <row r="676" spans="10:23" x14ac:dyDescent="0.2">
      <c r="J676" s="28"/>
      <c r="S676" s="28"/>
      <c r="W676" s="28"/>
    </row>
    <row r="677" spans="10:23" x14ac:dyDescent="0.2">
      <c r="J677" s="28"/>
      <c r="S677" s="28"/>
      <c r="W677" s="28"/>
    </row>
    <row r="678" spans="10:23" x14ac:dyDescent="0.2">
      <c r="J678" s="28"/>
      <c r="S678" s="28"/>
      <c r="W678" s="28"/>
    </row>
    <row r="679" spans="10:23" x14ac:dyDescent="0.2">
      <c r="J679" s="28"/>
      <c r="S679" s="28"/>
      <c r="W679" s="28"/>
    </row>
    <row r="680" spans="10:23" x14ac:dyDescent="0.2">
      <c r="J680" s="28"/>
      <c r="S680" s="28"/>
      <c r="W680" s="28"/>
    </row>
    <row r="681" spans="10:23" x14ac:dyDescent="0.2">
      <c r="J681" s="28"/>
      <c r="S681" s="28"/>
      <c r="W681" s="28"/>
    </row>
    <row r="682" spans="10:23" x14ac:dyDescent="0.2">
      <c r="J682" s="28"/>
      <c r="S682" s="28"/>
      <c r="W682" s="28"/>
    </row>
    <row r="683" spans="10:23" x14ac:dyDescent="0.2">
      <c r="J683" s="28"/>
      <c r="S683" s="28"/>
      <c r="W683" s="28"/>
    </row>
    <row r="684" spans="10:23" x14ac:dyDescent="0.2">
      <c r="J684" s="28"/>
      <c r="S684" s="28"/>
      <c r="W684" s="28"/>
    </row>
    <row r="685" spans="10:23" x14ac:dyDescent="0.2">
      <c r="J685" s="28"/>
      <c r="S685" s="28"/>
      <c r="W685" s="28"/>
    </row>
    <row r="686" spans="10:23" x14ac:dyDescent="0.2">
      <c r="J686" s="28"/>
      <c r="S686" s="28"/>
      <c r="W686" s="28"/>
    </row>
    <row r="687" spans="10:23" x14ac:dyDescent="0.2">
      <c r="J687" s="28"/>
      <c r="S687" s="28"/>
      <c r="W687" s="28"/>
    </row>
    <row r="688" spans="10:23" x14ac:dyDescent="0.2">
      <c r="J688" s="28"/>
      <c r="S688" s="28"/>
      <c r="W688" s="28"/>
    </row>
    <row r="689" spans="10:23" x14ac:dyDescent="0.2">
      <c r="J689" s="28"/>
      <c r="S689" s="28"/>
      <c r="W689" s="28"/>
    </row>
    <row r="690" spans="10:23" x14ac:dyDescent="0.2">
      <c r="J690" s="28"/>
      <c r="S690" s="28"/>
      <c r="W690" s="28"/>
    </row>
    <row r="691" spans="10:23" x14ac:dyDescent="0.2">
      <c r="J691" s="28"/>
      <c r="S691" s="28"/>
      <c r="W691" s="28"/>
    </row>
    <row r="692" spans="10:23" x14ac:dyDescent="0.2">
      <c r="J692" s="28"/>
      <c r="S692" s="28"/>
      <c r="W692" s="28"/>
    </row>
    <row r="693" spans="10:23" x14ac:dyDescent="0.2">
      <c r="J693" s="28"/>
      <c r="S693" s="28"/>
      <c r="W693" s="28"/>
    </row>
    <row r="694" spans="10:23" x14ac:dyDescent="0.2">
      <c r="J694" s="28"/>
      <c r="S694" s="28"/>
      <c r="W694" s="28"/>
    </row>
    <row r="695" spans="10:23" x14ac:dyDescent="0.2">
      <c r="J695" s="28"/>
      <c r="S695" s="28"/>
      <c r="W695" s="28"/>
    </row>
    <row r="696" spans="10:23" x14ac:dyDescent="0.2">
      <c r="J696" s="28"/>
      <c r="S696" s="28"/>
      <c r="W696" s="28"/>
    </row>
    <row r="697" spans="10:23" x14ac:dyDescent="0.2">
      <c r="J697" s="28"/>
      <c r="S697" s="28"/>
      <c r="W697" s="28"/>
    </row>
    <row r="698" spans="10:23" x14ac:dyDescent="0.2">
      <c r="J698" s="28"/>
      <c r="S698" s="28"/>
      <c r="W698" s="28"/>
    </row>
    <row r="699" spans="10:23" x14ac:dyDescent="0.2">
      <c r="J699" s="28"/>
      <c r="S699" s="28"/>
      <c r="W699" s="28"/>
    </row>
    <row r="700" spans="10:23" x14ac:dyDescent="0.2">
      <c r="J700" s="28"/>
      <c r="S700" s="28"/>
      <c r="W700" s="28"/>
    </row>
    <row r="701" spans="10:23" x14ac:dyDescent="0.2">
      <c r="J701" s="28"/>
      <c r="S701" s="28"/>
      <c r="W701" s="28"/>
    </row>
    <row r="702" spans="10:23" x14ac:dyDescent="0.2">
      <c r="J702" s="28"/>
      <c r="S702" s="28"/>
      <c r="W702" s="28"/>
    </row>
    <row r="703" spans="10:23" x14ac:dyDescent="0.2">
      <c r="J703" s="28"/>
      <c r="S703" s="28"/>
      <c r="W703" s="28"/>
    </row>
    <row r="704" spans="10:23" x14ac:dyDescent="0.2">
      <c r="J704" s="28"/>
      <c r="S704" s="28"/>
      <c r="W704" s="28"/>
    </row>
    <row r="705" spans="10:23" x14ac:dyDescent="0.2">
      <c r="J705" s="28"/>
      <c r="S705" s="28"/>
      <c r="W705" s="28"/>
    </row>
    <row r="706" spans="10:23" x14ac:dyDescent="0.2">
      <c r="J706" s="28"/>
      <c r="S706" s="28"/>
      <c r="W706" s="28"/>
    </row>
    <row r="707" spans="10:23" x14ac:dyDescent="0.2">
      <c r="J707" s="28"/>
      <c r="S707" s="28"/>
      <c r="W707" s="28"/>
    </row>
    <row r="708" spans="10:23" x14ac:dyDescent="0.2">
      <c r="J708" s="28"/>
      <c r="S708" s="28"/>
      <c r="W708" s="28"/>
    </row>
    <row r="709" spans="10:23" x14ac:dyDescent="0.2">
      <c r="J709" s="28"/>
      <c r="S709" s="28"/>
      <c r="W709" s="28"/>
    </row>
    <row r="710" spans="10:23" x14ac:dyDescent="0.2">
      <c r="J710" s="28"/>
      <c r="S710" s="28"/>
      <c r="W710" s="28"/>
    </row>
    <row r="711" spans="10:23" x14ac:dyDescent="0.2">
      <c r="J711" s="28"/>
      <c r="S711" s="28"/>
      <c r="W711" s="28"/>
    </row>
    <row r="712" spans="10:23" x14ac:dyDescent="0.2">
      <c r="J712" s="28"/>
      <c r="S712" s="28"/>
      <c r="W712" s="28"/>
    </row>
    <row r="713" spans="10:23" x14ac:dyDescent="0.2">
      <c r="J713" s="28"/>
      <c r="S713" s="28"/>
      <c r="W713" s="28"/>
    </row>
    <row r="714" spans="10:23" x14ac:dyDescent="0.2">
      <c r="J714" s="28"/>
      <c r="S714" s="28"/>
      <c r="W714" s="28"/>
    </row>
    <row r="715" spans="10:23" x14ac:dyDescent="0.2">
      <c r="J715" s="28"/>
      <c r="S715" s="28"/>
      <c r="W715" s="28"/>
    </row>
    <row r="716" spans="10:23" x14ac:dyDescent="0.2">
      <c r="J716" s="28"/>
      <c r="S716" s="28"/>
      <c r="W716" s="28"/>
    </row>
    <row r="717" spans="10:23" x14ac:dyDescent="0.2">
      <c r="J717" s="28"/>
      <c r="S717" s="28"/>
      <c r="W717" s="28"/>
    </row>
    <row r="718" spans="10:23" x14ac:dyDescent="0.2">
      <c r="J718" s="28"/>
      <c r="S718" s="28"/>
      <c r="W718" s="28"/>
    </row>
    <row r="719" spans="10:23" x14ac:dyDescent="0.2">
      <c r="J719" s="28"/>
      <c r="S719" s="28"/>
      <c r="W719" s="28"/>
    </row>
    <row r="720" spans="10:23" x14ac:dyDescent="0.2">
      <c r="J720" s="28"/>
      <c r="S720" s="28"/>
      <c r="W720" s="28"/>
    </row>
    <row r="721" spans="10:23" x14ac:dyDescent="0.2">
      <c r="J721" s="28"/>
      <c r="S721" s="28"/>
      <c r="W721" s="28"/>
    </row>
    <row r="722" spans="10:23" x14ac:dyDescent="0.2">
      <c r="J722" s="28"/>
      <c r="S722" s="28"/>
      <c r="W722" s="28"/>
    </row>
    <row r="723" spans="10:23" x14ac:dyDescent="0.2">
      <c r="J723" s="28"/>
      <c r="S723" s="28"/>
      <c r="W723" s="28"/>
    </row>
    <row r="724" spans="10:23" x14ac:dyDescent="0.2">
      <c r="J724" s="28"/>
      <c r="S724" s="28"/>
      <c r="W724" s="28"/>
    </row>
    <row r="725" spans="10:23" x14ac:dyDescent="0.2">
      <c r="J725" s="28"/>
      <c r="S725" s="28"/>
      <c r="W725" s="28"/>
    </row>
    <row r="726" spans="10:23" x14ac:dyDescent="0.2">
      <c r="J726" s="28"/>
      <c r="S726" s="28"/>
      <c r="W726" s="28"/>
    </row>
    <row r="727" spans="10:23" x14ac:dyDescent="0.2">
      <c r="J727" s="28"/>
      <c r="S727" s="28"/>
      <c r="W727" s="28"/>
    </row>
    <row r="728" spans="10:23" x14ac:dyDescent="0.2">
      <c r="J728" s="28"/>
      <c r="S728" s="28"/>
      <c r="W728" s="28"/>
    </row>
    <row r="729" spans="10:23" x14ac:dyDescent="0.2">
      <c r="J729" s="28"/>
      <c r="S729" s="28"/>
      <c r="W729" s="28"/>
    </row>
    <row r="730" spans="10:23" x14ac:dyDescent="0.2">
      <c r="J730" s="28"/>
      <c r="S730" s="28"/>
      <c r="W730" s="28"/>
    </row>
    <row r="731" spans="10:23" x14ac:dyDescent="0.2">
      <c r="J731" s="28"/>
      <c r="S731" s="28"/>
      <c r="W731" s="28"/>
    </row>
    <row r="732" spans="10:23" x14ac:dyDescent="0.2">
      <c r="J732" s="28"/>
      <c r="S732" s="28"/>
      <c r="W732" s="28"/>
    </row>
    <row r="733" spans="10:23" x14ac:dyDescent="0.2">
      <c r="J733" s="28"/>
      <c r="S733" s="28"/>
      <c r="W733" s="28"/>
    </row>
    <row r="734" spans="10:23" x14ac:dyDescent="0.2">
      <c r="J734" s="28"/>
      <c r="S734" s="28"/>
      <c r="W734" s="28"/>
    </row>
    <row r="735" spans="10:23" x14ac:dyDescent="0.2">
      <c r="J735" s="28"/>
      <c r="S735" s="28"/>
      <c r="W735" s="28"/>
    </row>
    <row r="736" spans="10:23" x14ac:dyDescent="0.2">
      <c r="J736" s="28"/>
      <c r="S736" s="28"/>
      <c r="W736" s="28"/>
    </row>
    <row r="737" spans="10:23" x14ac:dyDescent="0.2">
      <c r="J737" s="28"/>
      <c r="S737" s="28"/>
      <c r="W737" s="28"/>
    </row>
    <row r="738" spans="10:23" x14ac:dyDescent="0.2">
      <c r="J738" s="28"/>
      <c r="S738" s="28"/>
      <c r="W738" s="28"/>
    </row>
    <row r="739" spans="10:23" x14ac:dyDescent="0.2">
      <c r="J739" s="28"/>
      <c r="S739" s="28"/>
      <c r="W739" s="28"/>
    </row>
    <row r="740" spans="10:23" x14ac:dyDescent="0.2">
      <c r="J740" s="28"/>
      <c r="S740" s="28"/>
      <c r="W740" s="28"/>
    </row>
    <row r="741" spans="10:23" x14ac:dyDescent="0.2">
      <c r="J741" s="28"/>
      <c r="S741" s="28"/>
      <c r="W741" s="28"/>
    </row>
    <row r="742" spans="10:23" x14ac:dyDescent="0.2">
      <c r="J742" s="28"/>
      <c r="S742" s="28"/>
      <c r="W742" s="28"/>
    </row>
    <row r="743" spans="10:23" x14ac:dyDescent="0.2">
      <c r="J743" s="28"/>
      <c r="S743" s="28"/>
      <c r="W743" s="28"/>
    </row>
    <row r="744" spans="10:23" x14ac:dyDescent="0.2">
      <c r="J744" s="28"/>
      <c r="S744" s="28"/>
      <c r="W744" s="28"/>
    </row>
    <row r="745" spans="10:23" x14ac:dyDescent="0.2">
      <c r="J745" s="28"/>
      <c r="S745" s="28"/>
      <c r="W745" s="28"/>
    </row>
    <row r="746" spans="10:23" x14ac:dyDescent="0.2">
      <c r="J746" s="28"/>
      <c r="S746" s="28"/>
      <c r="W746" s="28"/>
    </row>
    <row r="747" spans="10:23" x14ac:dyDescent="0.2">
      <c r="J747" s="28"/>
      <c r="S747" s="28"/>
      <c r="W747" s="28"/>
    </row>
    <row r="748" spans="10:23" x14ac:dyDescent="0.2">
      <c r="J748" s="28"/>
      <c r="S748" s="28"/>
      <c r="W748" s="28"/>
    </row>
    <row r="749" spans="10:23" x14ac:dyDescent="0.2">
      <c r="J749" s="28"/>
      <c r="S749" s="28"/>
      <c r="W749" s="28"/>
    </row>
    <row r="750" spans="10:23" x14ac:dyDescent="0.2">
      <c r="J750" s="28"/>
      <c r="S750" s="28"/>
      <c r="W750" s="28"/>
    </row>
    <row r="751" spans="10:23" x14ac:dyDescent="0.2">
      <c r="J751" s="28"/>
      <c r="S751" s="28"/>
      <c r="W751" s="28"/>
    </row>
    <row r="752" spans="10:23" x14ac:dyDescent="0.2">
      <c r="J752" s="28"/>
      <c r="S752" s="28"/>
      <c r="W752" s="28"/>
    </row>
    <row r="753" spans="10:23" x14ac:dyDescent="0.2">
      <c r="J753" s="28"/>
      <c r="S753" s="28"/>
      <c r="W753" s="28"/>
    </row>
    <row r="754" spans="10:23" x14ac:dyDescent="0.2">
      <c r="J754" s="28"/>
      <c r="S754" s="28"/>
      <c r="W754" s="28"/>
    </row>
    <row r="755" spans="10:23" x14ac:dyDescent="0.2">
      <c r="J755" s="28"/>
      <c r="S755" s="28"/>
      <c r="W755" s="28"/>
    </row>
    <row r="756" spans="10:23" x14ac:dyDescent="0.2">
      <c r="J756" s="28"/>
      <c r="S756" s="28"/>
      <c r="W756" s="28"/>
    </row>
    <row r="757" spans="10:23" x14ac:dyDescent="0.2">
      <c r="J757" s="28"/>
      <c r="S757" s="28"/>
      <c r="W757" s="28"/>
    </row>
    <row r="758" spans="10:23" x14ac:dyDescent="0.2">
      <c r="J758" s="28"/>
      <c r="S758" s="28"/>
      <c r="W758" s="28"/>
    </row>
    <row r="759" spans="10:23" x14ac:dyDescent="0.2">
      <c r="J759" s="28"/>
      <c r="S759" s="28"/>
      <c r="W759" s="28"/>
    </row>
    <row r="760" spans="10:23" x14ac:dyDescent="0.2">
      <c r="J760" s="28"/>
      <c r="S760" s="28"/>
      <c r="W760" s="28"/>
    </row>
    <row r="761" spans="10:23" x14ac:dyDescent="0.2">
      <c r="J761" s="28"/>
      <c r="S761" s="28"/>
      <c r="W761" s="28"/>
    </row>
    <row r="762" spans="10:23" x14ac:dyDescent="0.2">
      <c r="J762" s="28"/>
      <c r="S762" s="28"/>
      <c r="W762" s="28"/>
    </row>
    <row r="763" spans="10:23" x14ac:dyDescent="0.2">
      <c r="J763" s="28"/>
      <c r="S763" s="28"/>
      <c r="W763" s="28"/>
    </row>
    <row r="764" spans="10:23" x14ac:dyDescent="0.2">
      <c r="J764" s="28"/>
      <c r="S764" s="28"/>
      <c r="W764" s="28"/>
    </row>
    <row r="765" spans="10:23" x14ac:dyDescent="0.2">
      <c r="J765" s="28"/>
      <c r="S765" s="28"/>
      <c r="W765" s="28"/>
    </row>
    <row r="766" spans="10:23" x14ac:dyDescent="0.2">
      <c r="J766" s="28"/>
      <c r="S766" s="28"/>
      <c r="W766" s="28"/>
    </row>
    <row r="767" spans="10:23" x14ac:dyDescent="0.2">
      <c r="J767" s="28"/>
      <c r="S767" s="28"/>
      <c r="W767" s="28"/>
    </row>
    <row r="768" spans="10:23" x14ac:dyDescent="0.2">
      <c r="J768" s="28"/>
      <c r="S768" s="28"/>
      <c r="W768" s="28"/>
    </row>
    <row r="769" spans="10:23" x14ac:dyDescent="0.2">
      <c r="J769" s="28"/>
      <c r="S769" s="28"/>
      <c r="W769" s="28"/>
    </row>
    <row r="770" spans="10:23" x14ac:dyDescent="0.2">
      <c r="J770" s="28"/>
      <c r="S770" s="28"/>
      <c r="W770" s="28"/>
    </row>
    <row r="771" spans="10:23" x14ac:dyDescent="0.2">
      <c r="J771" s="28"/>
      <c r="S771" s="28"/>
      <c r="W771" s="28"/>
    </row>
    <row r="772" spans="10:23" x14ac:dyDescent="0.2">
      <c r="J772" s="28"/>
      <c r="S772" s="28"/>
      <c r="W772" s="28"/>
    </row>
    <row r="773" spans="10:23" x14ac:dyDescent="0.2">
      <c r="J773" s="28"/>
      <c r="S773" s="28"/>
      <c r="W773" s="28"/>
    </row>
    <row r="774" spans="10:23" x14ac:dyDescent="0.2">
      <c r="J774" s="28"/>
      <c r="S774" s="28"/>
      <c r="W774" s="28"/>
    </row>
    <row r="775" spans="10:23" x14ac:dyDescent="0.2">
      <c r="J775" s="28"/>
      <c r="S775" s="28"/>
      <c r="W775" s="28"/>
    </row>
    <row r="776" spans="10:23" x14ac:dyDescent="0.2">
      <c r="J776" s="28"/>
      <c r="S776" s="28"/>
      <c r="W776" s="28"/>
    </row>
    <row r="777" spans="10:23" x14ac:dyDescent="0.2">
      <c r="J777" s="28"/>
      <c r="S777" s="28"/>
      <c r="W777" s="28"/>
    </row>
    <row r="778" spans="10:23" x14ac:dyDescent="0.2">
      <c r="J778" s="28"/>
      <c r="S778" s="28"/>
      <c r="W778" s="28"/>
    </row>
    <row r="779" spans="10:23" x14ac:dyDescent="0.2">
      <c r="J779" s="28"/>
      <c r="S779" s="28"/>
      <c r="W779" s="28"/>
    </row>
    <row r="780" spans="10:23" x14ac:dyDescent="0.2">
      <c r="J780" s="28"/>
      <c r="S780" s="28"/>
      <c r="W780" s="28"/>
    </row>
    <row r="781" spans="10:23" x14ac:dyDescent="0.2">
      <c r="J781" s="28"/>
      <c r="S781" s="28"/>
      <c r="W781" s="28"/>
    </row>
    <row r="782" spans="10:23" x14ac:dyDescent="0.2">
      <c r="J782" s="28"/>
      <c r="S782" s="28"/>
      <c r="W782" s="28"/>
    </row>
    <row r="783" spans="10:23" x14ac:dyDescent="0.2">
      <c r="J783" s="28"/>
      <c r="S783" s="28"/>
      <c r="W783" s="28"/>
    </row>
    <row r="784" spans="10:23" x14ac:dyDescent="0.2">
      <c r="J784" s="28"/>
      <c r="S784" s="28"/>
      <c r="W784" s="28"/>
    </row>
    <row r="785" spans="10:23" x14ac:dyDescent="0.2">
      <c r="J785" s="28"/>
      <c r="S785" s="28"/>
      <c r="W785" s="28"/>
    </row>
    <row r="786" spans="10:23" x14ac:dyDescent="0.2">
      <c r="J786" s="28"/>
      <c r="S786" s="28"/>
      <c r="W786" s="28"/>
    </row>
    <row r="787" spans="10:23" x14ac:dyDescent="0.2">
      <c r="J787" s="28"/>
      <c r="S787" s="28"/>
      <c r="W787" s="28"/>
    </row>
    <row r="788" spans="10:23" x14ac:dyDescent="0.2">
      <c r="J788" s="28"/>
      <c r="S788" s="28"/>
      <c r="W788" s="28"/>
    </row>
    <row r="789" spans="10:23" x14ac:dyDescent="0.2">
      <c r="J789" s="28"/>
      <c r="S789" s="28"/>
      <c r="W789" s="28"/>
    </row>
    <row r="790" spans="10:23" x14ac:dyDescent="0.2">
      <c r="J790" s="28"/>
      <c r="S790" s="28"/>
      <c r="W790" s="28"/>
    </row>
    <row r="791" spans="10:23" x14ac:dyDescent="0.2">
      <c r="J791" s="28"/>
      <c r="S791" s="28"/>
      <c r="W791" s="28"/>
    </row>
    <row r="792" spans="10:23" x14ac:dyDescent="0.2">
      <c r="J792" s="28"/>
      <c r="S792" s="28"/>
      <c r="W792" s="28"/>
    </row>
    <row r="793" spans="10:23" x14ac:dyDescent="0.2">
      <c r="J793" s="28"/>
      <c r="S793" s="28"/>
      <c r="W793" s="28"/>
    </row>
    <row r="794" spans="10:23" x14ac:dyDescent="0.2">
      <c r="J794" s="28"/>
      <c r="S794" s="28"/>
      <c r="W794" s="28"/>
    </row>
    <row r="795" spans="10:23" x14ac:dyDescent="0.2">
      <c r="J795" s="28"/>
      <c r="S795" s="28"/>
      <c r="W795" s="28"/>
    </row>
    <row r="796" spans="10:23" x14ac:dyDescent="0.2">
      <c r="J796" s="28"/>
      <c r="S796" s="28"/>
      <c r="W796" s="28"/>
    </row>
    <row r="797" spans="10:23" x14ac:dyDescent="0.2">
      <c r="J797" s="28"/>
      <c r="S797" s="28"/>
      <c r="W797" s="28"/>
    </row>
    <row r="798" spans="10:23" x14ac:dyDescent="0.2">
      <c r="J798" s="28"/>
      <c r="S798" s="28"/>
      <c r="W798" s="28"/>
    </row>
    <row r="799" spans="10:23" x14ac:dyDescent="0.2">
      <c r="J799" s="28"/>
      <c r="S799" s="28"/>
      <c r="W799" s="28"/>
    </row>
    <row r="800" spans="10:23" x14ac:dyDescent="0.2">
      <c r="J800" s="28"/>
      <c r="S800" s="28"/>
      <c r="W800" s="28"/>
    </row>
    <row r="801" spans="10:23" x14ac:dyDescent="0.2">
      <c r="J801" s="28"/>
      <c r="S801" s="28"/>
      <c r="W801" s="28"/>
    </row>
    <row r="802" spans="10:23" x14ac:dyDescent="0.2">
      <c r="J802" s="28"/>
      <c r="S802" s="28"/>
      <c r="W802" s="28"/>
    </row>
    <row r="803" spans="10:23" x14ac:dyDescent="0.2">
      <c r="J803" s="28"/>
      <c r="S803" s="28"/>
      <c r="W803" s="28"/>
    </row>
    <row r="804" spans="10:23" x14ac:dyDescent="0.2">
      <c r="J804" s="28"/>
      <c r="S804" s="28"/>
      <c r="W804" s="28"/>
    </row>
    <row r="805" spans="10:23" x14ac:dyDescent="0.2">
      <c r="J805" s="28"/>
      <c r="S805" s="28"/>
      <c r="W805" s="28"/>
    </row>
    <row r="806" spans="10:23" x14ac:dyDescent="0.2">
      <c r="J806" s="28"/>
      <c r="S806" s="28"/>
      <c r="W806" s="28"/>
    </row>
    <row r="807" spans="10:23" x14ac:dyDescent="0.2">
      <c r="J807" s="28"/>
      <c r="S807" s="28"/>
      <c r="W807" s="28"/>
    </row>
    <row r="808" spans="10:23" x14ac:dyDescent="0.2">
      <c r="J808" s="28"/>
      <c r="S808" s="28"/>
      <c r="W808" s="28"/>
    </row>
    <row r="809" spans="10:23" x14ac:dyDescent="0.2">
      <c r="J809" s="28"/>
      <c r="S809" s="28"/>
      <c r="W809" s="28"/>
    </row>
    <row r="810" spans="10:23" x14ac:dyDescent="0.2">
      <c r="J810" s="28"/>
      <c r="S810" s="28"/>
      <c r="W810" s="28"/>
    </row>
    <row r="811" spans="10:23" x14ac:dyDescent="0.2">
      <c r="J811" s="28"/>
      <c r="S811" s="28"/>
      <c r="W811" s="28"/>
    </row>
    <row r="812" spans="10:23" x14ac:dyDescent="0.2">
      <c r="J812" s="28"/>
      <c r="S812" s="28"/>
      <c r="W812" s="28"/>
    </row>
    <row r="813" spans="10:23" x14ac:dyDescent="0.2">
      <c r="J813" s="28"/>
      <c r="S813" s="28"/>
      <c r="W813" s="28"/>
    </row>
    <row r="814" spans="10:23" x14ac:dyDescent="0.2">
      <c r="J814" s="28"/>
      <c r="S814" s="28"/>
      <c r="W814" s="28"/>
    </row>
    <row r="815" spans="10:23" x14ac:dyDescent="0.2">
      <c r="J815" s="28"/>
      <c r="S815" s="28"/>
      <c r="W815" s="28"/>
    </row>
    <row r="816" spans="10:23" x14ac:dyDescent="0.2">
      <c r="J816" s="28"/>
      <c r="S816" s="28"/>
      <c r="W816" s="28"/>
    </row>
    <row r="817" spans="10:23" x14ac:dyDescent="0.2">
      <c r="J817" s="28"/>
      <c r="S817" s="28"/>
      <c r="W817" s="28"/>
    </row>
    <row r="818" spans="10:23" x14ac:dyDescent="0.2">
      <c r="J818" s="28"/>
      <c r="S818" s="28"/>
      <c r="W818" s="28"/>
    </row>
    <row r="819" spans="10:23" x14ac:dyDescent="0.2">
      <c r="J819" s="28"/>
      <c r="S819" s="28"/>
      <c r="W819" s="28"/>
    </row>
    <row r="820" spans="10:23" x14ac:dyDescent="0.2">
      <c r="J820" s="28"/>
      <c r="S820" s="28"/>
      <c r="W820" s="28"/>
    </row>
    <row r="821" spans="10:23" x14ac:dyDescent="0.2">
      <c r="J821" s="28"/>
      <c r="S821" s="28"/>
      <c r="W821" s="28"/>
    </row>
    <row r="822" spans="10:23" x14ac:dyDescent="0.2">
      <c r="J822" s="28"/>
      <c r="S822" s="28"/>
      <c r="W822" s="28"/>
    </row>
    <row r="823" spans="10:23" x14ac:dyDescent="0.2">
      <c r="J823" s="28"/>
      <c r="S823" s="28"/>
      <c r="W823" s="28"/>
    </row>
    <row r="824" spans="10:23" x14ac:dyDescent="0.2">
      <c r="J824" s="28"/>
      <c r="S824" s="28"/>
      <c r="W824" s="28"/>
    </row>
    <row r="825" spans="10:23" x14ac:dyDescent="0.2">
      <c r="J825" s="28"/>
      <c r="S825" s="28"/>
      <c r="W825" s="28"/>
    </row>
    <row r="826" spans="10:23" x14ac:dyDescent="0.2">
      <c r="J826" s="28"/>
      <c r="S826" s="28"/>
      <c r="W826" s="28"/>
    </row>
    <row r="827" spans="10:23" x14ac:dyDescent="0.2">
      <c r="J827" s="28"/>
      <c r="S827" s="28"/>
      <c r="W827" s="28"/>
    </row>
    <row r="828" spans="10:23" x14ac:dyDescent="0.2">
      <c r="J828" s="28"/>
      <c r="S828" s="28"/>
      <c r="W828" s="28"/>
    </row>
    <row r="829" spans="10:23" x14ac:dyDescent="0.2">
      <c r="J829" s="28"/>
      <c r="S829" s="28"/>
      <c r="W829" s="28"/>
    </row>
    <row r="830" spans="10:23" x14ac:dyDescent="0.2">
      <c r="J830" s="28"/>
      <c r="S830" s="28"/>
      <c r="W830" s="28"/>
    </row>
    <row r="831" spans="10:23" x14ac:dyDescent="0.2">
      <c r="J831" s="28"/>
      <c r="S831" s="28"/>
      <c r="W831" s="28"/>
    </row>
    <row r="832" spans="10:23" x14ac:dyDescent="0.2">
      <c r="J832" s="28"/>
      <c r="S832" s="28"/>
      <c r="W832" s="28"/>
    </row>
    <row r="833" spans="10:23" x14ac:dyDescent="0.2">
      <c r="J833" s="28"/>
      <c r="S833" s="28"/>
      <c r="W833" s="28"/>
    </row>
    <row r="834" spans="10:23" x14ac:dyDescent="0.2">
      <c r="J834" s="28"/>
      <c r="S834" s="28"/>
      <c r="W834" s="28"/>
    </row>
    <row r="835" spans="10:23" x14ac:dyDescent="0.2">
      <c r="J835" s="28"/>
      <c r="S835" s="28"/>
      <c r="W835" s="28"/>
    </row>
    <row r="836" spans="10:23" x14ac:dyDescent="0.2">
      <c r="J836" s="28"/>
      <c r="S836" s="28"/>
      <c r="W836" s="28"/>
    </row>
    <row r="837" spans="10:23" x14ac:dyDescent="0.2">
      <c r="J837" s="28"/>
      <c r="S837" s="28"/>
      <c r="W837" s="28"/>
    </row>
    <row r="838" spans="10:23" x14ac:dyDescent="0.2">
      <c r="J838" s="28"/>
      <c r="S838" s="28"/>
      <c r="W838" s="28"/>
    </row>
    <row r="839" spans="10:23" x14ac:dyDescent="0.2">
      <c r="J839" s="28"/>
      <c r="S839" s="28"/>
      <c r="W839" s="28"/>
    </row>
    <row r="840" spans="10:23" x14ac:dyDescent="0.2">
      <c r="J840" s="28"/>
      <c r="S840" s="28"/>
      <c r="W840" s="28"/>
    </row>
    <row r="841" spans="10:23" x14ac:dyDescent="0.2">
      <c r="J841" s="28"/>
      <c r="S841" s="28"/>
      <c r="W841" s="28"/>
    </row>
    <row r="842" spans="10:23" x14ac:dyDescent="0.2">
      <c r="J842" s="28"/>
      <c r="S842" s="28"/>
      <c r="W842" s="28"/>
    </row>
    <row r="843" spans="10:23" x14ac:dyDescent="0.2">
      <c r="J843" s="28"/>
      <c r="S843" s="28"/>
      <c r="W843" s="28"/>
    </row>
    <row r="844" spans="10:23" x14ac:dyDescent="0.2">
      <c r="J844" s="28"/>
      <c r="S844" s="28"/>
      <c r="W844" s="28"/>
    </row>
    <row r="845" spans="10:23" x14ac:dyDescent="0.2">
      <c r="J845" s="28"/>
      <c r="S845" s="28"/>
      <c r="W845" s="28"/>
    </row>
    <row r="846" spans="10:23" x14ac:dyDescent="0.2">
      <c r="J846" s="28"/>
      <c r="S846" s="28"/>
      <c r="W846" s="28"/>
    </row>
    <row r="847" spans="10:23" x14ac:dyDescent="0.2">
      <c r="J847" s="28"/>
      <c r="S847" s="28"/>
      <c r="W847" s="28"/>
    </row>
    <row r="848" spans="10:23" x14ac:dyDescent="0.2">
      <c r="J848" s="28"/>
      <c r="S848" s="28"/>
      <c r="W848" s="28"/>
    </row>
    <row r="849" spans="10:23" x14ac:dyDescent="0.2">
      <c r="J849" s="28"/>
      <c r="S849" s="28"/>
      <c r="W849" s="28"/>
    </row>
    <row r="850" spans="10:23" x14ac:dyDescent="0.2">
      <c r="J850" s="28"/>
      <c r="S850" s="28"/>
      <c r="W850" s="28"/>
    </row>
    <row r="851" spans="10:23" x14ac:dyDescent="0.2">
      <c r="J851" s="28"/>
      <c r="S851" s="28"/>
      <c r="W851" s="28"/>
    </row>
    <row r="852" spans="10:23" x14ac:dyDescent="0.2">
      <c r="J852" s="28"/>
      <c r="S852" s="28"/>
      <c r="W852" s="28"/>
    </row>
    <row r="853" spans="10:23" x14ac:dyDescent="0.2">
      <c r="J853" s="28"/>
      <c r="S853" s="28"/>
      <c r="W853" s="28"/>
    </row>
    <row r="854" spans="10:23" x14ac:dyDescent="0.2">
      <c r="J854" s="28"/>
      <c r="S854" s="28"/>
      <c r="W854" s="28"/>
    </row>
    <row r="855" spans="10:23" x14ac:dyDescent="0.2">
      <c r="J855" s="28"/>
      <c r="S855" s="28"/>
      <c r="W855" s="28"/>
    </row>
    <row r="856" spans="10:23" x14ac:dyDescent="0.2">
      <c r="J856" s="28"/>
      <c r="S856" s="28"/>
      <c r="W856" s="28"/>
    </row>
    <row r="857" spans="10:23" x14ac:dyDescent="0.2">
      <c r="J857" s="28"/>
      <c r="S857" s="28"/>
      <c r="W857" s="28"/>
    </row>
    <row r="858" spans="10:23" x14ac:dyDescent="0.2">
      <c r="J858" s="28"/>
      <c r="S858" s="28"/>
      <c r="W858" s="28"/>
    </row>
    <row r="859" spans="10:23" x14ac:dyDescent="0.2">
      <c r="J859" s="28"/>
      <c r="S859" s="28"/>
      <c r="W859" s="28"/>
    </row>
    <row r="860" spans="10:23" x14ac:dyDescent="0.2">
      <c r="J860" s="28"/>
      <c r="S860" s="28"/>
      <c r="W860" s="28"/>
    </row>
    <row r="861" spans="10:23" x14ac:dyDescent="0.2">
      <c r="J861" s="28"/>
      <c r="S861" s="28"/>
      <c r="W861" s="28"/>
    </row>
    <row r="862" spans="10:23" x14ac:dyDescent="0.2">
      <c r="J862" s="28"/>
      <c r="S862" s="28"/>
      <c r="W862" s="28"/>
    </row>
    <row r="863" spans="10:23" x14ac:dyDescent="0.2">
      <c r="J863" s="28"/>
      <c r="S863" s="28"/>
      <c r="W863" s="28"/>
    </row>
    <row r="864" spans="10:23" x14ac:dyDescent="0.2">
      <c r="J864" s="28"/>
      <c r="S864" s="28"/>
      <c r="W864" s="28"/>
    </row>
    <row r="865" spans="10:23" x14ac:dyDescent="0.2">
      <c r="J865" s="28"/>
      <c r="S865" s="28"/>
      <c r="W865" s="28"/>
    </row>
    <row r="866" spans="10:23" x14ac:dyDescent="0.2">
      <c r="J866" s="28"/>
      <c r="S866" s="28"/>
      <c r="W866" s="28"/>
    </row>
    <row r="867" spans="10:23" x14ac:dyDescent="0.2">
      <c r="J867" s="28"/>
      <c r="S867" s="28"/>
      <c r="W867" s="28"/>
    </row>
    <row r="868" spans="10:23" x14ac:dyDescent="0.2">
      <c r="J868" s="28"/>
      <c r="S868" s="28"/>
      <c r="W868" s="28"/>
    </row>
    <row r="869" spans="10:23" x14ac:dyDescent="0.2">
      <c r="J869" s="28"/>
      <c r="S869" s="28"/>
      <c r="W869" s="28"/>
    </row>
    <row r="870" spans="10:23" x14ac:dyDescent="0.2">
      <c r="J870" s="28"/>
      <c r="S870" s="28"/>
      <c r="W870" s="28"/>
    </row>
    <row r="871" spans="10:23" x14ac:dyDescent="0.2">
      <c r="J871" s="28"/>
      <c r="S871" s="28"/>
      <c r="W871" s="28"/>
    </row>
    <row r="872" spans="10:23" x14ac:dyDescent="0.2">
      <c r="J872" s="28"/>
      <c r="S872" s="28"/>
      <c r="W872" s="28"/>
    </row>
    <row r="873" spans="10:23" x14ac:dyDescent="0.2">
      <c r="J873" s="28"/>
      <c r="S873" s="28"/>
      <c r="W873" s="28"/>
    </row>
    <row r="874" spans="10:23" x14ac:dyDescent="0.2">
      <c r="J874" s="28"/>
      <c r="S874" s="28"/>
      <c r="W874" s="28"/>
    </row>
    <row r="875" spans="10:23" x14ac:dyDescent="0.2">
      <c r="J875" s="28"/>
      <c r="S875" s="28"/>
      <c r="W875" s="28"/>
    </row>
    <row r="876" spans="10:23" x14ac:dyDescent="0.2">
      <c r="J876" s="28"/>
      <c r="S876" s="28"/>
      <c r="W876" s="28"/>
    </row>
    <row r="877" spans="10:23" x14ac:dyDescent="0.2">
      <c r="J877" s="28"/>
      <c r="S877" s="28"/>
      <c r="W877" s="28"/>
    </row>
    <row r="878" spans="10:23" x14ac:dyDescent="0.2">
      <c r="J878" s="28"/>
      <c r="S878" s="28"/>
      <c r="W878" s="28"/>
    </row>
    <row r="879" spans="10:23" x14ac:dyDescent="0.2">
      <c r="J879" s="28"/>
      <c r="S879" s="28"/>
      <c r="W879" s="28"/>
    </row>
    <row r="880" spans="10:23" x14ac:dyDescent="0.2">
      <c r="J880" s="28"/>
      <c r="S880" s="28"/>
      <c r="W880" s="28"/>
    </row>
    <row r="881" spans="10:23" x14ac:dyDescent="0.2">
      <c r="J881" s="28"/>
      <c r="S881" s="28"/>
      <c r="W881" s="28"/>
    </row>
    <row r="882" spans="10:23" x14ac:dyDescent="0.2">
      <c r="J882" s="28"/>
      <c r="S882" s="28"/>
      <c r="W882" s="28"/>
    </row>
    <row r="883" spans="10:23" x14ac:dyDescent="0.2">
      <c r="J883" s="28"/>
      <c r="S883" s="28"/>
      <c r="W883" s="28"/>
    </row>
    <row r="884" spans="10:23" x14ac:dyDescent="0.2">
      <c r="J884" s="28"/>
      <c r="S884" s="28"/>
      <c r="W884" s="28"/>
    </row>
    <row r="885" spans="10:23" x14ac:dyDescent="0.2">
      <c r="J885" s="28"/>
      <c r="S885" s="28"/>
      <c r="W885" s="28"/>
    </row>
    <row r="886" spans="10:23" x14ac:dyDescent="0.2">
      <c r="J886" s="28"/>
      <c r="S886" s="28"/>
      <c r="W886" s="28"/>
    </row>
    <row r="887" spans="10:23" x14ac:dyDescent="0.2">
      <c r="J887" s="28"/>
      <c r="S887" s="28"/>
      <c r="W887" s="28"/>
    </row>
    <row r="888" spans="10:23" x14ac:dyDescent="0.2">
      <c r="J888" s="28"/>
      <c r="S888" s="28"/>
      <c r="W888" s="28"/>
    </row>
    <row r="889" spans="10:23" x14ac:dyDescent="0.2">
      <c r="J889" s="28"/>
      <c r="S889" s="28"/>
      <c r="W889" s="28"/>
    </row>
    <row r="890" spans="10:23" x14ac:dyDescent="0.2">
      <c r="J890" s="28"/>
      <c r="S890" s="28"/>
      <c r="W890" s="28"/>
    </row>
    <row r="891" spans="10:23" x14ac:dyDescent="0.2">
      <c r="J891" s="28"/>
      <c r="S891" s="28"/>
      <c r="W891" s="28"/>
    </row>
    <row r="892" spans="10:23" x14ac:dyDescent="0.2">
      <c r="J892" s="28"/>
      <c r="S892" s="28"/>
      <c r="W892" s="28"/>
    </row>
    <row r="893" spans="10:23" x14ac:dyDescent="0.2">
      <c r="J893" s="28"/>
      <c r="S893" s="28"/>
      <c r="W893" s="28"/>
    </row>
    <row r="894" spans="10:23" x14ac:dyDescent="0.2">
      <c r="J894" s="28"/>
      <c r="S894" s="28"/>
      <c r="W894" s="28"/>
    </row>
    <row r="895" spans="10:23" x14ac:dyDescent="0.2">
      <c r="J895" s="28"/>
      <c r="S895" s="28"/>
      <c r="W895" s="28"/>
    </row>
    <row r="896" spans="10:23" x14ac:dyDescent="0.2">
      <c r="J896" s="28"/>
      <c r="S896" s="28"/>
      <c r="W896" s="28"/>
    </row>
    <row r="897" spans="10:23" x14ac:dyDescent="0.2">
      <c r="J897" s="28"/>
      <c r="S897" s="28"/>
      <c r="W897" s="28"/>
    </row>
    <row r="898" spans="10:23" x14ac:dyDescent="0.2">
      <c r="J898" s="28"/>
      <c r="S898" s="28"/>
      <c r="W898" s="28"/>
    </row>
    <row r="899" spans="10:23" x14ac:dyDescent="0.2">
      <c r="J899" s="28"/>
      <c r="S899" s="28"/>
      <c r="W899" s="28"/>
    </row>
    <row r="900" spans="10:23" x14ac:dyDescent="0.2">
      <c r="J900" s="28"/>
      <c r="S900" s="28"/>
      <c r="W900" s="28"/>
    </row>
    <row r="901" spans="10:23" x14ac:dyDescent="0.2">
      <c r="J901" s="28"/>
      <c r="S901" s="28"/>
      <c r="W901" s="28"/>
    </row>
    <row r="902" spans="10:23" x14ac:dyDescent="0.2">
      <c r="J902" s="28"/>
      <c r="S902" s="28"/>
      <c r="W902" s="28"/>
    </row>
    <row r="903" spans="10:23" x14ac:dyDescent="0.2">
      <c r="J903" s="28"/>
      <c r="S903" s="28"/>
      <c r="W903" s="28"/>
    </row>
    <row r="904" spans="10:23" x14ac:dyDescent="0.2">
      <c r="J904" s="28"/>
      <c r="S904" s="28"/>
      <c r="W904" s="28"/>
    </row>
    <row r="905" spans="10:23" x14ac:dyDescent="0.2">
      <c r="J905" s="28"/>
      <c r="S905" s="28"/>
      <c r="W905" s="28"/>
    </row>
    <row r="906" spans="10:23" x14ac:dyDescent="0.2">
      <c r="J906" s="28"/>
      <c r="S906" s="28"/>
      <c r="W906" s="28"/>
    </row>
    <row r="907" spans="10:23" x14ac:dyDescent="0.2">
      <c r="J907" s="28"/>
      <c r="S907" s="28"/>
      <c r="W907" s="28"/>
    </row>
    <row r="908" spans="10:23" x14ac:dyDescent="0.2">
      <c r="J908" s="28"/>
      <c r="S908" s="28"/>
      <c r="W908" s="28"/>
    </row>
    <row r="909" spans="10:23" x14ac:dyDescent="0.2">
      <c r="J909" s="28"/>
      <c r="S909" s="28"/>
      <c r="W909" s="28"/>
    </row>
    <row r="910" spans="10:23" x14ac:dyDescent="0.2">
      <c r="J910" s="28"/>
      <c r="S910" s="28"/>
      <c r="W910" s="28"/>
    </row>
    <row r="911" spans="10:23" x14ac:dyDescent="0.2">
      <c r="J911" s="28"/>
      <c r="S911" s="28"/>
      <c r="W911" s="28"/>
    </row>
    <row r="912" spans="10:23" x14ac:dyDescent="0.2">
      <c r="J912" s="28"/>
      <c r="S912" s="28"/>
      <c r="W912" s="28"/>
    </row>
    <row r="913" spans="10:23" x14ac:dyDescent="0.2">
      <c r="J913" s="28"/>
      <c r="S913" s="28"/>
      <c r="W913" s="28"/>
    </row>
    <row r="914" spans="10:23" x14ac:dyDescent="0.2">
      <c r="J914" s="28"/>
      <c r="S914" s="28"/>
      <c r="W914" s="28"/>
    </row>
    <row r="915" spans="10:23" x14ac:dyDescent="0.2">
      <c r="J915" s="28"/>
      <c r="S915" s="28"/>
      <c r="W915" s="28"/>
    </row>
    <row r="916" spans="10:23" x14ac:dyDescent="0.2">
      <c r="J916" s="28"/>
      <c r="S916" s="28"/>
      <c r="W916" s="28"/>
    </row>
    <row r="917" spans="10:23" x14ac:dyDescent="0.2">
      <c r="J917" s="28"/>
      <c r="S917" s="28"/>
      <c r="W917" s="28"/>
    </row>
    <row r="918" spans="10:23" x14ac:dyDescent="0.2">
      <c r="J918" s="28"/>
      <c r="S918" s="28"/>
      <c r="W918" s="28"/>
    </row>
    <row r="919" spans="10:23" x14ac:dyDescent="0.2">
      <c r="J919" s="28"/>
      <c r="S919" s="28"/>
      <c r="W919" s="28"/>
    </row>
    <row r="920" spans="10:23" x14ac:dyDescent="0.2">
      <c r="J920" s="28"/>
      <c r="S920" s="28"/>
      <c r="W920" s="28"/>
    </row>
    <row r="921" spans="10:23" x14ac:dyDescent="0.2">
      <c r="J921" s="28"/>
      <c r="S921" s="28"/>
      <c r="W921" s="28"/>
    </row>
    <row r="922" spans="10:23" x14ac:dyDescent="0.2">
      <c r="J922" s="28"/>
      <c r="S922" s="28"/>
      <c r="W922" s="28"/>
    </row>
    <row r="923" spans="10:23" x14ac:dyDescent="0.2">
      <c r="J923" s="28"/>
      <c r="S923" s="28"/>
      <c r="W923" s="28"/>
    </row>
    <row r="924" spans="10:23" x14ac:dyDescent="0.2">
      <c r="J924" s="28"/>
      <c r="S924" s="28"/>
      <c r="W924" s="28"/>
    </row>
    <row r="925" spans="10:23" x14ac:dyDescent="0.2">
      <c r="J925" s="28"/>
      <c r="S925" s="28"/>
      <c r="W925" s="28"/>
    </row>
    <row r="926" spans="10:23" x14ac:dyDescent="0.2">
      <c r="J926" s="28"/>
      <c r="S926" s="28"/>
      <c r="W926" s="28"/>
    </row>
    <row r="927" spans="10:23" x14ac:dyDescent="0.2">
      <c r="J927" s="28"/>
      <c r="S927" s="28"/>
      <c r="W927" s="28"/>
    </row>
    <row r="928" spans="10:23" x14ac:dyDescent="0.2">
      <c r="J928" s="28"/>
      <c r="S928" s="28"/>
      <c r="W928" s="28"/>
    </row>
    <row r="929" spans="10:23" x14ac:dyDescent="0.2">
      <c r="J929" s="28"/>
      <c r="S929" s="28"/>
      <c r="W929" s="28"/>
    </row>
    <row r="930" spans="10:23" x14ac:dyDescent="0.2">
      <c r="J930" s="28"/>
      <c r="S930" s="28"/>
      <c r="W930" s="28"/>
    </row>
    <row r="931" spans="10:23" x14ac:dyDescent="0.2">
      <c r="J931" s="28"/>
      <c r="S931" s="28"/>
      <c r="W931" s="28"/>
    </row>
    <row r="932" spans="10:23" x14ac:dyDescent="0.2">
      <c r="J932" s="28"/>
      <c r="S932" s="28"/>
      <c r="W932" s="28"/>
    </row>
    <row r="933" spans="10:23" x14ac:dyDescent="0.2">
      <c r="J933" s="28"/>
      <c r="S933" s="28"/>
      <c r="W933" s="28"/>
    </row>
    <row r="934" spans="10:23" x14ac:dyDescent="0.2">
      <c r="J934" s="28"/>
      <c r="S934" s="28"/>
      <c r="W934" s="28"/>
    </row>
    <row r="935" spans="10:23" x14ac:dyDescent="0.2">
      <c r="J935" s="28"/>
      <c r="S935" s="28"/>
      <c r="W935" s="28"/>
    </row>
    <row r="936" spans="10:23" x14ac:dyDescent="0.2">
      <c r="J936" s="28"/>
      <c r="S936" s="28"/>
      <c r="W936" s="28"/>
    </row>
    <row r="937" spans="10:23" x14ac:dyDescent="0.2">
      <c r="J937" s="28"/>
      <c r="S937" s="28"/>
      <c r="W937" s="28"/>
    </row>
    <row r="938" spans="10:23" x14ac:dyDescent="0.2">
      <c r="J938" s="28"/>
      <c r="S938" s="28"/>
      <c r="W938" s="28"/>
    </row>
    <row r="939" spans="10:23" x14ac:dyDescent="0.2">
      <c r="J939" s="28"/>
      <c r="S939" s="28"/>
      <c r="W939" s="28"/>
    </row>
    <row r="940" spans="10:23" x14ac:dyDescent="0.2">
      <c r="J940" s="28"/>
      <c r="S940" s="28"/>
      <c r="W940" s="28"/>
    </row>
    <row r="941" spans="10:23" x14ac:dyDescent="0.2">
      <c r="J941" s="28"/>
      <c r="S941" s="28"/>
      <c r="W941" s="28"/>
    </row>
    <row r="942" spans="10:23" x14ac:dyDescent="0.2">
      <c r="J942" s="28"/>
      <c r="S942" s="28"/>
      <c r="W942" s="28"/>
    </row>
    <row r="943" spans="10:23" x14ac:dyDescent="0.2">
      <c r="J943" s="28"/>
      <c r="S943" s="28"/>
      <c r="W943" s="28"/>
    </row>
    <row r="944" spans="10:23" x14ac:dyDescent="0.2">
      <c r="J944" s="28"/>
      <c r="S944" s="28"/>
      <c r="W944" s="28"/>
    </row>
    <row r="945" spans="10:23" x14ac:dyDescent="0.2">
      <c r="J945" s="28"/>
      <c r="S945" s="28"/>
      <c r="W945" s="28"/>
    </row>
    <row r="946" spans="10:23" x14ac:dyDescent="0.2">
      <c r="J946" s="28"/>
      <c r="S946" s="28"/>
      <c r="W946" s="28"/>
    </row>
    <row r="947" spans="10:23" x14ac:dyDescent="0.2">
      <c r="J947" s="28"/>
      <c r="S947" s="28"/>
      <c r="W947" s="28"/>
    </row>
    <row r="948" spans="10:23" x14ac:dyDescent="0.2">
      <c r="J948" s="28"/>
      <c r="S948" s="28"/>
      <c r="W948" s="28"/>
    </row>
    <row r="949" spans="10:23" x14ac:dyDescent="0.2">
      <c r="J949" s="28"/>
      <c r="S949" s="28"/>
      <c r="W949" s="28"/>
    </row>
    <row r="950" spans="10:23" x14ac:dyDescent="0.2">
      <c r="J950" s="28"/>
      <c r="S950" s="28"/>
      <c r="W950" s="28"/>
    </row>
    <row r="951" spans="10:23" x14ac:dyDescent="0.2">
      <c r="J951" s="28"/>
      <c r="S951" s="28"/>
      <c r="W951" s="28"/>
    </row>
    <row r="952" spans="10:23" x14ac:dyDescent="0.2">
      <c r="J952" s="28"/>
      <c r="S952" s="28"/>
      <c r="W952" s="28"/>
    </row>
    <row r="953" spans="10:23" x14ac:dyDescent="0.2">
      <c r="J953" s="28"/>
      <c r="S953" s="28"/>
      <c r="W953" s="28"/>
    </row>
    <row r="954" spans="10:23" x14ac:dyDescent="0.2">
      <c r="J954" s="28"/>
      <c r="S954" s="28"/>
      <c r="W954" s="28"/>
    </row>
    <row r="955" spans="10:23" x14ac:dyDescent="0.2">
      <c r="J955" s="28"/>
      <c r="S955" s="28"/>
      <c r="W955" s="28"/>
    </row>
    <row r="956" spans="10:23" x14ac:dyDescent="0.2">
      <c r="J956" s="28"/>
      <c r="S956" s="28"/>
      <c r="W956" s="28"/>
    </row>
    <row r="957" spans="10:23" x14ac:dyDescent="0.2">
      <c r="J957" s="28"/>
      <c r="S957" s="28"/>
      <c r="W957" s="28"/>
    </row>
    <row r="958" spans="10:23" x14ac:dyDescent="0.2">
      <c r="J958" s="28"/>
      <c r="S958" s="28"/>
      <c r="W958" s="28"/>
    </row>
    <row r="959" spans="10:23" x14ac:dyDescent="0.2">
      <c r="J959" s="28"/>
      <c r="S959" s="28"/>
      <c r="W959" s="28"/>
    </row>
    <row r="960" spans="10:23" x14ac:dyDescent="0.2">
      <c r="J960" s="28"/>
      <c r="S960" s="28"/>
      <c r="W960" s="28"/>
    </row>
    <row r="961" spans="10:23" x14ac:dyDescent="0.2">
      <c r="J961" s="28"/>
      <c r="S961" s="28"/>
      <c r="W961" s="28"/>
    </row>
    <row r="962" spans="10:23" x14ac:dyDescent="0.2">
      <c r="J962" s="28"/>
      <c r="S962" s="28"/>
      <c r="W962" s="28"/>
    </row>
    <row r="963" spans="10:23" x14ac:dyDescent="0.2">
      <c r="J963" s="28"/>
      <c r="S963" s="28"/>
      <c r="W963" s="28"/>
    </row>
    <row r="964" spans="10:23" x14ac:dyDescent="0.2">
      <c r="J964" s="28"/>
      <c r="S964" s="28"/>
      <c r="W964" s="28"/>
    </row>
    <row r="965" spans="10:23" x14ac:dyDescent="0.2">
      <c r="J965" s="28"/>
      <c r="S965" s="28"/>
      <c r="W965" s="28"/>
    </row>
    <row r="966" spans="10:23" x14ac:dyDescent="0.2">
      <c r="J966" s="28"/>
      <c r="S966" s="28"/>
      <c r="W966" s="28"/>
    </row>
    <row r="967" spans="10:23" x14ac:dyDescent="0.2">
      <c r="J967" s="28"/>
      <c r="S967" s="28"/>
      <c r="W967" s="28"/>
    </row>
    <row r="968" spans="10:23" x14ac:dyDescent="0.2">
      <c r="J968" s="28"/>
      <c r="S968" s="28"/>
      <c r="W968" s="28"/>
    </row>
    <row r="969" spans="10:23" x14ac:dyDescent="0.2">
      <c r="J969" s="28"/>
      <c r="S969" s="28"/>
      <c r="W969" s="28"/>
    </row>
    <row r="970" spans="10:23" x14ac:dyDescent="0.2">
      <c r="J970" s="28"/>
      <c r="S970" s="28"/>
      <c r="W970" s="28"/>
    </row>
    <row r="971" spans="10:23" x14ac:dyDescent="0.2">
      <c r="J971" s="28"/>
      <c r="S971" s="28"/>
      <c r="W971" s="28"/>
    </row>
    <row r="972" spans="10:23" x14ac:dyDescent="0.2">
      <c r="J972" s="28"/>
      <c r="S972" s="28"/>
      <c r="W972" s="28"/>
    </row>
    <row r="973" spans="10:23" x14ac:dyDescent="0.2">
      <c r="J973" s="28"/>
      <c r="S973" s="28"/>
      <c r="W973" s="28"/>
    </row>
    <row r="974" spans="10:23" x14ac:dyDescent="0.2">
      <c r="J974" s="28"/>
      <c r="S974" s="28"/>
      <c r="W974" s="28"/>
    </row>
    <row r="975" spans="10:23" x14ac:dyDescent="0.2">
      <c r="J975" s="28"/>
      <c r="S975" s="28"/>
      <c r="W975" s="28"/>
    </row>
    <row r="976" spans="10:23" x14ac:dyDescent="0.2">
      <c r="J976" s="28"/>
      <c r="S976" s="28"/>
      <c r="W976" s="28"/>
    </row>
    <row r="977" spans="10:23" x14ac:dyDescent="0.2">
      <c r="J977" s="28"/>
      <c r="S977" s="28"/>
      <c r="W977" s="28"/>
    </row>
    <row r="978" spans="10:23" x14ac:dyDescent="0.2">
      <c r="J978" s="28"/>
      <c r="S978" s="28"/>
      <c r="W978" s="28"/>
    </row>
    <row r="979" spans="10:23" x14ac:dyDescent="0.2">
      <c r="J979" s="28"/>
      <c r="S979" s="28"/>
      <c r="W979" s="28"/>
    </row>
    <row r="980" spans="10:23" x14ac:dyDescent="0.2">
      <c r="J980" s="28"/>
      <c r="S980" s="28"/>
      <c r="W980" s="28"/>
    </row>
    <row r="981" spans="10:23" x14ac:dyDescent="0.2">
      <c r="J981" s="28"/>
      <c r="S981" s="28"/>
      <c r="W981" s="28"/>
    </row>
    <row r="982" spans="10:23" x14ac:dyDescent="0.2">
      <c r="J982" s="28"/>
      <c r="S982" s="28"/>
      <c r="W982" s="28"/>
    </row>
    <row r="983" spans="10:23" x14ac:dyDescent="0.2">
      <c r="J983" s="28"/>
      <c r="S983" s="28"/>
      <c r="W983" s="28"/>
    </row>
    <row r="984" spans="10:23" x14ac:dyDescent="0.2">
      <c r="J984" s="28"/>
      <c r="S984" s="28"/>
      <c r="W984" s="28"/>
    </row>
    <row r="985" spans="10:23" x14ac:dyDescent="0.2">
      <c r="J985" s="28"/>
      <c r="S985" s="28"/>
      <c r="W985" s="28"/>
    </row>
    <row r="986" spans="10:23" x14ac:dyDescent="0.2">
      <c r="J986" s="28"/>
      <c r="S986" s="28"/>
      <c r="W986" s="28"/>
    </row>
    <row r="987" spans="10:23" x14ac:dyDescent="0.2">
      <c r="J987" s="28"/>
      <c r="S987" s="28"/>
      <c r="W987" s="28"/>
    </row>
    <row r="988" spans="10:23" x14ac:dyDescent="0.2">
      <c r="J988" s="28"/>
      <c r="S988" s="28"/>
      <c r="W988" s="28"/>
    </row>
    <row r="989" spans="10:23" x14ac:dyDescent="0.2">
      <c r="J989" s="28"/>
      <c r="S989" s="28"/>
      <c r="W989" s="28"/>
    </row>
    <row r="990" spans="10:23" x14ac:dyDescent="0.2">
      <c r="J990" s="28"/>
      <c r="S990" s="28"/>
      <c r="W990" s="28"/>
    </row>
    <row r="991" spans="10:23" x14ac:dyDescent="0.2">
      <c r="J991" s="28"/>
      <c r="S991" s="28"/>
      <c r="W991" s="28"/>
    </row>
    <row r="992" spans="10:23" x14ac:dyDescent="0.2">
      <c r="J992" s="28"/>
      <c r="S992" s="28"/>
      <c r="W992" s="28"/>
    </row>
    <row r="993" spans="10:23" x14ac:dyDescent="0.2">
      <c r="J993" s="28"/>
      <c r="S993" s="28"/>
      <c r="W993" s="28"/>
    </row>
    <row r="994" spans="10:23" x14ac:dyDescent="0.2">
      <c r="J994" s="28"/>
      <c r="S994" s="28"/>
      <c r="W994" s="28"/>
    </row>
    <row r="995" spans="10:23" x14ac:dyDescent="0.2">
      <c r="J995" s="28"/>
      <c r="S995" s="28"/>
      <c r="W995" s="28"/>
    </row>
    <row r="996" spans="10:23" x14ac:dyDescent="0.2">
      <c r="J996" s="28"/>
      <c r="S996" s="28"/>
      <c r="W996" s="28"/>
    </row>
    <row r="997" spans="10:23" x14ac:dyDescent="0.2">
      <c r="J997" s="28"/>
      <c r="S997" s="28"/>
      <c r="W997" s="28"/>
    </row>
    <row r="998" spans="10:23" x14ac:dyDescent="0.2">
      <c r="J998" s="28"/>
      <c r="S998" s="28"/>
      <c r="W998" s="28"/>
    </row>
    <row r="999" spans="10:23" x14ac:dyDescent="0.2">
      <c r="J999" s="28"/>
      <c r="S999" s="28"/>
      <c r="W999" s="28"/>
    </row>
    <row r="1000" spans="10:23" x14ac:dyDescent="0.2">
      <c r="J1000" s="28"/>
      <c r="S1000" s="28"/>
      <c r="W1000" s="28"/>
    </row>
  </sheetData>
  <autoFilter ref="A6:B54" xr:uid="{00000000-0009-0000-0000-000003000000}"/>
  <sortState xmlns:xlrd2="http://schemas.microsoft.com/office/spreadsheetml/2017/richdata2" ref="C235:C245">
    <sortCondition ref="C235"/>
  </sortState>
  <mergeCells count="5">
    <mergeCell ref="C5:J5"/>
    <mergeCell ref="L5:S5"/>
    <mergeCell ref="W5:W6"/>
    <mergeCell ref="X5:X6"/>
    <mergeCell ref="Y5:Y6"/>
  </mergeCells>
  <conditionalFormatting sqref="A7:B1000">
    <cfRule type="expression" dxfId="34" priority="80">
      <formula>IF($B7="total",TRUE,FALSE)</formula>
    </cfRule>
    <cfRule type="expression" dxfId="33" priority="81">
      <formula>IF(AND($A7&gt;0,ISEVEN($A7)),TRUE,FALSE)</formula>
    </cfRule>
    <cfRule type="expression" dxfId="32" priority="82">
      <formula>IF(AND($A7&gt;0,ISODD($A7)),TRUE,FALSE)</formula>
    </cfRule>
  </conditionalFormatting>
  <conditionalFormatting sqref="A7:C1000">
    <cfRule type="expression" dxfId="31" priority="75">
      <formula>IF($B7="total",TRUE,FALSE)</formula>
    </cfRule>
    <cfRule type="cellIs" dxfId="30" priority="74" operator="equal">
      <formula>0</formula>
    </cfRule>
  </conditionalFormatting>
  <conditionalFormatting sqref="C7:C1000">
    <cfRule type="cellIs" dxfId="29" priority="77" operator="between">
      <formula>-0.0000000000000001</formula>
      <formula>-0.49999999999999</formula>
    </cfRule>
    <cfRule type="cellIs" dxfId="28" priority="76" operator="between">
      <formula>0.0000000000001</formula>
      <formula>0.499999999999</formula>
    </cfRule>
  </conditionalFormatting>
  <conditionalFormatting sqref="C144:I599">
    <cfRule type="cellIs" dxfId="27" priority="106" operator="between">
      <formula>0.00000000000001</formula>
      <formula>0.4999999999999</formula>
    </cfRule>
  </conditionalFormatting>
  <conditionalFormatting sqref="D7:I143">
    <cfRule type="cellIs" dxfId="26" priority="102" operator="equal">
      <formula>0</formula>
    </cfRule>
    <cfRule type="cellIs" dxfId="25" priority="103" operator="between">
      <formula>-0.0000000000000001</formula>
      <formula>-0.49999999999999</formula>
    </cfRule>
    <cfRule type="cellIs" dxfId="24" priority="104" operator="between">
      <formula>0.0000000000001</formula>
      <formula>0.499999999999</formula>
    </cfRule>
    <cfRule type="expression" dxfId="23" priority="105">
      <formula>IF($B7="total",TRUE,FALSE)</formula>
    </cfRule>
  </conditionalFormatting>
  <conditionalFormatting sqref="J7:J1000 S7:S1000 W7:W1000">
    <cfRule type="expression" dxfId="22" priority="88">
      <formula>IF($B7="total",TRUE,FALSE)</formula>
    </cfRule>
    <cfRule type="expression" dxfId="21" priority="89">
      <formula>IF(AND($A7&gt;0,ISEVEN($A7)),TRUE,FALSE)</formula>
    </cfRule>
    <cfRule type="expression" dxfId="20" priority="90">
      <formula>IF(AND($A7&gt;0,ISODD($A7)),TRUE,FALSE)</formula>
    </cfRule>
  </conditionalFormatting>
  <conditionalFormatting sqref="J7:J1000 S7:S1000 W7:Y1000">
    <cfRule type="cellIs" dxfId="19" priority="87" operator="equal">
      <formula>0</formula>
    </cfRule>
    <cfRule type="cellIs" dxfId="18" priority="91" operator="between">
      <formula>0.0000000000001</formula>
      <formula>0.499999999999</formula>
    </cfRule>
    <cfRule type="cellIs" dxfId="17" priority="92" operator="between">
      <formula>-0.0000000000000001</formula>
      <formula>-0.49999999999999</formula>
    </cfRule>
  </conditionalFormatting>
  <conditionalFormatting sqref="L7:L1000">
    <cfRule type="expression" dxfId="16" priority="63">
      <formula>IF($B7="total",TRUE,FALSE)</formula>
    </cfRule>
    <cfRule type="cellIs" dxfId="15" priority="60" operator="equal">
      <formula>0</formula>
    </cfRule>
    <cfRule type="cellIs" dxfId="14" priority="61" operator="between">
      <formula>-0.0000000000000001</formula>
      <formula>-0.49999999999999</formula>
    </cfRule>
    <cfRule type="cellIs" dxfId="13" priority="62" operator="between">
      <formula>0.0000000000001</formula>
      <formula>0.499999999999</formula>
    </cfRule>
  </conditionalFormatting>
  <conditionalFormatting sqref="L144:R599">
    <cfRule type="cellIs" dxfId="12" priority="68" operator="between">
      <formula>0.00000000000001</formula>
      <formula>0.4999999999999</formula>
    </cfRule>
  </conditionalFormatting>
  <conditionalFormatting sqref="M7:R143">
    <cfRule type="cellIs" dxfId="11" priority="50" operator="equal">
      <formula>0</formula>
    </cfRule>
    <cfRule type="cellIs" dxfId="10" priority="51" operator="between">
      <formula>-0.0000000000000001</formula>
      <formula>-0.49999999999999</formula>
    </cfRule>
    <cfRule type="cellIs" dxfId="9" priority="52" operator="between">
      <formula>0.0000000000001</formula>
      <formula>0.499999999999</formula>
    </cfRule>
    <cfRule type="expression" dxfId="8" priority="53">
      <formula>IF($B7="total",TRUE,FALSE)</formula>
    </cfRule>
  </conditionalFormatting>
  <conditionalFormatting sqref="U7:U120">
    <cfRule type="cellIs" dxfId="7" priority="30" operator="between">
      <formula>0.000001</formula>
      <formula>0.499</formula>
    </cfRule>
  </conditionalFormatting>
  <conditionalFormatting sqref="U121:U143">
    <cfRule type="expression" dxfId="6" priority="4">
      <formula>IF($B121="total",TRUE,FALSE)</formula>
    </cfRule>
    <cfRule type="cellIs" dxfId="5" priority="1" operator="equal">
      <formula>0</formula>
    </cfRule>
    <cfRule type="cellIs" dxfId="4" priority="2" operator="between">
      <formula>-0.0000000000000001</formula>
      <formula>-0.49999999999999</formula>
    </cfRule>
    <cfRule type="cellIs" dxfId="3" priority="3" operator="between">
      <formula>0.0000000000001</formula>
      <formula>0.499999999999</formula>
    </cfRule>
  </conditionalFormatting>
  <conditionalFormatting sqref="U144:U299">
    <cfRule type="cellIs" dxfId="2" priority="5" operator="between">
      <formula>0.00000000000001</formula>
      <formula>0.4999999999999</formula>
    </cfRule>
  </conditionalFormatting>
  <conditionalFormatting sqref="U769:U1312">
    <cfRule type="cellIs" dxfId="1" priority="39" operator="between">
      <formula>0.000001</formula>
      <formula>0.499</formula>
    </cfRule>
  </conditionalFormatting>
  <conditionalFormatting sqref="X7:Y1000">
    <cfRule type="expression" dxfId="0" priority="113">
      <formula>IF($B7="total",TRUE,FALSE)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Inicio</vt:lpstr>
      <vt:lpstr>Conexiones Internacionales</vt:lpstr>
      <vt:lpstr>Plantas de regasificación</vt:lpstr>
      <vt:lpstr>Todos</vt:lpstr>
      <vt:lpstr>'Conexiones Internacionales'!Área_de_impresión</vt:lpstr>
      <vt:lpstr>Inicio!Área_de_impresión</vt:lpstr>
      <vt:lpstr>'Plantas de regasificación'!Área_de_impresión</vt:lpstr>
      <vt:lpstr>Todos!Área_de_impresión</vt:lpstr>
      <vt:lpstr>'Conexiones Internacionales'!Títulos_a_imprimir</vt:lpstr>
      <vt:lpstr>'Plantas de regasificación'!Títulos_a_imprimir</vt:lpstr>
      <vt:lpstr>Todos!Títulos_a_imprimir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2016-01-12T12:17:05Z</dcterms:created>
  <dcterms:modified xsi:type="dcterms:W3CDTF">2026-07-06T06:30:18Z</dcterms:modified>
</cp:coreProperties>
</file>
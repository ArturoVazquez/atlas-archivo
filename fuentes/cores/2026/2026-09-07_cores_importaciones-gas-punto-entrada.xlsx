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/>
  <xr:revisionPtr revIDLastSave="0" documentId="13_ncr:1_{65179CA0-9F9F-4413-9CD3-91C97AFFE21C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Inicio" sheetId="11" r:id="rId1"/>
    <sheet name="Conexiones Internacionales" sheetId="12" r:id="rId2"/>
    <sheet name="Plantas regasif. y cisternas" sheetId="13" r:id="rId3"/>
    <sheet name="Todos" sheetId="14" r:id="rId4"/>
  </sheets>
  <definedNames>
    <definedName name="_xlnm.Print_Area" localSheetId="0">Inicio!$A$2:$G$16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4" l="1"/>
  <c r="N6" i="14"/>
  <c r="O6" i="14"/>
  <c r="P6" i="14"/>
  <c r="Q6" i="14"/>
  <c r="S6" i="14"/>
  <c r="T6" i="14"/>
  <c r="M6" i="14"/>
  <c r="C5" i="14"/>
  <c r="D6" i="14"/>
  <c r="E6" i="14"/>
  <c r="F6" i="14"/>
  <c r="G6" i="14"/>
  <c r="H6" i="14"/>
  <c r="I6" i="14"/>
  <c r="J6" i="14"/>
  <c r="K6" i="14"/>
  <c r="C6" i="14"/>
  <c r="A4" i="14" l="1"/>
  <c r="C3" i="14"/>
  <c r="A4" i="12"/>
  <c r="C3" i="12"/>
  <c r="A4" i="13"/>
  <c r="C3" i="13"/>
</calcChain>
</file>

<file path=xl/sharedStrings.xml><?xml version="1.0" encoding="utf-8"?>
<sst xmlns="http://schemas.openxmlformats.org/spreadsheetml/2006/main" count="1235" uniqueCount="53">
  <si>
    <t>Total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</si>
  <si>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</si>
  <si>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</si>
  <si>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</si>
  <si>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</si>
  <si>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</si>
  <si>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</si>
  <si>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</si>
  <si>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</si>
  <si>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</si>
  <si>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</si>
  <si>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</si>
  <si>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</si>
  <si>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</si>
  <si>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</si>
  <si>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</si>
  <si>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Unidad: gigavatio hora</t>
  </si>
  <si>
    <t>2004-marzo 2009</t>
  </si>
  <si>
    <t>abril 2009-actualidad</t>
  </si>
  <si>
    <t>Total GNL</t>
  </si>
  <si>
    <t>Total GN</t>
  </si>
  <si>
    <t>Almería</t>
  </si>
  <si>
    <t>Badajoz</t>
  </si>
  <si>
    <t>Irún</t>
  </si>
  <si>
    <t>Larrau</t>
  </si>
  <si>
    <t>Zahara de los Atunes</t>
  </si>
  <si>
    <t>Conexiones Internacionales</t>
  </si>
  <si>
    <t>Total Conexiones internacionales</t>
  </si>
  <si>
    <t>Tuy</t>
  </si>
  <si>
    <t>Barcelona</t>
  </si>
  <si>
    <t>Bilbao</t>
  </si>
  <si>
    <t>Cartagena</t>
  </si>
  <si>
    <t>Huelva</t>
  </si>
  <si>
    <t>Mugardos</t>
  </si>
  <si>
    <t>Sagunto</t>
  </si>
  <si>
    <t>Importaciones de gas natural por puntos de entrada</t>
  </si>
  <si>
    <t>VIP Ibérico</t>
  </si>
  <si>
    <t>VIP Pirineos</t>
  </si>
  <si>
    <t>Por adaptación a la legislación europea, desde enero de 2015, desaparece el concepto de contrato de tránsito de gas, tratándose en adelante como una importación y una exportación más. En consecuencia los datos de 2014 y 2015 no siempre son comparables.</t>
  </si>
  <si>
    <t/>
  </si>
  <si>
    <t>^ mayor que 0</t>
  </si>
  <si>
    <t>Cisternas</t>
  </si>
  <si>
    <t>Plantas de regasificación</t>
  </si>
  <si>
    <t>Fuente/Notas</t>
  </si>
  <si>
    <t>Anejos de la Resolución del 15 de Julio de 2002</t>
  </si>
  <si>
    <t>Anejos de la Resolución del 15 de diciembre 2008</t>
  </si>
  <si>
    <t>enero 2015-actualidad</t>
  </si>
  <si>
    <t>Total Plantas de regasificación</t>
  </si>
  <si>
    <t>Para más información: cores.institucional@cores.es. Tlf.: +34 91 360 09 10, o visite: www.cores.es</t>
  </si>
  <si>
    <t>Musel</t>
  </si>
  <si>
    <t>Desde octubre 2014</t>
  </si>
  <si>
    <t>De conformidad con la normativa europea, se agrupan las interconexiones en VIP Ibérico (Badajoz, Tuy y VIP Portugal) y VIP Pirineos (Irún y Larrau)</t>
  </si>
  <si>
    <t>Actualizado el 17-08-2026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</si>
</sst>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&quot; &quot;"/>
    <numFmt numFmtId="165" formatCode="####;;&quot; &quot;"/>
    <numFmt numFmtId="166" formatCode="#,###;;&quot; &quot;"/>
  </numFmts>
  <fonts count="2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8"/>
      <color theme="2" tint="-0.499984740745262"/>
      <name val="Arial"/>
      <family val="2"/>
    </font>
    <font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b/>
      <sz val="11"/>
      <color theme="1"/>
      <name val="Arial"/>
      <family val="2"/>
    </font>
    <font>
      <i/>
      <sz val="9"/>
      <color theme="2" tint="-0.499984740745262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sz val="20"/>
      <color theme="2" tint="-0.499984740745262"/>
      <name val="Arial"/>
      <family val="2"/>
    </font>
    <font>
      <b/>
      <sz val="11"/>
      <color theme="0"/>
      <name val="Arial"/>
      <family val="2"/>
    </font>
    <font>
      <sz val="10"/>
      <color rgb="FF1F497D"/>
      <name val="Comic Sans MS"/>
      <family val="4"/>
    </font>
    <font>
      <i/>
      <sz val="11"/>
      <color theme="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6"/>
      </bottom>
      <diagonal/>
    </border>
    <border>
      <left/>
      <right/>
      <top style="thin">
        <color indexed="64"/>
      </top>
      <bottom style="thick">
        <color theme="8" tint="0.59999389629810485"/>
      </bottom>
      <diagonal/>
    </border>
    <border>
      <left/>
      <right/>
      <top style="thick">
        <color theme="8" tint="0.59999389629810485"/>
      </top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7" fontId="5" fillId="0" borderId="1" xfId="6" applyNumberFormat="1" applyFont="1" applyBorder="1" applyAlignment="1">
      <alignment vertical="center"/>
    </xf>
    <xf numFmtId="0" fontId="13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20" fillId="0" borderId="2" xfId="0" applyFont="1" applyBorder="1" applyAlignment="1">
      <alignment horizontal="right"/>
    </xf>
    <xf numFmtId="0" fontId="21" fillId="0" borderId="0" xfId="0" applyFont="1"/>
    <xf numFmtId="0" fontId="2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2" xfId="0" applyBorder="1"/>
    <xf numFmtId="0" fontId="10" fillId="0" borderId="0" xfId="0" applyFont="1"/>
    <xf numFmtId="0" fontId="22" fillId="0" borderId="0" xfId="0" applyFont="1"/>
    <xf numFmtId="0" fontId="22" fillId="0" borderId="3" xfId="0" applyFont="1" applyBorder="1"/>
    <xf numFmtId="0" fontId="22" fillId="0" borderId="4" xfId="0" applyFont="1" applyBorder="1" applyAlignment="1">
      <alignment horizontal="left" vertical="top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12" fillId="0" borderId="0" xfId="0" applyFont="1"/>
    <xf numFmtId="0" fontId="26" fillId="0" borderId="0" xfId="0" applyFont="1"/>
    <xf numFmtId="0" fontId="9" fillId="0" borderId="2" xfId="0" applyFont="1" applyBorder="1"/>
    <xf numFmtId="0" fontId="24" fillId="0" borderId="0" xfId="0" applyFont="1" applyAlignment="1">
      <alignment vertical="center"/>
    </xf>
    <xf numFmtId="3" fontId="18" fillId="0" borderId="0" xfId="6" applyNumberFormat="1" applyFont="1" applyAlignment="1">
      <alignment vertical="center" wrapText="1"/>
    </xf>
    <xf numFmtId="3" fontId="6" fillId="0" borderId="0" xfId="6" applyNumberFormat="1" applyFont="1" applyAlignment="1">
      <alignment horizontal="center" vertical="center" wrapText="1"/>
    </xf>
    <xf numFmtId="14" fontId="9" fillId="0" borderId="0" xfId="0" applyNumberFormat="1" applyFont="1"/>
    <xf numFmtId="0" fontId="0" fillId="0" borderId="0" xfId="0" applyAlignment="1">
      <alignment vertical="center"/>
    </xf>
    <xf numFmtId="0" fontId="22" fillId="0" borderId="4" xfId="0" quotePrefix="1" applyFont="1" applyBorder="1" applyAlignment="1">
      <alignment horizontal="left" vertical="top"/>
    </xf>
    <xf numFmtId="17" fontId="6" fillId="0" borderId="0" xfId="6" applyNumberFormat="1" applyFont="1" applyAlignment="1">
      <alignment horizontal="center" vertical="center" wrapText="1"/>
    </xf>
    <xf numFmtId="3" fontId="18" fillId="0" borderId="1" xfId="6" applyNumberFormat="1" applyFont="1" applyBorder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3" fontId="18" fillId="0" borderId="8" xfId="6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vertical="top"/>
    </xf>
    <xf numFmtId="17" fontId="5" fillId="0" borderId="0" xfId="6" applyNumberFormat="1" applyFont="1" applyAlignment="1">
      <alignment horizontal="left" vertical="center"/>
    </xf>
    <xf numFmtId="0" fontId="2" fillId="0" borderId="0" xfId="6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/>
    </xf>
    <xf numFmtId="166" fontId="22" fillId="0" borderId="0" xfId="5" applyNumberFormat="1" applyFont="1"/>
    <xf numFmtId="3" fontId="7" fillId="0" borderId="0" xfId="0" quotePrefix="1" applyNumberFormat="1" applyFont="1" applyAlignment="1">
      <alignment horizontal="right" vertical="top"/>
    </xf>
    <xf numFmtId="0" fontId="28" fillId="0" borderId="0" xfId="0" applyFont="1"/>
    <xf numFmtId="164" fontId="7" fillId="0" borderId="0" xfId="5" applyNumberFormat="1" applyFont="1"/>
    <xf numFmtId="164" fontId="7" fillId="0" borderId="0" xfId="0" quotePrefix="1" applyNumberFormat="1" applyFont="1" applyAlignment="1">
      <alignment horizontal="right" vertical="top"/>
    </xf>
    <xf numFmtId="165" fontId="13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/>
    </xf>
    <xf numFmtId="17" fontId="2" fillId="0" borderId="0" xfId="6" applyNumberFormat="1" applyFont="1" applyAlignment="1">
      <alignment horizontal="center" vertical="center"/>
    </xf>
    <xf numFmtId="17" fontId="2" fillId="0" borderId="0" xfId="6" applyNumberFormat="1" applyFont="1" applyAlignment="1">
      <alignment horizontal="center" vertical="center" wrapText="1"/>
    </xf>
    <xf numFmtId="17" fontId="2" fillId="0" borderId="9" xfId="6" applyNumberFormat="1" applyFont="1" applyBorder="1" applyAlignment="1">
      <alignment horizontal="center" vertical="center" wrapText="1"/>
    </xf>
    <xf numFmtId="164" fontId="22" fillId="0" borderId="0" xfId="5" applyNumberFormat="1" applyFont="1"/>
    <xf numFmtId="166" fontId="7" fillId="0" borderId="0" xfId="0" quotePrefix="1" applyNumberFormat="1" applyFont="1" applyAlignment="1">
      <alignment horizontal="right" vertical="top"/>
    </xf>
    <xf numFmtId="166" fontId="28" fillId="0" borderId="0" xfId="0" applyNumberFormat="1" applyFont="1" applyAlignment="1">
      <alignment horizontal="right"/>
    </xf>
    <xf numFmtId="3" fontId="17" fillId="0" borderId="0" xfId="6" applyNumberFormat="1" applyFont="1" applyAlignment="1">
      <alignment horizontal="center" vertical="center" wrapText="1"/>
    </xf>
    <xf numFmtId="3" fontId="2" fillId="0" borderId="0" xfId="6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right"/>
    </xf>
    <xf numFmtId="164" fontId="7" fillId="0" borderId="0" xfId="5" applyNumberFormat="1" applyFont="1" applyAlignment="1">
      <alignment vertical="center"/>
    </xf>
    <xf numFmtId="164" fontId="19" fillId="0" borderId="0" xfId="5" applyNumberFormat="1" applyFont="1"/>
    <xf numFmtId="0" fontId="5" fillId="0" borderId="0" xfId="6" applyFont="1" applyAlignment="1">
      <alignment horizontal="center" vertical="center" wrapText="1"/>
    </xf>
    <xf numFmtId="0" fontId="16" fillId="0" borderId="2" xfId="0" applyFont="1" applyBorder="1" applyAlignment="1">
      <alignment horizontal="right"/>
    </xf>
    <xf numFmtId="164" fontId="22" fillId="0" borderId="0" xfId="0" applyNumberFormat="1" applyFont="1" applyAlignment="1">
      <alignment horizontal="right"/>
    </xf>
    <xf numFmtId="0" fontId="22" fillId="0" borderId="4" xfId="0" quotePrefix="1" applyFont="1" applyBorder="1" applyAlignment="1">
      <alignment horizontal="left" vertical="top"/>
    </xf>
    <xf numFmtId="0" fontId="24" fillId="0" borderId="0" xfId="0" applyFont="1" applyAlignment="1">
      <alignment horizontal="left" vertical="center" indent="1"/>
    </xf>
    <xf numFmtId="0" fontId="22" fillId="0" borderId="4" xfId="0" applyFont="1" applyBorder="1" applyAlignment="1">
      <alignment horizontal="left" vertical="top" wrapText="1"/>
    </xf>
    <xf numFmtId="0" fontId="18" fillId="0" borderId="6" xfId="6" applyFont="1" applyBorder="1" applyAlignment="1">
      <alignment horizontal="center" vertical="center" wrapText="1"/>
    </xf>
    <xf numFmtId="3" fontId="18" fillId="0" borderId="7" xfId="6" applyNumberFormat="1" applyFont="1" applyBorder="1" applyAlignment="1">
      <alignment horizontal="center" vertical="center" wrapText="1"/>
    </xf>
    <xf numFmtId="3" fontId="25" fillId="2" borderId="1" xfId="0" applyNumberFormat="1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ual 2" xfId="7" xr:uid="{00000000-0005-0000-0000-000007000000}"/>
    <cellStyle name="Porcentual 3" xfId="8" xr:uid="{00000000-0005-0000-0000-000008000000}"/>
    <cellStyle name="Porcentual 4" xfId="9" xr:uid="{00000000-0005-0000-0000-000009000000}"/>
  </cellStyles>
  <dxfs count="37">
    <dxf>
      <numFmt numFmtId="167" formatCode="\^"/>
    </dxf>
    <dxf>
      <numFmt numFmtId="167" formatCode="\^"/>
    </dxf>
    <dxf>
      <font>
        <b/>
        <i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93;frica!A1"/><Relationship Id="rId2" Type="http://schemas.openxmlformats.org/officeDocument/2006/relationships/hyperlink" Target="#'Plantas regasif. y cisternas'!A1"/><Relationship Id="rId1" Type="http://schemas.openxmlformats.org/officeDocument/2006/relationships/hyperlink" Target="#Todos!A1"/><Relationship Id="rId5" Type="http://schemas.openxmlformats.org/officeDocument/2006/relationships/hyperlink" Target="#'Conexiones Internacionales'!A1"/><Relationship Id="rId4" Type="http://schemas.openxmlformats.org/officeDocument/2006/relationships/hyperlink" Target="#Am&#233;ric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'Conexiones Internacionales'!A1"/><Relationship Id="rId1" Type="http://schemas.openxmlformats.org/officeDocument/2006/relationships/hyperlink" Target="#'Plantas regasif. y cisternas'!A1"/><Relationship Id="rId5" Type="http://schemas.openxmlformats.org/officeDocument/2006/relationships/hyperlink" Target="#&#193;frica!A1"/><Relationship Id="rId4" Type="http://schemas.openxmlformats.org/officeDocument/2006/relationships/hyperlink" Target="#Todo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odos!A1"/><Relationship Id="rId2" Type="http://schemas.openxmlformats.org/officeDocument/2006/relationships/hyperlink" Target="#Inicio!A1"/><Relationship Id="rId1" Type="http://schemas.openxmlformats.org/officeDocument/2006/relationships/hyperlink" Target="#'Conexiones Internacionales'!A1"/><Relationship Id="rId4" Type="http://schemas.openxmlformats.org/officeDocument/2006/relationships/hyperlink" Target="#&#193;fric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'Conexiones Internacionales'!A1"/><Relationship Id="rId1" Type="http://schemas.openxmlformats.org/officeDocument/2006/relationships/hyperlink" Target="#'Plantas regasif. y cisternas'!A1"/><Relationship Id="rId5" Type="http://schemas.openxmlformats.org/officeDocument/2006/relationships/hyperlink" Target="#&#193;frica!A1"/><Relationship Id="rId4" Type="http://schemas.openxmlformats.org/officeDocument/2006/relationships/hyperlink" Target="#Tod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0</xdr:rowOff>
    </xdr:from>
    <xdr:to>
      <xdr:col>2</xdr:col>
      <xdr:colOff>901839</xdr:colOff>
      <xdr:row>0</xdr:row>
      <xdr:rowOff>209829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98600" y="0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4</xdr:col>
      <xdr:colOff>2793708</xdr:colOff>
      <xdr:row>0</xdr:row>
      <xdr:rowOff>0</xdr:rowOff>
    </xdr:from>
    <xdr:to>
      <xdr:col>5</xdr:col>
      <xdr:colOff>82664</xdr:colOff>
      <xdr:row>0</xdr:row>
      <xdr:rowOff>209829</xdr:rowOff>
    </xdr:to>
    <xdr:sp macro="" textlink="">
      <xdr:nvSpPr>
        <xdr:cNvPr id="42" name="4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6539674" y="0"/>
          <a:ext cx="745305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215382</xdr:rowOff>
    </xdr:from>
    <xdr:to>
      <xdr:col>2</xdr:col>
      <xdr:colOff>901839</xdr:colOff>
      <xdr:row>0</xdr:row>
      <xdr:rowOff>251382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48322" y="215382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2793708</xdr:colOff>
      <xdr:row>0</xdr:row>
      <xdr:rowOff>215382</xdr:rowOff>
    </xdr:from>
    <xdr:to>
      <xdr:col>5</xdr:col>
      <xdr:colOff>82664</xdr:colOff>
      <xdr:row>0</xdr:row>
      <xdr:rowOff>251382</xdr:rowOff>
    </xdr:to>
    <xdr:sp macro="" textlink="">
      <xdr:nvSpPr>
        <xdr:cNvPr id="50" name="49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6536250" y="215382"/>
          <a:ext cx="746662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702358</xdr:colOff>
      <xdr:row>0</xdr:row>
      <xdr:rowOff>0</xdr:rowOff>
    </xdr:from>
    <xdr:to>
      <xdr:col>4</xdr:col>
      <xdr:colOff>2796190</xdr:colOff>
      <xdr:row>0</xdr:row>
      <xdr:rowOff>209829</xdr:rowOff>
    </xdr:to>
    <xdr:sp macro="" textlink="">
      <xdr:nvSpPr>
        <xdr:cNvPr id="26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445353" y="0"/>
          <a:ext cx="209383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2</xdr:col>
      <xdr:colOff>901901</xdr:colOff>
      <xdr:row>0</xdr:row>
      <xdr:rowOff>215382</xdr:rowOff>
    </xdr:from>
    <xdr:to>
      <xdr:col>4</xdr:col>
      <xdr:colOff>700207</xdr:colOff>
      <xdr:row>0</xdr:row>
      <xdr:rowOff>251382</xdr:rowOff>
    </xdr:to>
    <xdr:sp macro="" textlink="">
      <xdr:nvSpPr>
        <xdr:cNvPr id="27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2350223" y="215382"/>
          <a:ext cx="2092526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702358</xdr:colOff>
      <xdr:row>0</xdr:row>
      <xdr:rowOff>215382</xdr:rowOff>
    </xdr:from>
    <xdr:to>
      <xdr:col>4</xdr:col>
      <xdr:colOff>2796190</xdr:colOff>
      <xdr:row>0</xdr:row>
      <xdr:rowOff>251382</xdr:rowOff>
    </xdr:to>
    <xdr:sp macro="" textlink="">
      <xdr:nvSpPr>
        <xdr:cNvPr id="28" name="4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444900" y="215382"/>
          <a:ext cx="2093832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901901</xdr:colOff>
      <xdr:row>0</xdr:row>
      <xdr:rowOff>0</xdr:rowOff>
    </xdr:from>
    <xdr:to>
      <xdr:col>4</xdr:col>
      <xdr:colOff>700207</xdr:colOff>
      <xdr:row>0</xdr:row>
      <xdr:rowOff>209829</xdr:rowOff>
    </xdr:to>
    <xdr:sp macro="" textlink="">
      <xdr:nvSpPr>
        <xdr:cNvPr id="29" name="3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2349921" y="0"/>
          <a:ext cx="2093281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676275</xdr:colOff>
      <xdr:row>0</xdr:row>
      <xdr:rowOff>0</xdr:rowOff>
    </xdr:from>
    <xdr:to>
      <xdr:col>8</xdr:col>
      <xdr:colOff>573074</xdr:colOff>
      <xdr:row>1</xdr:row>
      <xdr:rowOff>19329</xdr:rowOff>
    </xdr:to>
    <xdr:sp macro="" textlink="">
      <xdr:nvSpPr>
        <xdr:cNvPr id="17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E063B-BF7E-4FC6-BDA6-D5B093B81A15}"/>
            </a:ext>
          </a:extLst>
        </xdr:cNvPr>
        <xdr:cNvSpPr/>
      </xdr:nvSpPr>
      <xdr:spPr bwMode="auto">
        <a:xfrm>
          <a:off x="4486275" y="0"/>
          <a:ext cx="218279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3</xdr:col>
      <xdr:colOff>137525</xdr:colOff>
      <xdr:row>0</xdr:row>
      <xdr:rowOff>0</xdr:rowOff>
    </xdr:from>
    <xdr:to>
      <xdr:col>5</xdr:col>
      <xdr:colOff>696614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C77AE7-1A9C-4582-BBC3-E205FBAFC9CB}"/>
            </a:ext>
          </a:extLst>
        </xdr:cNvPr>
        <xdr:cNvSpPr/>
      </xdr:nvSpPr>
      <xdr:spPr bwMode="auto">
        <a:xfrm>
          <a:off x="2423525" y="0"/>
          <a:ext cx="2083089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2</xdr:col>
      <xdr:colOff>19050</xdr:colOff>
      <xdr:row>0</xdr:row>
      <xdr:rowOff>0</xdr:rowOff>
    </xdr:from>
    <xdr:to>
      <xdr:col>3</xdr:col>
      <xdr:colOff>136905</xdr:colOff>
      <xdr:row>1</xdr:row>
      <xdr:rowOff>19329</xdr:rowOff>
    </xdr:to>
    <xdr:sp macro="" textlink="">
      <xdr:nvSpPr>
        <xdr:cNvPr id="3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41F923-6997-48EA-A9BF-6C3AB6AA78CD}"/>
            </a:ext>
          </a:extLst>
        </xdr:cNvPr>
        <xdr:cNvSpPr/>
      </xdr:nvSpPr>
      <xdr:spPr bwMode="auto">
        <a:xfrm>
          <a:off x="154305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550700</xdr:colOff>
      <xdr:row>0</xdr:row>
      <xdr:rowOff>0</xdr:rowOff>
    </xdr:from>
    <xdr:to>
      <xdr:col>9</xdr:col>
      <xdr:colOff>668452</xdr:colOff>
      <xdr:row>1</xdr:row>
      <xdr:rowOff>19329</xdr:rowOff>
    </xdr:to>
    <xdr:sp macro="" textlink="">
      <xdr:nvSpPr>
        <xdr:cNvPr id="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C77D44-E3D7-4D65-843B-6972B48C00AE}"/>
            </a:ext>
          </a:extLst>
        </xdr:cNvPr>
        <xdr:cNvSpPr/>
      </xdr:nvSpPr>
      <xdr:spPr bwMode="auto">
        <a:xfrm>
          <a:off x="6646700" y="0"/>
          <a:ext cx="87975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137525</xdr:colOff>
      <xdr:row>1</xdr:row>
      <xdr:rowOff>0</xdr:rowOff>
    </xdr:from>
    <xdr:to>
      <xdr:col>5</xdr:col>
      <xdr:colOff>696614</xdr:colOff>
      <xdr:row>1</xdr:row>
      <xdr:rowOff>36000</xdr:rowOff>
    </xdr:to>
    <xdr:sp macro="" textlink="">
      <xdr:nvSpPr>
        <xdr:cNvPr id="5" name="47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298E62-8676-45BC-9C01-3B4FE6F1D8BB}"/>
            </a:ext>
          </a:extLst>
        </xdr:cNvPr>
        <xdr:cNvSpPr/>
      </xdr:nvSpPr>
      <xdr:spPr bwMode="auto">
        <a:xfrm>
          <a:off x="242352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691422</xdr:colOff>
      <xdr:row>1</xdr:row>
      <xdr:rowOff>0</xdr:rowOff>
    </xdr:from>
    <xdr:to>
      <xdr:col>8</xdr:col>
      <xdr:colOff>547422</xdr:colOff>
      <xdr:row>1</xdr:row>
      <xdr:rowOff>36000</xdr:rowOff>
    </xdr:to>
    <xdr:sp macro="" textlink="">
      <xdr:nvSpPr>
        <xdr:cNvPr id="6" name="48 Rectángulo">
          <a:extLst>
            <a:ext uri="{FF2B5EF4-FFF2-40B4-BE49-F238E27FC236}">
              <a16:creationId xmlns:a16="http://schemas.microsoft.com/office/drawing/2014/main" id="{D543B898-1ABC-4D1D-8EC4-02EFA56FEE3E}"/>
            </a:ext>
          </a:extLst>
        </xdr:cNvPr>
        <xdr:cNvSpPr/>
      </xdr:nvSpPr>
      <xdr:spPr bwMode="auto">
        <a:xfrm>
          <a:off x="450142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19050</xdr:colOff>
      <xdr:row>1</xdr:row>
      <xdr:rowOff>0</xdr:rowOff>
    </xdr:from>
    <xdr:to>
      <xdr:col>3</xdr:col>
      <xdr:colOff>136905</xdr:colOff>
      <xdr:row>1</xdr:row>
      <xdr:rowOff>36000</xdr:rowOff>
    </xdr:to>
    <xdr:sp macro="" textlink="">
      <xdr:nvSpPr>
        <xdr:cNvPr id="7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2B7B36-8CAE-44A0-8C8A-979133858A8E}"/>
            </a:ext>
          </a:extLst>
        </xdr:cNvPr>
        <xdr:cNvSpPr/>
      </xdr:nvSpPr>
      <xdr:spPr bwMode="auto">
        <a:xfrm>
          <a:off x="154305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539815</xdr:colOff>
      <xdr:row>1</xdr:row>
      <xdr:rowOff>0</xdr:rowOff>
    </xdr:from>
    <xdr:to>
      <xdr:col>9</xdr:col>
      <xdr:colOff>657567</xdr:colOff>
      <xdr:row>1</xdr:row>
      <xdr:rowOff>38117</xdr:rowOff>
    </xdr:to>
    <xdr:sp macro="" textlink="">
      <xdr:nvSpPr>
        <xdr:cNvPr id="8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87CEEB-0784-41F0-B54A-D89A18C5F55B}"/>
            </a:ext>
          </a:extLst>
        </xdr:cNvPr>
        <xdr:cNvSpPr/>
      </xdr:nvSpPr>
      <xdr:spPr bwMode="auto">
        <a:xfrm>
          <a:off x="663581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51800</xdr:colOff>
      <xdr:row>0</xdr:row>
      <xdr:rowOff>152400</xdr:rowOff>
    </xdr:from>
    <xdr:to>
      <xdr:col>1</xdr:col>
      <xdr:colOff>610600</xdr:colOff>
      <xdr:row>2</xdr:row>
      <xdr:rowOff>228600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5A08AA9F-3196-4A38-9905-B0DC08D0AEA1}"/>
            </a:ext>
          </a:extLst>
        </xdr:cNvPr>
        <xdr:cNvGrpSpPr>
          <a:grpSpLocks noChangeAspect="1"/>
        </xdr:cNvGrpSpPr>
      </xdr:nvGrpSpPr>
      <xdr:grpSpPr bwMode="auto">
        <a:xfrm>
          <a:off x="51800" y="15240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68A530CE-DC75-47C9-8604-74E1F61E791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8B5A11D9-8BEA-4BAC-8D97-08648D172E21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E853E8A-E87E-46CC-8985-1FC8FEDE0A24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D1E04BCC-A618-4DE8-A96E-627C65CFE305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C2C16E2F-DC19-48A6-B9E1-120634C187A8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B8465448-A8A4-4A5B-BFF5-6D9379D158BB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1AC517E7-1E07-4F02-942E-60F7445A608D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574CE035-7879-4A6D-B636-5945B125CF26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118475</xdr:colOff>
      <xdr:row>0</xdr:row>
      <xdr:rowOff>0</xdr:rowOff>
    </xdr:from>
    <xdr:to>
      <xdr:col>5</xdr:col>
      <xdr:colOff>677564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3C4AF-96A0-4B5D-962D-19726B898384}"/>
            </a:ext>
          </a:extLst>
        </xdr:cNvPr>
        <xdr:cNvSpPr/>
      </xdr:nvSpPr>
      <xdr:spPr bwMode="auto">
        <a:xfrm>
          <a:off x="2404475" y="0"/>
          <a:ext cx="2083089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5</xdr:col>
      <xdr:colOff>672372</xdr:colOff>
      <xdr:row>0</xdr:row>
      <xdr:rowOff>0</xdr:rowOff>
    </xdr:from>
    <xdr:to>
      <xdr:col>8</xdr:col>
      <xdr:colOff>525236</xdr:colOff>
      <xdr:row>1</xdr:row>
      <xdr:rowOff>19329</xdr:rowOff>
    </xdr:to>
    <xdr:sp macro="" textlink="">
      <xdr:nvSpPr>
        <xdr:cNvPr id="3" name="41 Rectángulo">
          <a:extLst>
            <a:ext uri="{FF2B5EF4-FFF2-40B4-BE49-F238E27FC236}">
              <a16:creationId xmlns:a16="http://schemas.microsoft.com/office/drawing/2014/main" id="{6C68E8A8-4D8B-46A9-AF42-6480444F2195}"/>
            </a:ext>
          </a:extLst>
        </xdr:cNvPr>
        <xdr:cNvSpPr/>
      </xdr:nvSpPr>
      <xdr:spPr bwMode="auto">
        <a:xfrm>
          <a:off x="4482372" y="0"/>
          <a:ext cx="2138864" cy="209829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117855</xdr:colOff>
      <xdr:row>1</xdr:row>
      <xdr:rowOff>19329</xdr:rowOff>
    </xdr:to>
    <xdr:sp macro="" textlink="">
      <xdr:nvSpPr>
        <xdr:cNvPr id="4" name="54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DEC8D7-DBAA-4AF1-ABF1-DA73BF83755F}"/>
            </a:ext>
          </a:extLst>
        </xdr:cNvPr>
        <xdr:cNvSpPr/>
      </xdr:nvSpPr>
      <xdr:spPr bwMode="auto">
        <a:xfrm>
          <a:off x="152400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531650</xdr:colOff>
      <xdr:row>0</xdr:row>
      <xdr:rowOff>0</xdr:rowOff>
    </xdr:from>
    <xdr:to>
      <xdr:col>9</xdr:col>
      <xdr:colOff>649402</xdr:colOff>
      <xdr:row>1</xdr:row>
      <xdr:rowOff>19329</xdr:rowOff>
    </xdr:to>
    <xdr:sp macro="" textlink="">
      <xdr:nvSpPr>
        <xdr:cNvPr id="5" name="4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B640A8-4A1B-4C7E-8121-1D765DB696F4}"/>
            </a:ext>
          </a:extLst>
        </xdr:cNvPr>
        <xdr:cNvSpPr/>
      </xdr:nvSpPr>
      <xdr:spPr bwMode="auto">
        <a:xfrm>
          <a:off x="6627650" y="0"/>
          <a:ext cx="87975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118475</xdr:colOff>
      <xdr:row>1</xdr:row>
      <xdr:rowOff>0</xdr:rowOff>
    </xdr:from>
    <xdr:to>
      <xdr:col>5</xdr:col>
      <xdr:colOff>677564</xdr:colOff>
      <xdr:row>1</xdr:row>
      <xdr:rowOff>36000</xdr:rowOff>
    </xdr:to>
    <xdr:sp macro="" textlink="">
      <xdr:nvSpPr>
        <xdr:cNvPr id="14" name="47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4FBD52-1C64-4C5C-8064-787E517C8F5D}"/>
            </a:ext>
          </a:extLst>
        </xdr:cNvPr>
        <xdr:cNvSpPr/>
      </xdr:nvSpPr>
      <xdr:spPr bwMode="auto">
        <a:xfrm>
          <a:off x="240447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672372</xdr:colOff>
      <xdr:row>1</xdr:row>
      <xdr:rowOff>0</xdr:rowOff>
    </xdr:from>
    <xdr:to>
      <xdr:col>8</xdr:col>
      <xdr:colOff>528372</xdr:colOff>
      <xdr:row>1</xdr:row>
      <xdr:rowOff>36000</xdr:rowOff>
    </xdr:to>
    <xdr:sp macro="" textlink="">
      <xdr:nvSpPr>
        <xdr:cNvPr id="15" name="48 Rectángulo">
          <a:extLst>
            <a:ext uri="{FF2B5EF4-FFF2-40B4-BE49-F238E27FC236}">
              <a16:creationId xmlns:a16="http://schemas.microsoft.com/office/drawing/2014/main" id="{888CC898-9939-42B9-96AA-E74E242A79A7}"/>
            </a:ext>
          </a:extLst>
        </xdr:cNvPr>
        <xdr:cNvSpPr/>
      </xdr:nvSpPr>
      <xdr:spPr bwMode="auto">
        <a:xfrm>
          <a:off x="448237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0</xdr:rowOff>
    </xdr:from>
    <xdr:to>
      <xdr:col>3</xdr:col>
      <xdr:colOff>117855</xdr:colOff>
      <xdr:row>1</xdr:row>
      <xdr:rowOff>36000</xdr:rowOff>
    </xdr:to>
    <xdr:sp macro="" textlink="">
      <xdr:nvSpPr>
        <xdr:cNvPr id="16" name="55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B63065-8689-469A-AED6-C23F023F089B}"/>
            </a:ext>
          </a:extLst>
        </xdr:cNvPr>
        <xdr:cNvSpPr/>
      </xdr:nvSpPr>
      <xdr:spPr bwMode="auto">
        <a:xfrm>
          <a:off x="152400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520765</xdr:colOff>
      <xdr:row>1</xdr:row>
      <xdr:rowOff>0</xdr:rowOff>
    </xdr:from>
    <xdr:to>
      <xdr:col>9</xdr:col>
      <xdr:colOff>638517</xdr:colOff>
      <xdr:row>1</xdr:row>
      <xdr:rowOff>38117</xdr:rowOff>
    </xdr:to>
    <xdr:sp macro="" textlink="">
      <xdr:nvSpPr>
        <xdr:cNvPr id="17" name="4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06653F-9BD5-418B-AA2B-6D0B2804F707}"/>
            </a:ext>
          </a:extLst>
        </xdr:cNvPr>
        <xdr:cNvSpPr/>
      </xdr:nvSpPr>
      <xdr:spPr bwMode="auto">
        <a:xfrm>
          <a:off x="661676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85725</xdr:colOff>
      <xdr:row>1</xdr:row>
      <xdr:rowOff>19050</xdr:rowOff>
    </xdr:from>
    <xdr:to>
      <xdr:col>1</xdr:col>
      <xdr:colOff>644525</xdr:colOff>
      <xdr:row>2</xdr:row>
      <xdr:rowOff>285750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30ED9440-2451-4FDA-B79A-D69CA98E4EB6}"/>
            </a:ext>
          </a:extLst>
        </xdr:cNvPr>
        <xdr:cNvGrpSpPr>
          <a:grpSpLocks noChangeAspect="1"/>
        </xdr:cNvGrpSpPr>
      </xdr:nvGrpSpPr>
      <xdr:grpSpPr bwMode="auto">
        <a:xfrm>
          <a:off x="85725" y="20955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535EC8CE-4F61-4258-8300-05D6FC84034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21C40FA1-AF0A-4379-A6ED-28EA133A0213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20025564-10C3-4B84-8B59-94DEAC8FD62A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34EED5B5-18C5-4AAC-B6A1-0EDFE968BB91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867662CB-57E1-46D2-AA90-A95A03262674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A813D371-F326-4421-B96C-E7DC9BF40757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928546D8-4407-4DAC-BD65-5C63A26E5A99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66C8B128-2FD9-4FFF-925C-4730B10598B8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647700</xdr:colOff>
      <xdr:row>0</xdr:row>
      <xdr:rowOff>0</xdr:rowOff>
    </xdr:from>
    <xdr:to>
      <xdr:col>8</xdr:col>
      <xdr:colOff>544499</xdr:colOff>
      <xdr:row>1</xdr:row>
      <xdr:rowOff>19329</xdr:rowOff>
    </xdr:to>
    <xdr:sp macro="" textlink="">
      <xdr:nvSpPr>
        <xdr:cNvPr id="9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11C1F-3F0C-4E3D-A6FF-C193C12CE5DA}"/>
            </a:ext>
          </a:extLst>
        </xdr:cNvPr>
        <xdr:cNvSpPr/>
      </xdr:nvSpPr>
      <xdr:spPr bwMode="auto">
        <a:xfrm>
          <a:off x="4457700" y="0"/>
          <a:ext cx="218279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3</xdr:col>
      <xdr:colOff>118475</xdr:colOff>
      <xdr:row>0</xdr:row>
      <xdr:rowOff>0</xdr:rowOff>
    </xdr:from>
    <xdr:to>
      <xdr:col>5</xdr:col>
      <xdr:colOff>677564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C17BA1-9A4E-41E6-A2B8-E511F1A39E17}"/>
            </a:ext>
          </a:extLst>
        </xdr:cNvPr>
        <xdr:cNvSpPr/>
      </xdr:nvSpPr>
      <xdr:spPr bwMode="auto">
        <a:xfrm>
          <a:off x="2404475" y="0"/>
          <a:ext cx="2083089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117855</xdr:colOff>
      <xdr:row>1</xdr:row>
      <xdr:rowOff>19329</xdr:rowOff>
    </xdr:to>
    <xdr:sp macro="" textlink="">
      <xdr:nvSpPr>
        <xdr:cNvPr id="3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6C0AAF-F237-4DE2-89A3-FA935F05FE5F}"/>
            </a:ext>
          </a:extLst>
        </xdr:cNvPr>
        <xdr:cNvSpPr/>
      </xdr:nvSpPr>
      <xdr:spPr bwMode="auto">
        <a:xfrm>
          <a:off x="152400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531650</xdr:colOff>
      <xdr:row>0</xdr:row>
      <xdr:rowOff>0</xdr:rowOff>
    </xdr:from>
    <xdr:to>
      <xdr:col>9</xdr:col>
      <xdr:colOff>649402</xdr:colOff>
      <xdr:row>1</xdr:row>
      <xdr:rowOff>19329</xdr:rowOff>
    </xdr:to>
    <xdr:sp macro="" textlink="">
      <xdr:nvSpPr>
        <xdr:cNvPr id="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232940-29D5-4D2E-A950-42638D472FC2}"/>
            </a:ext>
          </a:extLst>
        </xdr:cNvPr>
        <xdr:cNvSpPr/>
      </xdr:nvSpPr>
      <xdr:spPr bwMode="auto">
        <a:xfrm>
          <a:off x="6627650" y="0"/>
          <a:ext cx="879752" cy="209829"/>
        </a:xfrm>
        <a:prstGeom prst="rect">
          <a:avLst/>
        </a:prstGeom>
        <a:solidFill>
          <a:schemeClr val="accent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118475</xdr:colOff>
      <xdr:row>1</xdr:row>
      <xdr:rowOff>0</xdr:rowOff>
    </xdr:from>
    <xdr:to>
      <xdr:col>5</xdr:col>
      <xdr:colOff>677564</xdr:colOff>
      <xdr:row>1</xdr:row>
      <xdr:rowOff>36000</xdr:rowOff>
    </xdr:to>
    <xdr:sp macro="" textlink="">
      <xdr:nvSpPr>
        <xdr:cNvPr id="5" name="47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BBDE5F-D629-499E-B05A-9E7D1AE3FBD3}"/>
            </a:ext>
          </a:extLst>
        </xdr:cNvPr>
        <xdr:cNvSpPr/>
      </xdr:nvSpPr>
      <xdr:spPr bwMode="auto">
        <a:xfrm>
          <a:off x="240447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672372</xdr:colOff>
      <xdr:row>1</xdr:row>
      <xdr:rowOff>0</xdr:rowOff>
    </xdr:from>
    <xdr:to>
      <xdr:col>8</xdr:col>
      <xdr:colOff>528372</xdr:colOff>
      <xdr:row>1</xdr:row>
      <xdr:rowOff>36000</xdr:rowOff>
    </xdr:to>
    <xdr:sp macro="" textlink="">
      <xdr:nvSpPr>
        <xdr:cNvPr id="6" name="48 Rectángulo">
          <a:extLst>
            <a:ext uri="{FF2B5EF4-FFF2-40B4-BE49-F238E27FC236}">
              <a16:creationId xmlns:a16="http://schemas.microsoft.com/office/drawing/2014/main" id="{7C8E7BFF-7792-4725-AEC7-83AD8FC8A0AF}"/>
            </a:ext>
          </a:extLst>
        </xdr:cNvPr>
        <xdr:cNvSpPr/>
      </xdr:nvSpPr>
      <xdr:spPr bwMode="auto">
        <a:xfrm>
          <a:off x="448237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0</xdr:rowOff>
    </xdr:from>
    <xdr:to>
      <xdr:col>3</xdr:col>
      <xdr:colOff>117855</xdr:colOff>
      <xdr:row>1</xdr:row>
      <xdr:rowOff>36000</xdr:rowOff>
    </xdr:to>
    <xdr:sp macro="" textlink="">
      <xdr:nvSpPr>
        <xdr:cNvPr id="7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709A73-EB76-4CAE-AC46-13986D6BADED}"/>
            </a:ext>
          </a:extLst>
        </xdr:cNvPr>
        <xdr:cNvSpPr/>
      </xdr:nvSpPr>
      <xdr:spPr bwMode="auto">
        <a:xfrm>
          <a:off x="152400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520765</xdr:colOff>
      <xdr:row>1</xdr:row>
      <xdr:rowOff>0</xdr:rowOff>
    </xdr:from>
    <xdr:to>
      <xdr:col>9</xdr:col>
      <xdr:colOff>638517</xdr:colOff>
      <xdr:row>1</xdr:row>
      <xdr:rowOff>38117</xdr:rowOff>
    </xdr:to>
    <xdr:sp macro="" textlink="">
      <xdr:nvSpPr>
        <xdr:cNvPr id="8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52F8CB-CB02-4A01-95DB-C37D319687D1}"/>
            </a:ext>
          </a:extLst>
        </xdr:cNvPr>
        <xdr:cNvSpPr/>
      </xdr:nvSpPr>
      <xdr:spPr bwMode="auto">
        <a:xfrm>
          <a:off x="661676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</xdr:row>
      <xdr:rowOff>57150</xdr:rowOff>
    </xdr:from>
    <xdr:to>
      <xdr:col>1</xdr:col>
      <xdr:colOff>654050</xdr:colOff>
      <xdr:row>3</xdr:row>
      <xdr:rowOff>0</xdr:rowOff>
    </xdr:to>
    <xdr:grpSp>
      <xdr:nvGrpSpPr>
        <xdr:cNvPr id="10" name="Group 3">
          <a:extLst>
            <a:ext uri="{FF2B5EF4-FFF2-40B4-BE49-F238E27FC236}">
              <a16:creationId xmlns:a16="http://schemas.microsoft.com/office/drawing/2014/main" id="{6EE3AE29-7A8E-4855-A723-A11085A5A8AF}"/>
            </a:ext>
          </a:extLst>
        </xdr:cNvPr>
        <xdr:cNvGrpSpPr>
          <a:grpSpLocks noChangeAspect="1"/>
        </xdr:cNvGrpSpPr>
      </xdr:nvGrpSpPr>
      <xdr:grpSpPr bwMode="auto">
        <a:xfrm>
          <a:off x="95250" y="247650"/>
          <a:ext cx="1320800" cy="457200"/>
          <a:chOff x="10" y="0"/>
          <a:chExt cx="140" cy="47"/>
        </a:xfrm>
      </xdr:grpSpPr>
      <xdr:sp macro="" textlink="">
        <xdr:nvSpPr>
          <xdr:cNvPr id="11" name="AutoShape 2">
            <a:extLst>
              <a:ext uri="{FF2B5EF4-FFF2-40B4-BE49-F238E27FC236}">
                <a16:creationId xmlns:a16="http://schemas.microsoft.com/office/drawing/2014/main" id="{DE8C9C67-8195-4952-AC4B-33F263FF03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12" name="Freeform 4">
            <a:extLst>
              <a:ext uri="{FF2B5EF4-FFF2-40B4-BE49-F238E27FC236}">
                <a16:creationId xmlns:a16="http://schemas.microsoft.com/office/drawing/2014/main" id="{F1D2ACAC-4123-49E6-9ACA-250AB8AED90D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5">
            <a:extLst>
              <a:ext uri="{FF2B5EF4-FFF2-40B4-BE49-F238E27FC236}">
                <a16:creationId xmlns:a16="http://schemas.microsoft.com/office/drawing/2014/main" id="{327C9273-FDEE-4617-943A-EF3006AA0B07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6">
            <a:extLst>
              <a:ext uri="{FF2B5EF4-FFF2-40B4-BE49-F238E27FC236}">
                <a16:creationId xmlns:a16="http://schemas.microsoft.com/office/drawing/2014/main" id="{4D32B5CE-8901-4121-A92E-4EBA488ECECB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5" name="Freeform 7">
            <a:extLst>
              <a:ext uri="{FF2B5EF4-FFF2-40B4-BE49-F238E27FC236}">
                <a16:creationId xmlns:a16="http://schemas.microsoft.com/office/drawing/2014/main" id="{2A24A83D-57E5-4D3B-9B36-2A1920A12E02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6" name="Freeform 8">
            <a:extLst>
              <a:ext uri="{FF2B5EF4-FFF2-40B4-BE49-F238E27FC236}">
                <a16:creationId xmlns:a16="http://schemas.microsoft.com/office/drawing/2014/main" id="{905E32B1-F1F5-4FE7-BD52-F1E2FFF9FA7E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7" name="Freeform 9">
            <a:extLst>
              <a:ext uri="{FF2B5EF4-FFF2-40B4-BE49-F238E27FC236}">
                <a16:creationId xmlns:a16="http://schemas.microsoft.com/office/drawing/2014/main" id="{0577673E-F47C-41D9-AE74-517D0FDC1E9F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8" name="Freeform 10">
            <a:extLst>
              <a:ext uri="{FF2B5EF4-FFF2-40B4-BE49-F238E27FC236}">
                <a16:creationId xmlns:a16="http://schemas.microsoft.com/office/drawing/2014/main" id="{77D3B942-9854-4239-B17F-470B0F7B4538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1:N19"/>
  <sheetViews>
    <sheetView tabSelected="1" zoomScaleNormal="100" zoomScaleSheetLayoutView="100" workbookViewId="0">
      <selection activeCell="A19" sqref="A19"/>
    </sheetView>
  </sheetViews>
  <sheetFormatPr baseColWidth="10" defaultColWidth="10.7109375" defaultRowHeight="15" x14ac:dyDescent="0.25"/>
  <cols>
    <col min="1" max="2" width="10.7109375" customWidth="1"/>
    <col min="3" max="3" width="14.42578125" bestFit="1" customWidth="1"/>
    <col min="4" max="4" width="20" customWidth="1"/>
    <col min="5" max="5" width="51.7109375" customWidth="1"/>
    <col min="7" max="7" width="12.7109375" customWidth="1"/>
    <col min="11" max="11" width="8.7109375" customWidth="1"/>
  </cols>
  <sheetData>
    <row r="1" spans="1:14" ht="22.5" customHeight="1" x14ac:dyDescent="0.25"/>
    <row r="2" spans="1:14" ht="22.5" customHeight="1" x14ac:dyDescent="0.25"/>
    <row r="3" spans="1:14" ht="22.5" customHeight="1" x14ac:dyDescent="0.25"/>
    <row r="4" spans="1:14" ht="25.5" x14ac:dyDescent="0.3">
      <c r="B4" s="16"/>
      <c r="C4" s="67" t="s">
        <v>35</v>
      </c>
      <c r="D4" s="67"/>
      <c r="E4" s="67"/>
      <c r="F4" s="67"/>
      <c r="G4" s="67"/>
      <c r="H4" s="16"/>
      <c r="I4" s="16"/>
      <c r="J4" s="16"/>
      <c r="K4" s="16"/>
      <c r="L4" s="15"/>
    </row>
    <row r="5" spans="1:14" ht="15" customHeight="1" x14ac:dyDescent="0.3">
      <c r="B5" s="16"/>
      <c r="C5" s="17"/>
      <c r="D5" s="17"/>
      <c r="E5" s="17"/>
      <c r="F5" s="17"/>
      <c r="G5" s="17"/>
      <c r="H5" s="16"/>
      <c r="I5" s="16"/>
      <c r="J5" s="16"/>
      <c r="K5" s="16"/>
      <c r="L5" s="15"/>
    </row>
    <row r="6" spans="1:14" ht="15" customHeight="1" x14ac:dyDescent="0.3">
      <c r="B6" s="16"/>
      <c r="C6" s="17"/>
      <c r="D6" s="17"/>
      <c r="E6" s="17"/>
      <c r="F6" s="17"/>
      <c r="G6" s="17"/>
      <c r="H6" s="16"/>
      <c r="I6" s="16"/>
      <c r="J6" s="16"/>
      <c r="K6" s="16"/>
      <c r="L6" s="15"/>
    </row>
    <row r="7" spans="1:14" ht="15" customHeight="1" x14ac:dyDescent="0.3">
      <c r="B7" s="16"/>
      <c r="C7" s="17"/>
      <c r="D7" s="17"/>
      <c r="E7" s="17"/>
      <c r="F7" s="17"/>
      <c r="G7" s="17"/>
      <c r="H7" s="16"/>
      <c r="I7" s="16"/>
      <c r="J7" s="16"/>
      <c r="K7" s="16"/>
      <c r="L7" s="15"/>
    </row>
    <row r="8" spans="1:14" ht="1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4" ht="36.75" customHeight="1" x14ac:dyDescent="0.25">
      <c r="C9" s="39" t="s">
        <v>43</v>
      </c>
      <c r="D9" s="22" t="s">
        <v>17</v>
      </c>
      <c r="E9" s="68" t="s">
        <v>44</v>
      </c>
      <c r="F9" s="68"/>
      <c r="G9" s="68"/>
      <c r="H9" s="23"/>
      <c r="I9" s="23"/>
      <c r="J9" s="23"/>
      <c r="K9" s="23"/>
      <c r="L9" s="23"/>
      <c r="M9" s="23"/>
      <c r="N9" s="23"/>
    </row>
    <row r="10" spans="1:14" ht="36.75" customHeight="1" x14ac:dyDescent="0.25">
      <c r="C10" s="20"/>
      <c r="D10" s="22" t="s">
        <v>18</v>
      </c>
      <c r="E10" s="68" t="s">
        <v>45</v>
      </c>
      <c r="F10" s="68"/>
      <c r="G10" s="68"/>
      <c r="H10" s="23"/>
      <c r="I10" s="23"/>
      <c r="J10" s="23"/>
      <c r="K10" s="23"/>
      <c r="L10" s="23"/>
      <c r="M10" s="23"/>
      <c r="N10" s="23"/>
    </row>
    <row r="11" spans="1:14" ht="36.75" customHeight="1" x14ac:dyDescent="0.25">
      <c r="C11" s="20"/>
      <c r="D11" s="22" t="s">
        <v>50</v>
      </c>
      <c r="E11" s="68" t="s">
        <v>51</v>
      </c>
      <c r="F11" s="68"/>
      <c r="G11" s="68"/>
      <c r="H11" s="23"/>
      <c r="I11" s="23"/>
      <c r="J11" s="23"/>
      <c r="K11" s="23"/>
      <c r="L11" s="23"/>
      <c r="M11" s="23"/>
      <c r="N11" s="23"/>
    </row>
    <row r="12" spans="1:14" ht="36.75" customHeight="1" x14ac:dyDescent="0.25">
      <c r="C12" s="20"/>
      <c r="D12" s="34" t="s">
        <v>46</v>
      </c>
      <c r="E12" s="68" t="s">
        <v>38</v>
      </c>
      <c r="F12" s="68"/>
      <c r="G12" s="68"/>
      <c r="H12" s="23"/>
      <c r="I12" s="23"/>
      <c r="J12" s="23"/>
      <c r="K12" s="23"/>
      <c r="L12" s="23"/>
      <c r="M12" s="23"/>
      <c r="N12" s="23"/>
    </row>
    <row r="13" spans="1:14" ht="36.75" customHeight="1" x14ac:dyDescent="0.25">
      <c r="C13" s="21"/>
      <c r="D13" s="66" t="s">
        <v>40</v>
      </c>
      <c r="E13" s="66"/>
      <c r="F13" s="66"/>
      <c r="G13" s="66"/>
      <c r="H13" s="23"/>
      <c r="I13" s="23"/>
      <c r="J13" s="23"/>
      <c r="K13" s="23"/>
      <c r="L13" s="23"/>
      <c r="M13" s="23"/>
      <c r="N13" s="23"/>
    </row>
    <row r="14" spans="1:14" x14ac:dyDescent="0.25">
      <c r="C14" s="20"/>
      <c r="D14" s="24"/>
      <c r="E14" s="25"/>
      <c r="F14" s="23"/>
      <c r="G14" s="23"/>
      <c r="H14" s="23"/>
      <c r="I14" s="23"/>
      <c r="J14" s="23"/>
      <c r="K14" s="23"/>
      <c r="L14" s="23"/>
      <c r="M14" s="23"/>
      <c r="N14" s="23"/>
    </row>
    <row r="16" spans="1:14" x14ac:dyDescent="0.25">
      <c r="A16" s="12" t="s">
        <v>52</v>
      </c>
      <c r="B16" s="18"/>
      <c r="C16" s="13"/>
      <c r="D16" s="18"/>
      <c r="E16" s="18"/>
      <c r="F16" s="18"/>
      <c r="G16" s="14" t="s">
        <v>48</v>
      </c>
    </row>
    <row r="19" spans="1:1" ht="15.75" x14ac:dyDescent="0.3">
      <c r="A19" s="27"/>
    </row>
  </sheetData>
  <mergeCells count="6">
    <mergeCell ref="D13:G13"/>
    <mergeCell ref="C4:G4"/>
    <mergeCell ref="E9:G9"/>
    <mergeCell ref="E10:G10"/>
    <mergeCell ref="E12:G12"/>
    <mergeCell ref="E11:G11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A8F7-F796-47BA-93D5-C3DF4324E475}">
  <sheetPr codeName="Hoja2">
    <tabColor theme="5"/>
  </sheetPr>
  <dimension ref="A3:O1000"/>
  <sheetViews>
    <sheetView zoomScaleNormal="100" workbookViewId="0">
      <pane ySplit="6" topLeftCell="A269" activePane="bottomLeft" state="frozen"/>
      <selection activeCell="A228" sqref="A228"/>
      <selection pane="bottomLeft" activeCell="A293" sqref="A293"/>
    </sheetView>
  </sheetViews>
  <sheetFormatPr baseColWidth="10" defaultRowHeight="15" x14ac:dyDescent="0.25"/>
  <cols>
    <col min="11" max="11" width="14.7109375" customWidth="1"/>
  </cols>
  <sheetData>
    <row r="3" spans="1:15" ht="25.5" x14ac:dyDescent="0.35">
      <c r="A3" s="1"/>
      <c r="B3" s="26"/>
      <c r="C3" s="29" t="str">
        <f>Inicio!C4</f>
        <v>Importaciones de gas natural por puntos de entrada</v>
      </c>
      <c r="D3" s="29"/>
      <c r="E3" s="29"/>
      <c r="F3" s="29"/>
      <c r="G3" s="29"/>
      <c r="H3" s="8"/>
      <c r="I3" s="8"/>
      <c r="J3" s="8"/>
      <c r="K3" s="8"/>
      <c r="L3" s="1"/>
      <c r="M3" s="32"/>
    </row>
    <row r="4" spans="1:15" x14ac:dyDescent="0.25">
      <c r="A4" s="12" t="str">
        <f>Inicio!$A$16</f>
        <v>Actualizado el 17-08-2026</v>
      </c>
      <c r="B4" s="3"/>
      <c r="C4" s="3"/>
      <c r="D4" s="3"/>
      <c r="E4" s="3"/>
      <c r="F4" s="3"/>
      <c r="G4" s="28"/>
      <c r="H4" s="28"/>
      <c r="I4" s="28"/>
      <c r="J4" s="1"/>
      <c r="K4" s="9" t="s">
        <v>16</v>
      </c>
      <c r="L4" s="1"/>
      <c r="M4" s="32"/>
    </row>
    <row r="5" spans="1:15" ht="15.75" customHeight="1" thickBot="1" x14ac:dyDescent="0.3">
      <c r="A5" s="11"/>
      <c r="B5" s="10"/>
      <c r="C5" s="69" t="s">
        <v>26</v>
      </c>
      <c r="D5" s="69"/>
      <c r="E5" s="69"/>
      <c r="F5" s="69"/>
      <c r="G5" s="69"/>
      <c r="H5" s="69"/>
      <c r="I5" s="69"/>
      <c r="J5" s="69"/>
      <c r="K5" s="69"/>
      <c r="L5" s="1"/>
      <c r="M5" s="32"/>
      <c r="N5" s="33"/>
      <c r="O5" s="1"/>
    </row>
    <row r="6" spans="1:15" ht="51.75" thickTop="1" x14ac:dyDescent="0.25">
      <c r="A6" s="50" t="s">
        <v>1</v>
      </c>
      <c r="B6" s="40" t="s">
        <v>2</v>
      </c>
      <c r="C6" s="41" t="s">
        <v>21</v>
      </c>
      <c r="D6" s="41" t="s">
        <v>22</v>
      </c>
      <c r="E6" s="41" t="s">
        <v>23</v>
      </c>
      <c r="F6" s="41" t="s">
        <v>24</v>
      </c>
      <c r="G6" s="41" t="s">
        <v>28</v>
      </c>
      <c r="H6" s="41" t="s">
        <v>25</v>
      </c>
      <c r="I6" s="41" t="s">
        <v>36</v>
      </c>
      <c r="J6" s="41" t="s">
        <v>37</v>
      </c>
      <c r="K6" s="37" t="s">
        <v>27</v>
      </c>
      <c r="L6" s="1"/>
      <c r="M6" s="32"/>
      <c r="N6" s="33"/>
      <c r="O6" s="1"/>
    </row>
    <row r="7" spans="1:15" ht="12.75" customHeight="1" x14ac:dyDescent="0.25">
      <c r="A7" s="42">
        <v>2004</v>
      </c>
      <c r="B7" s="42" t="s">
        <v>3</v>
      </c>
      <c r="C7" s="44">
        <v>0</v>
      </c>
      <c r="D7" s="43">
        <v>0</v>
      </c>
      <c r="E7" s="43">
        <v>0</v>
      </c>
      <c r="F7" s="43">
        <v>2153.9589999999998</v>
      </c>
      <c r="G7" s="43">
        <v>0</v>
      </c>
      <c r="H7" s="43">
        <v>6511.8689999999997</v>
      </c>
      <c r="I7" s="43">
        <v>0</v>
      </c>
      <c r="J7" s="43"/>
      <c r="K7" s="44">
        <v>8665.8279999999995</v>
      </c>
    </row>
    <row r="8" spans="1:15" ht="12.75" customHeight="1" x14ac:dyDescent="0.25">
      <c r="A8" s="42">
        <v>2004</v>
      </c>
      <c r="B8" s="42" t="s">
        <v>4</v>
      </c>
      <c r="C8" s="43">
        <v>0</v>
      </c>
      <c r="D8" s="43">
        <v>0</v>
      </c>
      <c r="E8" s="43">
        <v>0</v>
      </c>
      <c r="F8" s="43">
        <v>2191.2503400000001</v>
      </c>
      <c r="G8" s="43">
        <v>337.27</v>
      </c>
      <c r="H8" s="43">
        <v>7179.018</v>
      </c>
      <c r="I8" s="43">
        <v>0</v>
      </c>
      <c r="J8" s="43"/>
      <c r="K8" s="44">
        <v>9707.5383399999992</v>
      </c>
    </row>
    <row r="9" spans="1:15" ht="12.75" customHeight="1" x14ac:dyDescent="0.25">
      <c r="A9" s="42">
        <v>2004</v>
      </c>
      <c r="B9" s="42" t="s">
        <v>5</v>
      </c>
      <c r="C9" s="43">
        <v>0</v>
      </c>
      <c r="D9" s="43">
        <v>0</v>
      </c>
      <c r="E9" s="43">
        <v>0</v>
      </c>
      <c r="F9" s="43">
        <v>2304.1930300000004</v>
      </c>
      <c r="G9" s="43">
        <v>337.64</v>
      </c>
      <c r="H9" s="43">
        <v>8231.7170000000006</v>
      </c>
      <c r="I9" s="43">
        <v>0</v>
      </c>
      <c r="J9" s="43"/>
      <c r="K9" s="44">
        <v>10873.55003</v>
      </c>
    </row>
    <row r="10" spans="1:15" ht="12.75" customHeight="1" x14ac:dyDescent="0.25">
      <c r="A10" s="42">
        <v>2004</v>
      </c>
      <c r="B10" s="42" t="s">
        <v>6</v>
      </c>
      <c r="C10" s="43">
        <v>0</v>
      </c>
      <c r="D10" s="43">
        <v>0</v>
      </c>
      <c r="E10" s="43">
        <v>0</v>
      </c>
      <c r="F10" s="43">
        <v>2197.15299</v>
      </c>
      <c r="G10" s="43">
        <v>0</v>
      </c>
      <c r="H10" s="43">
        <v>5275.3980000000001</v>
      </c>
      <c r="I10" s="43">
        <v>0</v>
      </c>
      <c r="J10" s="43"/>
      <c r="K10" s="44">
        <v>7472.5509899999997</v>
      </c>
    </row>
    <row r="11" spans="1:15" ht="12.75" customHeight="1" x14ac:dyDescent="0.25">
      <c r="A11" s="42">
        <v>2004</v>
      </c>
      <c r="B11" s="42" t="s">
        <v>7</v>
      </c>
      <c r="C11" s="43">
        <v>0</v>
      </c>
      <c r="D11" s="43">
        <v>0</v>
      </c>
      <c r="E11" s="43">
        <v>0</v>
      </c>
      <c r="F11" s="43">
        <v>2262.6331500000001</v>
      </c>
      <c r="G11" s="43">
        <v>232.6</v>
      </c>
      <c r="H11" s="43">
        <v>5316.8990000000003</v>
      </c>
      <c r="I11" s="43">
        <v>0</v>
      </c>
      <c r="J11" s="43"/>
      <c r="K11" s="44">
        <v>7812.1321500000004</v>
      </c>
    </row>
    <row r="12" spans="1:15" ht="12.75" customHeight="1" x14ac:dyDescent="0.25">
      <c r="A12" s="42">
        <v>2004</v>
      </c>
      <c r="B12" s="42" t="s">
        <v>8</v>
      </c>
      <c r="C12" s="43">
        <v>0</v>
      </c>
      <c r="D12" s="43">
        <v>0</v>
      </c>
      <c r="E12" s="43">
        <v>0</v>
      </c>
      <c r="F12" s="43">
        <v>2205.3343300000001</v>
      </c>
      <c r="G12" s="43">
        <v>0</v>
      </c>
      <c r="H12" s="43">
        <v>6180.6112999999996</v>
      </c>
      <c r="I12" s="43">
        <v>0</v>
      </c>
      <c r="J12" s="43"/>
      <c r="K12" s="44">
        <v>8385.9456300000002</v>
      </c>
    </row>
    <row r="13" spans="1:15" ht="12.75" customHeight="1" x14ac:dyDescent="0.25">
      <c r="A13" s="42">
        <v>2004</v>
      </c>
      <c r="B13" s="42" t="s">
        <v>9</v>
      </c>
      <c r="C13" s="43">
        <v>0</v>
      </c>
      <c r="D13" s="43">
        <v>0</v>
      </c>
      <c r="E13" s="43">
        <v>0</v>
      </c>
      <c r="F13" s="43">
        <v>2131.2800000000002</v>
      </c>
      <c r="G13" s="43">
        <v>0</v>
      </c>
      <c r="H13" s="43">
        <v>6711.9219999999996</v>
      </c>
      <c r="I13" s="43">
        <v>0</v>
      </c>
      <c r="J13" s="43"/>
      <c r="K13" s="44">
        <v>8843.2019999999993</v>
      </c>
    </row>
    <row r="14" spans="1:15" ht="12.75" customHeight="1" x14ac:dyDescent="0.25">
      <c r="A14" s="42">
        <v>2004</v>
      </c>
      <c r="B14" s="42" t="s">
        <v>10</v>
      </c>
      <c r="C14" s="43">
        <v>0</v>
      </c>
      <c r="D14" s="43">
        <v>0</v>
      </c>
      <c r="E14" s="43">
        <v>0</v>
      </c>
      <c r="F14" s="43">
        <v>1702.126</v>
      </c>
      <c r="G14" s="43">
        <v>0</v>
      </c>
      <c r="H14" s="43">
        <v>5878.5349999999999</v>
      </c>
      <c r="I14" s="43">
        <v>0</v>
      </c>
      <c r="J14" s="43"/>
      <c r="K14" s="44">
        <v>7580.6610000000001</v>
      </c>
    </row>
    <row r="15" spans="1:15" ht="12.75" customHeight="1" x14ac:dyDescent="0.25">
      <c r="A15" s="42">
        <v>2004</v>
      </c>
      <c r="B15" s="42" t="s">
        <v>11</v>
      </c>
      <c r="C15" s="43">
        <v>0</v>
      </c>
      <c r="D15" s="43">
        <v>0</v>
      </c>
      <c r="E15" s="43">
        <v>0</v>
      </c>
      <c r="F15" s="43">
        <v>2160.5164799999998</v>
      </c>
      <c r="G15" s="43">
        <v>0</v>
      </c>
      <c r="H15" s="43">
        <v>7299.7960000000003</v>
      </c>
      <c r="I15" s="43">
        <v>0</v>
      </c>
      <c r="J15" s="43"/>
      <c r="K15" s="44">
        <v>9460.3124800000005</v>
      </c>
    </row>
    <row r="16" spans="1:15" ht="12.75" customHeight="1" x14ac:dyDescent="0.25">
      <c r="A16" s="42">
        <v>2004</v>
      </c>
      <c r="B16" s="42" t="s">
        <v>12</v>
      </c>
      <c r="C16" s="43">
        <v>0</v>
      </c>
      <c r="D16" s="43">
        <v>0</v>
      </c>
      <c r="E16" s="43">
        <v>0</v>
      </c>
      <c r="F16" s="43">
        <v>2355.4397100000001</v>
      </c>
      <c r="G16" s="43">
        <v>0</v>
      </c>
      <c r="H16" s="43">
        <v>8175.1580000000004</v>
      </c>
      <c r="I16" s="43">
        <v>0</v>
      </c>
      <c r="J16" s="43"/>
      <c r="K16" s="44">
        <v>10530.59771</v>
      </c>
    </row>
    <row r="17" spans="1:11" ht="12.75" customHeight="1" x14ac:dyDescent="0.25">
      <c r="A17" s="42">
        <v>2004</v>
      </c>
      <c r="B17" s="42" t="s">
        <v>13</v>
      </c>
      <c r="C17" s="43">
        <v>0</v>
      </c>
      <c r="D17" s="43">
        <v>0</v>
      </c>
      <c r="E17" s="43">
        <v>0</v>
      </c>
      <c r="F17" s="43">
        <v>2279.0174499999998</v>
      </c>
      <c r="G17" s="43">
        <v>0</v>
      </c>
      <c r="H17" s="43">
        <v>9134.5139999999992</v>
      </c>
      <c r="I17" s="43">
        <v>0</v>
      </c>
      <c r="J17" s="43"/>
      <c r="K17" s="44">
        <v>11413.531449999999</v>
      </c>
    </row>
    <row r="18" spans="1:11" ht="12.75" customHeight="1" x14ac:dyDescent="0.25">
      <c r="A18" s="42">
        <v>2004</v>
      </c>
      <c r="B18" s="42" t="s">
        <v>14</v>
      </c>
      <c r="C18" s="43">
        <v>0</v>
      </c>
      <c r="D18" s="43">
        <v>0</v>
      </c>
      <c r="E18" s="43">
        <v>0</v>
      </c>
      <c r="F18" s="43">
        <v>2349.9121299999993</v>
      </c>
      <c r="G18" s="43">
        <v>0</v>
      </c>
      <c r="H18" s="43">
        <v>8244.6299999999992</v>
      </c>
      <c r="I18" s="43">
        <v>0</v>
      </c>
      <c r="J18" s="43"/>
      <c r="K18" s="44">
        <v>10594.542129999998</v>
      </c>
    </row>
    <row r="19" spans="1:11" ht="12.75" customHeight="1" x14ac:dyDescent="0.25">
      <c r="A19" s="42">
        <v>2004</v>
      </c>
      <c r="B19" s="42" t="s">
        <v>15</v>
      </c>
      <c r="C19" s="43">
        <v>0</v>
      </c>
      <c r="D19" s="43">
        <v>0</v>
      </c>
      <c r="E19" s="43">
        <v>0</v>
      </c>
      <c r="F19" s="43">
        <v>26292.814609999998</v>
      </c>
      <c r="G19" s="43">
        <v>907.51</v>
      </c>
      <c r="H19" s="43">
        <v>84140.067299999995</v>
      </c>
      <c r="I19" s="43">
        <v>0</v>
      </c>
      <c r="J19" s="43"/>
      <c r="K19" s="44">
        <v>111340.39190999999</v>
      </c>
    </row>
    <row r="20" spans="1:11" ht="12.75" customHeight="1" x14ac:dyDescent="0.25">
      <c r="A20" s="42">
        <v>2005</v>
      </c>
      <c r="B20" s="42" t="s">
        <v>3</v>
      </c>
      <c r="C20" s="43">
        <v>0</v>
      </c>
      <c r="D20" s="43">
        <v>0</v>
      </c>
      <c r="E20" s="43">
        <v>0</v>
      </c>
      <c r="F20" s="43">
        <v>2262.1120000000001</v>
      </c>
      <c r="G20" s="43">
        <v>0</v>
      </c>
      <c r="H20" s="43">
        <v>8202.982</v>
      </c>
      <c r="I20" s="43">
        <v>0</v>
      </c>
      <c r="J20" s="43"/>
      <c r="K20" s="44">
        <v>10465.094000000001</v>
      </c>
    </row>
    <row r="21" spans="1:11" ht="12.75" customHeight="1" x14ac:dyDescent="0.25">
      <c r="A21" s="42">
        <v>2005</v>
      </c>
      <c r="B21" s="42" t="s">
        <v>4</v>
      </c>
      <c r="C21" s="43">
        <v>0</v>
      </c>
      <c r="D21" s="43">
        <v>0</v>
      </c>
      <c r="E21" s="43">
        <v>0</v>
      </c>
      <c r="F21" s="43">
        <v>2046.6949999999999</v>
      </c>
      <c r="G21" s="43">
        <v>0</v>
      </c>
      <c r="H21" s="43">
        <v>8873.222099999999</v>
      </c>
      <c r="I21" s="43">
        <v>0</v>
      </c>
      <c r="J21" s="43"/>
      <c r="K21" s="44">
        <v>10919.917099999999</v>
      </c>
    </row>
    <row r="22" spans="1:11" ht="12.75" customHeight="1" x14ac:dyDescent="0.25">
      <c r="A22" s="42">
        <v>2005</v>
      </c>
      <c r="B22" s="42" t="s">
        <v>5</v>
      </c>
      <c r="C22" s="43">
        <v>0</v>
      </c>
      <c r="D22" s="43">
        <v>0</v>
      </c>
      <c r="E22" s="43">
        <v>0</v>
      </c>
      <c r="F22" s="43">
        <v>2249.5479999999998</v>
      </c>
      <c r="G22" s="43">
        <v>0</v>
      </c>
      <c r="H22" s="43">
        <v>9442.8878999999997</v>
      </c>
      <c r="I22" s="43">
        <v>0</v>
      </c>
      <c r="J22" s="43"/>
      <c r="K22" s="44">
        <v>11692.4359</v>
      </c>
    </row>
    <row r="23" spans="1:11" ht="12.75" customHeight="1" x14ac:dyDescent="0.25">
      <c r="A23" s="42">
        <v>2005</v>
      </c>
      <c r="B23" s="42" t="s">
        <v>6</v>
      </c>
      <c r="C23" s="43">
        <v>0</v>
      </c>
      <c r="D23" s="43">
        <v>0</v>
      </c>
      <c r="E23" s="43">
        <v>0</v>
      </c>
      <c r="F23" s="43">
        <v>2188.0940000000001</v>
      </c>
      <c r="G23" s="43">
        <v>24</v>
      </c>
      <c r="H23" s="43">
        <v>8723.5605999999989</v>
      </c>
      <c r="I23" s="43">
        <v>0</v>
      </c>
      <c r="J23" s="43"/>
      <c r="K23" s="44">
        <v>10935.654599999998</v>
      </c>
    </row>
    <row r="24" spans="1:11" ht="12.75" customHeight="1" x14ac:dyDescent="0.25">
      <c r="A24" s="42">
        <v>2005</v>
      </c>
      <c r="B24" s="42" t="s">
        <v>7</v>
      </c>
      <c r="C24" s="43">
        <v>0</v>
      </c>
      <c r="D24" s="43">
        <v>30</v>
      </c>
      <c r="E24" s="43">
        <v>0</v>
      </c>
      <c r="F24" s="43">
        <v>2058.7620000000002</v>
      </c>
      <c r="G24" s="43">
        <v>0</v>
      </c>
      <c r="H24" s="43">
        <v>8938.8274000000001</v>
      </c>
      <c r="I24" s="43">
        <v>0</v>
      </c>
      <c r="J24" s="43"/>
      <c r="K24" s="44">
        <v>11027.589400000001</v>
      </c>
    </row>
    <row r="25" spans="1:11" ht="12.75" customHeight="1" x14ac:dyDescent="0.25">
      <c r="A25" s="42">
        <v>2005</v>
      </c>
      <c r="B25" s="42" t="s">
        <v>8</v>
      </c>
      <c r="C25" s="43">
        <v>0</v>
      </c>
      <c r="D25" s="43">
        <v>0</v>
      </c>
      <c r="E25" s="43">
        <v>0</v>
      </c>
      <c r="F25" s="43">
        <v>2159.3937700000001</v>
      </c>
      <c r="G25" s="43">
        <v>0</v>
      </c>
      <c r="H25" s="43">
        <v>8303.3675999999996</v>
      </c>
      <c r="I25" s="43">
        <v>0</v>
      </c>
      <c r="J25" s="43"/>
      <c r="K25" s="44">
        <v>10462.76137</v>
      </c>
    </row>
    <row r="26" spans="1:11" ht="12.75" customHeight="1" x14ac:dyDescent="0.25">
      <c r="A26" s="42">
        <v>2005</v>
      </c>
      <c r="B26" s="42" t="s">
        <v>9</v>
      </c>
      <c r="C26" s="43">
        <v>0</v>
      </c>
      <c r="D26" s="43">
        <v>0</v>
      </c>
      <c r="E26" s="43">
        <v>0</v>
      </c>
      <c r="F26" s="43">
        <v>1683.037</v>
      </c>
      <c r="G26" s="43">
        <v>0</v>
      </c>
      <c r="H26" s="43">
        <v>8764.0164999999997</v>
      </c>
      <c r="I26" s="43">
        <v>0</v>
      </c>
      <c r="J26" s="43"/>
      <c r="K26" s="44">
        <v>10447.0535</v>
      </c>
    </row>
    <row r="27" spans="1:11" ht="12.75" customHeight="1" x14ac:dyDescent="0.25">
      <c r="A27" s="42">
        <v>2005</v>
      </c>
      <c r="B27" s="42" t="s">
        <v>10</v>
      </c>
      <c r="C27" s="43">
        <v>0</v>
      </c>
      <c r="D27" s="43">
        <v>30</v>
      </c>
      <c r="E27" s="43">
        <v>0</v>
      </c>
      <c r="F27" s="43">
        <v>1442.4590900000001</v>
      </c>
      <c r="G27" s="43">
        <v>0</v>
      </c>
      <c r="H27" s="43">
        <v>7325.7015200000014</v>
      </c>
      <c r="I27" s="43">
        <v>0</v>
      </c>
      <c r="J27" s="43"/>
      <c r="K27" s="44">
        <v>8798.1606100000008</v>
      </c>
    </row>
    <row r="28" spans="1:11" ht="12.75" customHeight="1" x14ac:dyDescent="0.25">
      <c r="A28" s="42">
        <v>2005</v>
      </c>
      <c r="B28" s="42" t="s">
        <v>11</v>
      </c>
      <c r="C28" s="43">
        <v>0</v>
      </c>
      <c r="D28" s="43">
        <v>0</v>
      </c>
      <c r="E28" s="43">
        <v>0</v>
      </c>
      <c r="F28" s="43">
        <v>1968.125</v>
      </c>
      <c r="G28" s="43">
        <v>0</v>
      </c>
      <c r="H28" s="43">
        <v>8057.1816999999955</v>
      </c>
      <c r="I28" s="43">
        <v>0</v>
      </c>
      <c r="J28" s="43"/>
      <c r="K28" s="44">
        <v>10025.306699999996</v>
      </c>
    </row>
    <row r="29" spans="1:11" ht="12.75" customHeight="1" x14ac:dyDescent="0.25">
      <c r="A29" s="42">
        <v>2005</v>
      </c>
      <c r="B29" s="42" t="s">
        <v>12</v>
      </c>
      <c r="C29" s="43">
        <v>0</v>
      </c>
      <c r="D29" s="43">
        <v>0</v>
      </c>
      <c r="E29" s="43">
        <v>0</v>
      </c>
      <c r="F29" s="43">
        <v>2262.6970000000001</v>
      </c>
      <c r="G29" s="43">
        <v>0</v>
      </c>
      <c r="H29" s="43">
        <v>7366.790140000001</v>
      </c>
      <c r="I29" s="43">
        <v>0</v>
      </c>
      <c r="J29" s="43"/>
      <c r="K29" s="44">
        <v>9629.4871400000011</v>
      </c>
    </row>
    <row r="30" spans="1:11" ht="12.75" customHeight="1" x14ac:dyDescent="0.25">
      <c r="A30" s="42">
        <v>2005</v>
      </c>
      <c r="B30" s="42" t="s">
        <v>13</v>
      </c>
      <c r="C30" s="43">
        <v>0</v>
      </c>
      <c r="D30" s="43">
        <v>0</v>
      </c>
      <c r="E30" s="43">
        <v>0</v>
      </c>
      <c r="F30" s="43">
        <v>2173.7240000000002</v>
      </c>
      <c r="G30" s="43">
        <v>0</v>
      </c>
      <c r="H30" s="43">
        <v>8798.2980000000007</v>
      </c>
      <c r="I30" s="43">
        <v>0</v>
      </c>
      <c r="J30" s="43"/>
      <c r="K30" s="44">
        <v>10972.022000000001</v>
      </c>
    </row>
    <row r="31" spans="1:11" ht="12.75" customHeight="1" x14ac:dyDescent="0.25">
      <c r="A31" s="42">
        <v>2005</v>
      </c>
      <c r="B31" s="42" t="s">
        <v>14</v>
      </c>
      <c r="C31" s="43">
        <v>0</v>
      </c>
      <c r="D31" s="43">
        <v>0</v>
      </c>
      <c r="E31" s="43">
        <v>0</v>
      </c>
      <c r="F31" s="43">
        <v>2262.0100000000002</v>
      </c>
      <c r="G31" s="43">
        <v>0</v>
      </c>
      <c r="H31" s="43">
        <v>9426.6924999999992</v>
      </c>
      <c r="I31" s="43">
        <v>0</v>
      </c>
      <c r="J31" s="43"/>
      <c r="K31" s="44">
        <v>11688.702499999999</v>
      </c>
    </row>
    <row r="32" spans="1:11" ht="12.75" customHeight="1" x14ac:dyDescent="0.25">
      <c r="A32" s="42">
        <v>2005</v>
      </c>
      <c r="B32" s="42" t="s">
        <v>15</v>
      </c>
      <c r="C32" s="43">
        <v>0</v>
      </c>
      <c r="D32" s="43">
        <v>60</v>
      </c>
      <c r="E32" s="43">
        <v>0</v>
      </c>
      <c r="F32" s="43">
        <v>24756.656860000003</v>
      </c>
      <c r="G32" s="43">
        <v>24</v>
      </c>
      <c r="H32" s="43">
        <v>102223.52795999999</v>
      </c>
      <c r="I32" s="43">
        <v>0</v>
      </c>
      <c r="J32" s="43"/>
      <c r="K32" s="44">
        <v>127064.18481999999</v>
      </c>
    </row>
    <row r="33" spans="1:11" ht="12.75" customHeight="1" x14ac:dyDescent="0.25">
      <c r="A33" s="42">
        <v>2006</v>
      </c>
      <c r="B33" s="42" t="s">
        <v>3</v>
      </c>
      <c r="C33" s="43">
        <v>0</v>
      </c>
      <c r="D33" s="43">
        <v>150</v>
      </c>
      <c r="E33" s="43">
        <v>0</v>
      </c>
      <c r="F33" s="43">
        <v>2379.2170000000001</v>
      </c>
      <c r="G33" s="43">
        <v>0</v>
      </c>
      <c r="H33" s="43">
        <v>8478.1532999999999</v>
      </c>
      <c r="I33" s="43">
        <v>0</v>
      </c>
      <c r="J33" s="43"/>
      <c r="K33" s="44">
        <v>11007.3703</v>
      </c>
    </row>
    <row r="34" spans="1:11" ht="12.75" customHeight="1" x14ac:dyDescent="0.25">
      <c r="A34" s="42">
        <v>2006</v>
      </c>
      <c r="B34" s="42" t="s">
        <v>4</v>
      </c>
      <c r="C34" s="43">
        <v>0</v>
      </c>
      <c r="D34" s="43">
        <v>0</v>
      </c>
      <c r="E34" s="43">
        <v>0</v>
      </c>
      <c r="F34" s="43">
        <v>2155.8490000000002</v>
      </c>
      <c r="G34" s="43">
        <v>0</v>
      </c>
      <c r="H34" s="43">
        <v>8971.9820999999993</v>
      </c>
      <c r="I34" s="43">
        <v>0</v>
      </c>
      <c r="J34" s="43"/>
      <c r="K34" s="44">
        <v>11127.831099999999</v>
      </c>
    </row>
    <row r="35" spans="1:11" ht="12.75" customHeight="1" x14ac:dyDescent="0.25">
      <c r="A35" s="42">
        <v>2006</v>
      </c>
      <c r="B35" s="42" t="s">
        <v>5</v>
      </c>
      <c r="C35" s="43">
        <v>0</v>
      </c>
      <c r="D35" s="43">
        <v>0</v>
      </c>
      <c r="E35" s="43">
        <v>0</v>
      </c>
      <c r="F35" s="43">
        <v>2483.4557</v>
      </c>
      <c r="G35" s="43">
        <v>0</v>
      </c>
      <c r="H35" s="43">
        <v>9141.5899000000009</v>
      </c>
      <c r="I35" s="43">
        <v>0</v>
      </c>
      <c r="J35" s="43"/>
      <c r="K35" s="44">
        <v>11625.045600000001</v>
      </c>
    </row>
    <row r="36" spans="1:11" ht="12.75" customHeight="1" x14ac:dyDescent="0.25">
      <c r="A36" s="42">
        <v>2006</v>
      </c>
      <c r="B36" s="42" t="s">
        <v>6</v>
      </c>
      <c r="C36" s="43">
        <v>0</v>
      </c>
      <c r="D36" s="43">
        <v>0</v>
      </c>
      <c r="E36" s="43">
        <v>0</v>
      </c>
      <c r="F36" s="43">
        <v>1148.4513999999999</v>
      </c>
      <c r="G36" s="43">
        <v>0</v>
      </c>
      <c r="H36" s="43">
        <v>8607.8168999999998</v>
      </c>
      <c r="I36" s="43">
        <v>0</v>
      </c>
      <c r="J36" s="43"/>
      <c r="K36" s="44">
        <v>9756.2682999999997</v>
      </c>
    </row>
    <row r="37" spans="1:11" ht="12.75" customHeight="1" x14ac:dyDescent="0.25">
      <c r="A37" s="42">
        <v>2006</v>
      </c>
      <c r="B37" s="42" t="s">
        <v>7</v>
      </c>
      <c r="C37" s="43">
        <v>0</v>
      </c>
      <c r="D37" s="43">
        <v>0</v>
      </c>
      <c r="E37" s="43">
        <v>0</v>
      </c>
      <c r="F37" s="43">
        <v>2338.6570999999999</v>
      </c>
      <c r="G37" s="43">
        <v>0</v>
      </c>
      <c r="H37" s="43">
        <v>8193.3995999999988</v>
      </c>
      <c r="I37" s="43">
        <v>0</v>
      </c>
      <c r="J37" s="43"/>
      <c r="K37" s="44">
        <v>10532.056699999999</v>
      </c>
    </row>
    <row r="38" spans="1:11" ht="12.75" customHeight="1" x14ac:dyDescent="0.25">
      <c r="A38" s="42">
        <v>2006</v>
      </c>
      <c r="B38" s="42" t="s">
        <v>8</v>
      </c>
      <c r="C38" s="43">
        <v>0</v>
      </c>
      <c r="D38" s="43">
        <v>0</v>
      </c>
      <c r="E38" s="43">
        <v>0</v>
      </c>
      <c r="F38" s="43">
        <v>2097.85</v>
      </c>
      <c r="G38" s="43">
        <v>0</v>
      </c>
      <c r="H38" s="43">
        <v>8736.2536</v>
      </c>
      <c r="I38" s="43">
        <v>0</v>
      </c>
      <c r="J38" s="43"/>
      <c r="K38" s="44">
        <v>10834.1036</v>
      </c>
    </row>
    <row r="39" spans="1:11" ht="12.75" customHeight="1" x14ac:dyDescent="0.25">
      <c r="A39" s="42">
        <v>2006</v>
      </c>
      <c r="B39" s="42" t="s">
        <v>9</v>
      </c>
      <c r="C39" s="43">
        <v>0</v>
      </c>
      <c r="D39" s="43">
        <v>0</v>
      </c>
      <c r="E39" s="43">
        <v>0</v>
      </c>
      <c r="F39" s="43">
        <v>2042.6010000000001</v>
      </c>
      <c r="G39" s="43">
        <v>0</v>
      </c>
      <c r="H39" s="43">
        <v>9313.9099000000006</v>
      </c>
      <c r="I39" s="43">
        <v>0</v>
      </c>
      <c r="J39" s="43"/>
      <c r="K39" s="44">
        <v>11356.510900000001</v>
      </c>
    </row>
    <row r="40" spans="1:11" ht="12.75" customHeight="1" x14ac:dyDescent="0.25">
      <c r="A40" s="42">
        <v>2006</v>
      </c>
      <c r="B40" s="42" t="s">
        <v>10</v>
      </c>
      <c r="C40" s="43">
        <v>0</v>
      </c>
      <c r="D40" s="43">
        <v>0</v>
      </c>
      <c r="E40" s="43">
        <v>0</v>
      </c>
      <c r="F40" s="43">
        <v>2003.835</v>
      </c>
      <c r="G40" s="43">
        <v>0</v>
      </c>
      <c r="H40" s="43">
        <v>6891.8629000000001</v>
      </c>
      <c r="I40" s="43">
        <v>0</v>
      </c>
      <c r="J40" s="43"/>
      <c r="K40" s="44">
        <v>8895.6978999999992</v>
      </c>
    </row>
    <row r="41" spans="1:11" ht="12.75" customHeight="1" x14ac:dyDescent="0.25">
      <c r="A41" s="42">
        <v>2006</v>
      </c>
      <c r="B41" s="42" t="s">
        <v>11</v>
      </c>
      <c r="C41" s="43">
        <v>0</v>
      </c>
      <c r="D41" s="43">
        <v>0</v>
      </c>
      <c r="E41" s="43">
        <v>0</v>
      </c>
      <c r="F41" s="43">
        <v>2188.9250000000002</v>
      </c>
      <c r="G41" s="43">
        <v>0</v>
      </c>
      <c r="H41" s="43">
        <v>7167.5902000000006</v>
      </c>
      <c r="I41" s="43">
        <v>0</v>
      </c>
      <c r="J41" s="43"/>
      <c r="K41" s="44">
        <v>9356.5152000000016</v>
      </c>
    </row>
    <row r="42" spans="1:11" ht="12.75" customHeight="1" x14ac:dyDescent="0.25">
      <c r="A42" s="42">
        <v>2006</v>
      </c>
      <c r="B42" s="42" t="s">
        <v>12</v>
      </c>
      <c r="C42" s="43">
        <v>0</v>
      </c>
      <c r="D42" s="43">
        <v>0</v>
      </c>
      <c r="E42" s="43">
        <v>0</v>
      </c>
      <c r="F42" s="43">
        <v>2043.2739999999999</v>
      </c>
      <c r="G42" s="43">
        <v>0</v>
      </c>
      <c r="H42" s="43">
        <v>8844.0509000000002</v>
      </c>
      <c r="I42" s="43">
        <v>0</v>
      </c>
      <c r="J42" s="43"/>
      <c r="K42" s="44">
        <v>10887.3249</v>
      </c>
    </row>
    <row r="43" spans="1:11" ht="12.75" customHeight="1" x14ac:dyDescent="0.25">
      <c r="A43" s="42">
        <v>2006</v>
      </c>
      <c r="B43" s="42" t="s">
        <v>13</v>
      </c>
      <c r="C43" s="43">
        <v>0</v>
      </c>
      <c r="D43" s="43">
        <v>0</v>
      </c>
      <c r="E43" s="43">
        <v>0</v>
      </c>
      <c r="F43" s="43">
        <v>1696.0909999999999</v>
      </c>
      <c r="G43" s="43">
        <v>0</v>
      </c>
      <c r="H43" s="43">
        <v>7481.8305999999993</v>
      </c>
      <c r="I43" s="43">
        <v>0</v>
      </c>
      <c r="J43" s="43"/>
      <c r="K43" s="44">
        <v>9177.9215999999997</v>
      </c>
    </row>
    <row r="44" spans="1:11" ht="12.75" customHeight="1" x14ac:dyDescent="0.25">
      <c r="A44" s="42">
        <v>2006</v>
      </c>
      <c r="B44" s="42" t="s">
        <v>14</v>
      </c>
      <c r="C44" s="43">
        <v>0</v>
      </c>
      <c r="D44" s="43">
        <v>0</v>
      </c>
      <c r="E44" s="43">
        <v>0</v>
      </c>
      <c r="F44" s="43">
        <v>2052.5058199999999</v>
      </c>
      <c r="G44" s="43">
        <v>0</v>
      </c>
      <c r="H44" s="43">
        <v>8112.8239000000003</v>
      </c>
      <c r="I44" s="43">
        <v>0</v>
      </c>
      <c r="J44" s="43"/>
      <c r="K44" s="44">
        <v>10165.32972</v>
      </c>
    </row>
    <row r="45" spans="1:11" ht="12.75" customHeight="1" x14ac:dyDescent="0.25">
      <c r="A45" s="42">
        <v>2006</v>
      </c>
      <c r="B45" s="42" t="s">
        <v>15</v>
      </c>
      <c r="C45" s="43">
        <v>0</v>
      </c>
      <c r="D45" s="43">
        <v>150</v>
      </c>
      <c r="E45" s="43">
        <v>0</v>
      </c>
      <c r="F45" s="43">
        <v>24630.712020000003</v>
      </c>
      <c r="G45" s="43">
        <v>0</v>
      </c>
      <c r="H45" s="43">
        <v>99941.263800000015</v>
      </c>
      <c r="I45" s="43">
        <v>0</v>
      </c>
      <c r="J45" s="43"/>
      <c r="K45" s="44">
        <v>124721.97582000002</v>
      </c>
    </row>
    <row r="46" spans="1:11" ht="12.75" customHeight="1" x14ac:dyDescent="0.25">
      <c r="A46" s="42">
        <v>2007</v>
      </c>
      <c r="B46" s="42" t="s">
        <v>3</v>
      </c>
      <c r="C46" s="43">
        <v>0</v>
      </c>
      <c r="D46" s="43">
        <v>328.53800000000001</v>
      </c>
      <c r="E46" s="43">
        <v>0</v>
      </c>
      <c r="F46" s="43">
        <v>2365.3119999999999</v>
      </c>
      <c r="G46" s="43">
        <v>0</v>
      </c>
      <c r="H46" s="43">
        <v>9247.1869000000006</v>
      </c>
      <c r="I46" s="43">
        <v>0</v>
      </c>
      <c r="J46" s="43"/>
      <c r="K46" s="44">
        <v>11941.036900000001</v>
      </c>
    </row>
    <row r="47" spans="1:11" ht="12.75" customHeight="1" x14ac:dyDescent="0.25">
      <c r="A47" s="42">
        <v>2007</v>
      </c>
      <c r="B47" s="42" t="s">
        <v>4</v>
      </c>
      <c r="C47" s="43">
        <v>0</v>
      </c>
      <c r="D47" s="43">
        <v>227.6431</v>
      </c>
      <c r="E47" s="43">
        <v>0</v>
      </c>
      <c r="F47" s="43">
        <v>2092.1563999999998</v>
      </c>
      <c r="G47" s="43">
        <v>0</v>
      </c>
      <c r="H47" s="43">
        <v>8189.7091</v>
      </c>
      <c r="I47" s="43">
        <v>0</v>
      </c>
      <c r="J47" s="43"/>
      <c r="K47" s="44">
        <v>10509.508600000001</v>
      </c>
    </row>
    <row r="48" spans="1:11" ht="12.75" customHeight="1" x14ac:dyDescent="0.25">
      <c r="A48" s="42">
        <v>2007</v>
      </c>
      <c r="B48" s="42" t="s">
        <v>5</v>
      </c>
      <c r="C48" s="43">
        <v>0</v>
      </c>
      <c r="D48" s="43">
        <v>218.673</v>
      </c>
      <c r="E48" s="43">
        <v>0</v>
      </c>
      <c r="F48" s="43">
        <v>2364.933</v>
      </c>
      <c r="G48" s="43">
        <v>0</v>
      </c>
      <c r="H48" s="43">
        <v>6980.4079000000002</v>
      </c>
      <c r="I48" s="43">
        <v>0</v>
      </c>
      <c r="J48" s="43"/>
      <c r="K48" s="44">
        <v>9564.0138999999999</v>
      </c>
    </row>
    <row r="49" spans="1:11" ht="12.75" customHeight="1" x14ac:dyDescent="0.25">
      <c r="A49" s="42">
        <v>2007</v>
      </c>
      <c r="B49" s="42" t="s">
        <v>6</v>
      </c>
      <c r="C49" s="43">
        <v>0</v>
      </c>
      <c r="D49" s="43">
        <v>218.4255</v>
      </c>
      <c r="E49" s="43">
        <v>0</v>
      </c>
      <c r="F49" s="43">
        <v>2294.92</v>
      </c>
      <c r="G49" s="43">
        <v>0</v>
      </c>
      <c r="H49" s="43">
        <v>7462.3945999999996</v>
      </c>
      <c r="I49" s="43">
        <v>0</v>
      </c>
      <c r="J49" s="43"/>
      <c r="K49" s="44">
        <v>9975.7400999999991</v>
      </c>
    </row>
    <row r="50" spans="1:11" ht="12.75" customHeight="1" x14ac:dyDescent="0.25">
      <c r="A50" s="42">
        <v>2007</v>
      </c>
      <c r="B50" s="42" t="s">
        <v>7</v>
      </c>
      <c r="C50" s="43">
        <v>0</v>
      </c>
      <c r="D50" s="43">
        <v>225.7063</v>
      </c>
      <c r="E50" s="43">
        <v>0</v>
      </c>
      <c r="F50" s="43">
        <v>2374.5899599999998</v>
      </c>
      <c r="G50" s="43">
        <v>0</v>
      </c>
      <c r="H50" s="43">
        <v>7483.8739000000005</v>
      </c>
      <c r="I50" s="43">
        <v>0</v>
      </c>
      <c r="J50" s="43"/>
      <c r="K50" s="44">
        <v>10084.17016</v>
      </c>
    </row>
    <row r="51" spans="1:11" ht="12.75" customHeight="1" x14ac:dyDescent="0.25">
      <c r="A51" s="42">
        <v>2007</v>
      </c>
      <c r="B51" s="42" t="s">
        <v>8</v>
      </c>
      <c r="C51" s="43">
        <v>0</v>
      </c>
      <c r="D51" s="43">
        <v>218.4255</v>
      </c>
      <c r="E51" s="43">
        <v>0</v>
      </c>
      <c r="F51" s="43">
        <v>2324.6739400000001</v>
      </c>
      <c r="G51" s="43">
        <v>0</v>
      </c>
      <c r="H51" s="43">
        <v>7280.2945999999993</v>
      </c>
      <c r="I51" s="43">
        <v>0</v>
      </c>
      <c r="J51" s="43"/>
      <c r="K51" s="44">
        <v>9823.3940399999992</v>
      </c>
    </row>
    <row r="52" spans="1:11" ht="12.75" customHeight="1" x14ac:dyDescent="0.25">
      <c r="A52" s="42">
        <v>2007</v>
      </c>
      <c r="B52" s="42" t="s">
        <v>9</v>
      </c>
      <c r="C52" s="43">
        <v>0</v>
      </c>
      <c r="D52" s="43">
        <v>310.70830000000001</v>
      </c>
      <c r="E52" s="43">
        <v>0</v>
      </c>
      <c r="F52" s="43">
        <v>2367.9769999999999</v>
      </c>
      <c r="G52" s="43">
        <v>0</v>
      </c>
      <c r="H52" s="43">
        <v>7585.6989000000003</v>
      </c>
      <c r="I52" s="43">
        <v>0</v>
      </c>
      <c r="J52" s="43"/>
      <c r="K52" s="44">
        <v>10264.3842</v>
      </c>
    </row>
    <row r="53" spans="1:11" ht="12.75" customHeight="1" x14ac:dyDescent="0.25">
      <c r="A53" s="42">
        <v>2007</v>
      </c>
      <c r="B53" s="42" t="s">
        <v>10</v>
      </c>
      <c r="C53" s="43">
        <v>0</v>
      </c>
      <c r="D53" s="43">
        <v>121.3472</v>
      </c>
      <c r="E53" s="43">
        <v>0</v>
      </c>
      <c r="F53" s="43">
        <v>2364.8337000000001</v>
      </c>
      <c r="G53" s="43">
        <v>0</v>
      </c>
      <c r="H53" s="43">
        <v>7052.6417999999994</v>
      </c>
      <c r="I53" s="43">
        <v>0</v>
      </c>
      <c r="J53" s="43"/>
      <c r="K53" s="44">
        <v>9538.8227000000006</v>
      </c>
    </row>
    <row r="54" spans="1:11" ht="12.75" customHeight="1" x14ac:dyDescent="0.25">
      <c r="A54" s="42">
        <v>2007</v>
      </c>
      <c r="B54" s="42" t="s">
        <v>11</v>
      </c>
      <c r="C54" s="43">
        <v>0</v>
      </c>
      <c r="D54" s="43">
        <v>218.4255</v>
      </c>
      <c r="E54" s="43">
        <v>0</v>
      </c>
      <c r="F54" s="43">
        <v>1898.3138700000002</v>
      </c>
      <c r="G54" s="43">
        <v>0</v>
      </c>
      <c r="H54" s="43">
        <v>7240.4895999999999</v>
      </c>
      <c r="I54" s="43">
        <v>0</v>
      </c>
      <c r="J54" s="43"/>
      <c r="K54" s="44">
        <v>9357.2289700000001</v>
      </c>
    </row>
    <row r="55" spans="1:11" ht="12.75" customHeight="1" x14ac:dyDescent="0.25">
      <c r="A55" s="42">
        <v>2007</v>
      </c>
      <c r="B55" s="42" t="s">
        <v>12</v>
      </c>
      <c r="C55" s="43">
        <v>0</v>
      </c>
      <c r="D55" s="43">
        <v>882.91200000000003</v>
      </c>
      <c r="E55" s="43">
        <v>0</v>
      </c>
      <c r="F55" s="43">
        <v>2289.2097599999997</v>
      </c>
      <c r="G55" s="43">
        <v>0</v>
      </c>
      <c r="H55" s="43">
        <v>6322.5545999999995</v>
      </c>
      <c r="I55" s="43">
        <v>0</v>
      </c>
      <c r="J55" s="43"/>
      <c r="K55" s="44">
        <v>9494.6763599999995</v>
      </c>
    </row>
    <row r="56" spans="1:11" ht="12.75" customHeight="1" x14ac:dyDescent="0.25">
      <c r="A56" s="42">
        <v>2007</v>
      </c>
      <c r="B56" s="42" t="s">
        <v>13</v>
      </c>
      <c r="C56" s="43">
        <v>0</v>
      </c>
      <c r="D56" s="43">
        <v>1726.904</v>
      </c>
      <c r="E56" s="43">
        <v>0</v>
      </c>
      <c r="F56" s="43">
        <v>1941.019</v>
      </c>
      <c r="G56" s="43">
        <v>0</v>
      </c>
      <c r="H56" s="43">
        <v>8898.2685999999994</v>
      </c>
      <c r="I56" s="43">
        <v>0</v>
      </c>
      <c r="J56" s="43"/>
      <c r="K56" s="44">
        <v>12566.191599999998</v>
      </c>
    </row>
    <row r="57" spans="1:11" ht="12.75" customHeight="1" x14ac:dyDescent="0.25">
      <c r="A57" s="42">
        <v>2007</v>
      </c>
      <c r="B57" s="42" t="s">
        <v>14</v>
      </c>
      <c r="C57" s="43">
        <v>0</v>
      </c>
      <c r="D57" s="43">
        <v>1802.5060000000001</v>
      </c>
      <c r="E57" s="43">
        <v>0</v>
      </c>
      <c r="F57" s="43">
        <v>1747.5046399999999</v>
      </c>
      <c r="G57" s="43">
        <v>0</v>
      </c>
      <c r="H57" s="43">
        <v>9498.1026999999995</v>
      </c>
      <c r="I57" s="43">
        <v>0</v>
      </c>
      <c r="J57" s="43"/>
      <c r="K57" s="44">
        <v>13048.11334</v>
      </c>
    </row>
    <row r="58" spans="1:11" ht="12.75" customHeight="1" x14ac:dyDescent="0.25">
      <c r="A58" s="42">
        <v>2007</v>
      </c>
      <c r="B58" s="42" t="s">
        <v>15</v>
      </c>
      <c r="C58" s="43">
        <v>0</v>
      </c>
      <c r="D58" s="43">
        <v>6500.2143999999998</v>
      </c>
      <c r="E58" s="43">
        <v>0</v>
      </c>
      <c r="F58" s="43">
        <v>26425.443270000003</v>
      </c>
      <c r="G58" s="43">
        <v>0</v>
      </c>
      <c r="H58" s="43">
        <v>93241.623200000002</v>
      </c>
      <c r="I58" s="43">
        <v>0</v>
      </c>
      <c r="J58" s="43"/>
      <c r="K58" s="44">
        <v>126167.28087</v>
      </c>
    </row>
    <row r="59" spans="1:11" ht="12.75" customHeight="1" x14ac:dyDescent="0.25">
      <c r="A59" s="42">
        <v>2008</v>
      </c>
      <c r="B59" s="42" t="s">
        <v>3</v>
      </c>
      <c r="C59" s="43">
        <v>0</v>
      </c>
      <c r="D59" s="43">
        <v>735.36699999999996</v>
      </c>
      <c r="E59" s="43">
        <v>0</v>
      </c>
      <c r="F59" s="43">
        <v>2054.6930000000002</v>
      </c>
      <c r="G59" s="43">
        <v>0</v>
      </c>
      <c r="H59" s="43">
        <v>9437.4839000000011</v>
      </c>
      <c r="I59" s="43">
        <v>0</v>
      </c>
      <c r="J59" s="43"/>
      <c r="K59" s="44">
        <v>12227.543900000001</v>
      </c>
    </row>
    <row r="60" spans="1:11" ht="12.75" customHeight="1" x14ac:dyDescent="0.25">
      <c r="A60" s="42">
        <v>2008</v>
      </c>
      <c r="B60" s="42" t="s">
        <v>4</v>
      </c>
      <c r="C60" s="43">
        <v>0</v>
      </c>
      <c r="D60" s="43">
        <v>922.9078199999999</v>
      </c>
      <c r="E60" s="43">
        <v>0</v>
      </c>
      <c r="F60" s="43">
        <v>2191.4633799999997</v>
      </c>
      <c r="G60" s="43">
        <v>0</v>
      </c>
      <c r="H60" s="43">
        <v>9163.1424000000006</v>
      </c>
      <c r="I60" s="43">
        <v>0</v>
      </c>
      <c r="J60" s="43"/>
      <c r="K60" s="44">
        <v>12277.5136</v>
      </c>
    </row>
    <row r="61" spans="1:11" ht="12.75" customHeight="1" x14ac:dyDescent="0.25">
      <c r="A61" s="42">
        <v>2008</v>
      </c>
      <c r="B61" s="42" t="s">
        <v>5</v>
      </c>
      <c r="C61" s="43">
        <v>0</v>
      </c>
      <c r="D61" s="43">
        <v>207.51587999999998</v>
      </c>
      <c r="E61" s="43">
        <v>0</v>
      </c>
      <c r="F61" s="43">
        <v>2116.9940499999998</v>
      </c>
      <c r="G61" s="43">
        <v>0</v>
      </c>
      <c r="H61" s="43">
        <v>9463.2059000000008</v>
      </c>
      <c r="I61" s="43">
        <v>0</v>
      </c>
      <c r="J61" s="43"/>
      <c r="K61" s="44">
        <v>11787.715830000001</v>
      </c>
    </row>
    <row r="62" spans="1:11" ht="12.75" customHeight="1" x14ac:dyDescent="0.25">
      <c r="A62" s="42">
        <v>2008</v>
      </c>
      <c r="B62" s="42" t="s">
        <v>6</v>
      </c>
      <c r="C62" s="43">
        <v>0</v>
      </c>
      <c r="D62" s="43">
        <v>102.37</v>
      </c>
      <c r="E62" s="43">
        <v>0</v>
      </c>
      <c r="F62" s="43">
        <v>2375.4167000000002</v>
      </c>
      <c r="G62" s="43">
        <v>0</v>
      </c>
      <c r="H62" s="43">
        <v>8882.5330999999987</v>
      </c>
      <c r="I62" s="43">
        <v>0</v>
      </c>
      <c r="J62" s="43"/>
      <c r="K62" s="44">
        <v>11360.319799999999</v>
      </c>
    </row>
    <row r="63" spans="1:11" ht="12.75" customHeight="1" x14ac:dyDescent="0.25">
      <c r="A63" s="42">
        <v>2008</v>
      </c>
      <c r="B63" s="42" t="s">
        <v>7</v>
      </c>
      <c r="C63" s="43">
        <v>0</v>
      </c>
      <c r="D63" s="43">
        <v>61.569830000000003</v>
      </c>
      <c r="E63" s="43">
        <v>0</v>
      </c>
      <c r="F63" s="43">
        <v>2442.1995000000002</v>
      </c>
      <c r="G63" s="43">
        <v>0</v>
      </c>
      <c r="H63" s="43">
        <v>8583.6735000000008</v>
      </c>
      <c r="I63" s="43">
        <v>0</v>
      </c>
      <c r="J63" s="43"/>
      <c r="K63" s="44">
        <v>11087.44283</v>
      </c>
    </row>
    <row r="64" spans="1:11" ht="12.75" customHeight="1" x14ac:dyDescent="0.25">
      <c r="A64" s="42">
        <v>2008</v>
      </c>
      <c r="B64" s="42" t="s">
        <v>8</v>
      </c>
      <c r="C64" s="43">
        <v>0</v>
      </c>
      <c r="D64" s="43">
        <v>315.5455</v>
      </c>
      <c r="E64" s="43">
        <v>0</v>
      </c>
      <c r="F64" s="43">
        <v>2119.0719599999998</v>
      </c>
      <c r="G64" s="43">
        <v>0</v>
      </c>
      <c r="H64" s="43">
        <v>8777.2512999999981</v>
      </c>
      <c r="I64" s="43">
        <v>0</v>
      </c>
      <c r="J64" s="43"/>
      <c r="K64" s="44">
        <v>11211.868759999998</v>
      </c>
    </row>
    <row r="65" spans="1:11" ht="12.75" customHeight="1" x14ac:dyDescent="0.25">
      <c r="A65" s="42">
        <v>2008</v>
      </c>
      <c r="B65" s="42" t="s">
        <v>9</v>
      </c>
      <c r="C65" s="43">
        <v>0</v>
      </c>
      <c r="D65" s="43">
        <v>526.72950000000003</v>
      </c>
      <c r="E65" s="43">
        <v>0</v>
      </c>
      <c r="F65" s="43">
        <v>0</v>
      </c>
      <c r="G65" s="43">
        <v>0</v>
      </c>
      <c r="H65" s="43">
        <v>8533.6011999999992</v>
      </c>
      <c r="I65" s="43">
        <v>0</v>
      </c>
      <c r="J65" s="43"/>
      <c r="K65" s="44">
        <v>9060.3306999999986</v>
      </c>
    </row>
    <row r="66" spans="1:11" ht="12.75" customHeight="1" x14ac:dyDescent="0.25">
      <c r="A66" s="42">
        <v>2008</v>
      </c>
      <c r="B66" s="42" t="s">
        <v>10</v>
      </c>
      <c r="C66" s="43">
        <v>0</v>
      </c>
      <c r="D66" s="43">
        <v>505.06979999999999</v>
      </c>
      <c r="E66" s="43">
        <v>0</v>
      </c>
      <c r="F66" s="43">
        <v>1449.4860000000001</v>
      </c>
      <c r="G66" s="43">
        <v>0</v>
      </c>
      <c r="H66" s="43">
        <v>7418.4147999999996</v>
      </c>
      <c r="I66" s="43">
        <v>0</v>
      </c>
      <c r="J66" s="43"/>
      <c r="K66" s="44">
        <v>9372.9706000000006</v>
      </c>
    </row>
    <row r="67" spans="1:11" ht="12.75" customHeight="1" x14ac:dyDescent="0.25">
      <c r="A67" s="42">
        <v>2008</v>
      </c>
      <c r="B67" s="42" t="s">
        <v>11</v>
      </c>
      <c r="C67" s="43">
        <v>0</v>
      </c>
      <c r="D67" s="43">
        <v>807.41899999999998</v>
      </c>
      <c r="E67" s="43">
        <v>0</v>
      </c>
      <c r="F67" s="43">
        <v>1512.57078</v>
      </c>
      <c r="G67" s="43">
        <v>0</v>
      </c>
      <c r="H67" s="43">
        <v>7641.1083999999992</v>
      </c>
      <c r="I67" s="43">
        <v>0</v>
      </c>
      <c r="J67" s="43"/>
      <c r="K67" s="44">
        <v>9961.098179999999</v>
      </c>
    </row>
    <row r="68" spans="1:11" ht="12.75" customHeight="1" x14ac:dyDescent="0.25">
      <c r="A68" s="42">
        <v>2008</v>
      </c>
      <c r="B68" s="42" t="s">
        <v>12</v>
      </c>
      <c r="C68" s="43">
        <v>0</v>
      </c>
      <c r="D68" s="43">
        <v>857.11030000000005</v>
      </c>
      <c r="E68" s="43">
        <v>0</v>
      </c>
      <c r="F68" s="43">
        <v>1899.174</v>
      </c>
      <c r="G68" s="43">
        <v>0</v>
      </c>
      <c r="H68" s="43">
        <v>7450.8009000000002</v>
      </c>
      <c r="I68" s="43">
        <v>0</v>
      </c>
      <c r="J68" s="43"/>
      <c r="K68" s="44">
        <v>10207.085200000001</v>
      </c>
    </row>
    <row r="69" spans="1:11" ht="12.75" customHeight="1" x14ac:dyDescent="0.25">
      <c r="A69" s="42">
        <v>2008</v>
      </c>
      <c r="B69" s="42" t="s">
        <v>13</v>
      </c>
      <c r="C69" s="43">
        <v>0</v>
      </c>
      <c r="D69" s="43">
        <v>286.0204</v>
      </c>
      <c r="E69" s="43">
        <v>0</v>
      </c>
      <c r="F69" s="43">
        <v>2082.0341000000003</v>
      </c>
      <c r="G69" s="43">
        <v>0</v>
      </c>
      <c r="H69" s="43">
        <v>6913.5655999999999</v>
      </c>
      <c r="I69" s="43">
        <v>0</v>
      </c>
      <c r="J69" s="43"/>
      <c r="K69" s="44">
        <v>9281.6201000000001</v>
      </c>
    </row>
    <row r="70" spans="1:11" ht="12.75" customHeight="1" x14ac:dyDescent="0.25">
      <c r="A70" s="42">
        <v>2008</v>
      </c>
      <c r="B70" s="42" t="s">
        <v>14</v>
      </c>
      <c r="C70" s="43">
        <v>0</v>
      </c>
      <c r="D70" s="43">
        <v>201.6</v>
      </c>
      <c r="E70" s="43">
        <v>0</v>
      </c>
      <c r="F70" s="43">
        <v>2089.6161999999999</v>
      </c>
      <c r="G70" s="43">
        <v>0</v>
      </c>
      <c r="H70" s="43">
        <v>5870.9578000000001</v>
      </c>
      <c r="I70" s="43">
        <v>0</v>
      </c>
      <c r="J70" s="43"/>
      <c r="K70" s="44">
        <v>8162.174</v>
      </c>
    </row>
    <row r="71" spans="1:11" ht="12.75" customHeight="1" x14ac:dyDescent="0.25">
      <c r="A71" s="42">
        <v>2008</v>
      </c>
      <c r="B71" s="42" t="s">
        <v>15</v>
      </c>
      <c r="C71" s="43">
        <v>0</v>
      </c>
      <c r="D71" s="43">
        <v>5529.2250300000005</v>
      </c>
      <c r="E71" s="43">
        <v>0</v>
      </c>
      <c r="F71" s="43">
        <v>22332.719670000002</v>
      </c>
      <c r="G71" s="43">
        <v>0</v>
      </c>
      <c r="H71" s="43">
        <v>98135.738800000006</v>
      </c>
      <c r="I71" s="43">
        <v>0</v>
      </c>
      <c r="J71" s="43"/>
      <c r="K71" s="44">
        <v>125997.68350000001</v>
      </c>
    </row>
    <row r="72" spans="1:11" ht="12.75" customHeight="1" x14ac:dyDescent="0.25">
      <c r="A72" s="42">
        <v>2009</v>
      </c>
      <c r="B72" s="42" t="s">
        <v>3</v>
      </c>
      <c r="C72" s="43">
        <v>0</v>
      </c>
      <c r="D72" s="43">
        <v>163.15864000000002</v>
      </c>
      <c r="E72" s="43">
        <v>0</v>
      </c>
      <c r="F72" s="43">
        <v>2027.4549999999999</v>
      </c>
      <c r="G72" s="43">
        <v>0</v>
      </c>
      <c r="H72" s="43">
        <v>7840.6706399999994</v>
      </c>
      <c r="I72" s="43">
        <v>0</v>
      </c>
      <c r="J72" s="43"/>
      <c r="K72" s="44">
        <v>10031.28428</v>
      </c>
    </row>
    <row r="73" spans="1:11" ht="12.75" customHeight="1" x14ac:dyDescent="0.25">
      <c r="A73" s="42">
        <v>2009</v>
      </c>
      <c r="B73" s="42" t="s">
        <v>4</v>
      </c>
      <c r="C73" s="43">
        <v>0</v>
      </c>
      <c r="D73" s="43">
        <v>141.19999999999999</v>
      </c>
      <c r="E73" s="43">
        <v>0</v>
      </c>
      <c r="F73" s="43">
        <v>2044.6033</v>
      </c>
      <c r="G73" s="43">
        <v>0</v>
      </c>
      <c r="H73" s="43">
        <v>5804.2950999999994</v>
      </c>
      <c r="I73" s="43">
        <v>0</v>
      </c>
      <c r="J73" s="43"/>
      <c r="K73" s="44">
        <v>7990.0983999999989</v>
      </c>
    </row>
    <row r="74" spans="1:11" ht="12.75" customHeight="1" x14ac:dyDescent="0.25">
      <c r="A74" s="42">
        <v>2009</v>
      </c>
      <c r="B74" s="42" t="s">
        <v>5</v>
      </c>
      <c r="C74" s="43">
        <v>0</v>
      </c>
      <c r="D74" s="43">
        <v>25.7</v>
      </c>
      <c r="E74" s="43">
        <v>0</v>
      </c>
      <c r="F74" s="43">
        <v>2024.73</v>
      </c>
      <c r="G74" s="43">
        <v>0</v>
      </c>
      <c r="H74" s="43">
        <v>5145.8710000000001</v>
      </c>
      <c r="I74" s="43">
        <v>0</v>
      </c>
      <c r="J74" s="43"/>
      <c r="K74" s="44">
        <v>7196.3009999999995</v>
      </c>
    </row>
    <row r="75" spans="1:11" ht="12.75" customHeight="1" x14ac:dyDescent="0.25">
      <c r="A75" s="42">
        <v>2009</v>
      </c>
      <c r="B75" s="42" t="s">
        <v>6</v>
      </c>
      <c r="C75" s="43">
        <v>0</v>
      </c>
      <c r="D75" s="43">
        <v>158.1</v>
      </c>
      <c r="E75" s="43">
        <v>0</v>
      </c>
      <c r="F75" s="43">
        <v>2015.4540200000001</v>
      </c>
      <c r="G75" s="43">
        <v>0</v>
      </c>
      <c r="H75" s="43">
        <v>6090.2951499999999</v>
      </c>
      <c r="I75" s="43">
        <v>0</v>
      </c>
      <c r="J75" s="43"/>
      <c r="K75" s="44">
        <v>8263.8491699999995</v>
      </c>
    </row>
    <row r="76" spans="1:11" ht="12.75" customHeight="1" x14ac:dyDescent="0.25">
      <c r="A76" s="42">
        <v>2009</v>
      </c>
      <c r="B76" s="42" t="s">
        <v>7</v>
      </c>
      <c r="C76" s="43">
        <v>0</v>
      </c>
      <c r="D76" s="43">
        <v>120.5</v>
      </c>
      <c r="E76" s="43">
        <v>0</v>
      </c>
      <c r="F76" s="43">
        <v>1674.5617100000002</v>
      </c>
      <c r="G76" s="43">
        <v>0</v>
      </c>
      <c r="H76" s="43">
        <v>6349.5502699999997</v>
      </c>
      <c r="I76" s="43">
        <v>0</v>
      </c>
      <c r="J76" s="43"/>
      <c r="K76" s="44">
        <v>8144.6119799999997</v>
      </c>
    </row>
    <row r="77" spans="1:11" ht="12.75" customHeight="1" x14ac:dyDescent="0.25">
      <c r="A77" s="42">
        <v>2009</v>
      </c>
      <c r="B77" s="42" t="s">
        <v>8</v>
      </c>
      <c r="C77" s="43">
        <v>0</v>
      </c>
      <c r="D77" s="43">
        <v>160.4</v>
      </c>
      <c r="E77" s="43">
        <v>0</v>
      </c>
      <c r="F77" s="43">
        <v>1725.17824</v>
      </c>
      <c r="G77" s="43">
        <v>0</v>
      </c>
      <c r="H77" s="43">
        <v>6899.2422200000001</v>
      </c>
      <c r="I77" s="43">
        <v>0</v>
      </c>
      <c r="J77" s="43"/>
      <c r="K77" s="44">
        <v>8784.8204600000008</v>
      </c>
    </row>
    <row r="78" spans="1:11" ht="12.75" customHeight="1" x14ac:dyDescent="0.25">
      <c r="A78" s="42">
        <v>2009</v>
      </c>
      <c r="B78" s="42" t="s">
        <v>9</v>
      </c>
      <c r="C78" s="43">
        <v>0</v>
      </c>
      <c r="D78" s="43">
        <v>141.1</v>
      </c>
      <c r="E78" s="43">
        <v>0</v>
      </c>
      <c r="F78" s="43">
        <v>2346.79574</v>
      </c>
      <c r="G78" s="43">
        <v>0</v>
      </c>
      <c r="H78" s="43">
        <v>6793.3167199999998</v>
      </c>
      <c r="I78" s="43">
        <v>0</v>
      </c>
      <c r="J78" s="43"/>
      <c r="K78" s="44">
        <v>9281.2124599999988</v>
      </c>
    </row>
    <row r="79" spans="1:11" ht="12.75" customHeight="1" x14ac:dyDescent="0.25">
      <c r="A79" s="42">
        <v>2009</v>
      </c>
      <c r="B79" s="42" t="s">
        <v>10</v>
      </c>
      <c r="C79" s="43">
        <v>0</v>
      </c>
      <c r="D79" s="43">
        <v>134.4</v>
      </c>
      <c r="E79" s="43">
        <v>0</v>
      </c>
      <c r="F79" s="43">
        <v>2186.0620299999996</v>
      </c>
      <c r="G79" s="43">
        <v>0</v>
      </c>
      <c r="H79" s="43">
        <v>5802.2649799999999</v>
      </c>
      <c r="I79" s="43">
        <v>0</v>
      </c>
      <c r="J79" s="43"/>
      <c r="K79" s="44">
        <v>8122.7270099999996</v>
      </c>
    </row>
    <row r="80" spans="1:11" ht="12.75" customHeight="1" x14ac:dyDescent="0.25">
      <c r="A80" s="42">
        <v>2009</v>
      </c>
      <c r="B80" s="42" t="s">
        <v>11</v>
      </c>
      <c r="C80" s="43">
        <v>0</v>
      </c>
      <c r="D80" s="43">
        <v>43.6</v>
      </c>
      <c r="E80" s="43">
        <v>0</v>
      </c>
      <c r="F80" s="43">
        <v>2085.9315500000002</v>
      </c>
      <c r="G80" s="43">
        <v>0</v>
      </c>
      <c r="H80" s="43">
        <v>7118.4238700000005</v>
      </c>
      <c r="I80" s="43">
        <v>0</v>
      </c>
      <c r="J80" s="43"/>
      <c r="K80" s="44">
        <v>9247.9554200000002</v>
      </c>
    </row>
    <row r="81" spans="1:11" ht="12.75" customHeight="1" x14ac:dyDescent="0.25">
      <c r="A81" s="42">
        <v>2009</v>
      </c>
      <c r="B81" s="42" t="s">
        <v>12</v>
      </c>
      <c r="C81" s="43">
        <v>0</v>
      </c>
      <c r="D81" s="43">
        <v>39.200000000000003</v>
      </c>
      <c r="E81" s="43">
        <v>0</v>
      </c>
      <c r="F81" s="43">
        <v>2014.75379</v>
      </c>
      <c r="G81" s="43">
        <v>0</v>
      </c>
      <c r="H81" s="43">
        <v>5559.1010199999992</v>
      </c>
      <c r="I81" s="43">
        <v>0</v>
      </c>
      <c r="J81" s="43"/>
      <c r="K81" s="44">
        <v>7613.0548099999996</v>
      </c>
    </row>
    <row r="82" spans="1:11" ht="12.75" customHeight="1" x14ac:dyDescent="0.25">
      <c r="A82" s="42">
        <v>2009</v>
      </c>
      <c r="B82" s="42" t="s">
        <v>13</v>
      </c>
      <c r="C82" s="43">
        <v>0</v>
      </c>
      <c r="D82" s="43">
        <v>110.3</v>
      </c>
      <c r="E82" s="43">
        <v>0</v>
      </c>
      <c r="F82" s="43">
        <v>1776.3525900000002</v>
      </c>
      <c r="G82" s="43">
        <v>0</v>
      </c>
      <c r="H82" s="43">
        <v>8274.6564399999988</v>
      </c>
      <c r="I82" s="43">
        <v>0</v>
      </c>
      <c r="J82" s="43"/>
      <c r="K82" s="44">
        <v>10161.309029999999</v>
      </c>
    </row>
    <row r="83" spans="1:11" ht="12.75" customHeight="1" x14ac:dyDescent="0.25">
      <c r="A83" s="42">
        <v>2009</v>
      </c>
      <c r="B83" s="42" t="s">
        <v>14</v>
      </c>
      <c r="C83" s="43">
        <v>0</v>
      </c>
      <c r="D83" s="43">
        <v>114.1</v>
      </c>
      <c r="E83" s="43">
        <v>0</v>
      </c>
      <c r="F83" s="43">
        <v>2005.3679500000001</v>
      </c>
      <c r="G83" s="43">
        <v>0</v>
      </c>
      <c r="H83" s="43">
        <v>7870.3487100000002</v>
      </c>
      <c r="I83" s="43">
        <v>0</v>
      </c>
      <c r="J83" s="43"/>
      <c r="K83" s="44">
        <v>9989.8166600000004</v>
      </c>
    </row>
    <row r="84" spans="1:11" ht="12.75" customHeight="1" x14ac:dyDescent="0.25">
      <c r="A84" s="42">
        <v>2009</v>
      </c>
      <c r="B84" s="42" t="s">
        <v>15</v>
      </c>
      <c r="C84" s="43">
        <v>0</v>
      </c>
      <c r="D84" s="43">
        <v>1351.7586399999998</v>
      </c>
      <c r="E84" s="43">
        <v>0</v>
      </c>
      <c r="F84" s="43">
        <v>23927.245919999998</v>
      </c>
      <c r="G84" s="43">
        <v>0</v>
      </c>
      <c r="H84" s="43">
        <v>79548.036120000004</v>
      </c>
      <c r="I84" s="43">
        <v>0</v>
      </c>
      <c r="J84" s="43"/>
      <c r="K84" s="44">
        <v>104827.04068000001</v>
      </c>
    </row>
    <row r="85" spans="1:11" ht="12.75" customHeight="1" x14ac:dyDescent="0.25">
      <c r="A85" s="42">
        <v>2010</v>
      </c>
      <c r="B85" s="42" t="s">
        <v>3</v>
      </c>
      <c r="C85" s="43">
        <v>0</v>
      </c>
      <c r="D85" s="43">
        <v>51.7</v>
      </c>
      <c r="E85" s="43">
        <v>0</v>
      </c>
      <c r="F85" s="43">
        <v>1911.1970900000001</v>
      </c>
      <c r="G85" s="43">
        <v>0</v>
      </c>
      <c r="H85" s="43">
        <v>8825.4115599999986</v>
      </c>
      <c r="I85" s="43">
        <v>0</v>
      </c>
      <c r="J85" s="43"/>
      <c r="K85" s="44">
        <v>10788.308649999999</v>
      </c>
    </row>
    <row r="86" spans="1:11" ht="12.75" customHeight="1" x14ac:dyDescent="0.25">
      <c r="A86" s="42">
        <v>2010</v>
      </c>
      <c r="B86" s="42" t="s">
        <v>4</v>
      </c>
      <c r="C86" s="43">
        <v>0</v>
      </c>
      <c r="D86" s="43">
        <v>45.7</v>
      </c>
      <c r="E86" s="43">
        <v>0</v>
      </c>
      <c r="F86" s="43">
        <v>1619.90976</v>
      </c>
      <c r="G86" s="43">
        <v>0</v>
      </c>
      <c r="H86" s="43">
        <v>7711.6379599999991</v>
      </c>
      <c r="I86" s="43">
        <v>0</v>
      </c>
      <c r="J86" s="43"/>
      <c r="K86" s="44">
        <v>9377.2477199999994</v>
      </c>
    </row>
    <row r="87" spans="1:11" ht="12.75" customHeight="1" x14ac:dyDescent="0.25">
      <c r="A87" s="42">
        <v>2010</v>
      </c>
      <c r="B87" s="42" t="s">
        <v>5</v>
      </c>
      <c r="C87" s="43">
        <v>0</v>
      </c>
      <c r="D87" s="43">
        <v>27.2</v>
      </c>
      <c r="E87" s="43">
        <v>0</v>
      </c>
      <c r="F87" s="43">
        <v>1914.46524</v>
      </c>
      <c r="G87" s="43">
        <v>0</v>
      </c>
      <c r="H87" s="43">
        <v>9020.9987500000007</v>
      </c>
      <c r="I87" s="43">
        <v>0</v>
      </c>
      <c r="J87" s="43"/>
      <c r="K87" s="44">
        <v>10962.663990000001</v>
      </c>
    </row>
    <row r="88" spans="1:11" ht="12.75" customHeight="1" x14ac:dyDescent="0.25">
      <c r="A88" s="42">
        <v>2010</v>
      </c>
      <c r="B88" s="42" t="s">
        <v>6</v>
      </c>
      <c r="C88" s="43">
        <v>0</v>
      </c>
      <c r="D88" s="43">
        <v>1</v>
      </c>
      <c r="E88" s="43">
        <v>0</v>
      </c>
      <c r="F88" s="43">
        <v>1026.9758299999999</v>
      </c>
      <c r="G88" s="43">
        <v>0</v>
      </c>
      <c r="H88" s="43">
        <v>5559.3845799999999</v>
      </c>
      <c r="I88" s="43">
        <v>0</v>
      </c>
      <c r="J88" s="43"/>
      <c r="K88" s="44">
        <v>6587.3604099999993</v>
      </c>
    </row>
    <row r="89" spans="1:11" ht="12.75" customHeight="1" x14ac:dyDescent="0.25">
      <c r="A89" s="42">
        <v>2010</v>
      </c>
      <c r="B89" s="42" t="s">
        <v>7</v>
      </c>
      <c r="C89" s="43">
        <v>0</v>
      </c>
      <c r="D89" s="43">
        <v>4</v>
      </c>
      <c r="E89" s="43">
        <v>0</v>
      </c>
      <c r="F89" s="43">
        <v>1381.30846</v>
      </c>
      <c r="G89" s="43">
        <v>0</v>
      </c>
      <c r="H89" s="43">
        <v>6306.76404</v>
      </c>
      <c r="I89" s="43">
        <v>0</v>
      </c>
      <c r="J89" s="43"/>
      <c r="K89" s="44">
        <v>7692.0725000000002</v>
      </c>
    </row>
    <row r="90" spans="1:11" ht="12.75" customHeight="1" x14ac:dyDescent="0.25">
      <c r="A90" s="42">
        <v>2010</v>
      </c>
      <c r="B90" s="42" t="s">
        <v>8</v>
      </c>
      <c r="C90" s="43">
        <v>0</v>
      </c>
      <c r="D90" s="43">
        <v>3.4</v>
      </c>
      <c r="E90" s="43">
        <v>0</v>
      </c>
      <c r="F90" s="43">
        <v>1726.9803200000001</v>
      </c>
      <c r="G90" s="43">
        <v>0</v>
      </c>
      <c r="H90" s="43">
        <v>5887.3197799999989</v>
      </c>
      <c r="I90" s="43">
        <v>0</v>
      </c>
      <c r="J90" s="43"/>
      <c r="K90" s="44">
        <v>7617.7000999999991</v>
      </c>
    </row>
    <row r="91" spans="1:11" ht="12.75" customHeight="1" x14ac:dyDescent="0.25">
      <c r="A91" s="42">
        <v>2010</v>
      </c>
      <c r="B91" s="42" t="s">
        <v>9</v>
      </c>
      <c r="C91" s="43">
        <v>0</v>
      </c>
      <c r="D91" s="43">
        <v>10.8</v>
      </c>
      <c r="E91" s="43">
        <v>0</v>
      </c>
      <c r="F91" s="43">
        <v>1243.8828000000001</v>
      </c>
      <c r="G91" s="43">
        <v>0</v>
      </c>
      <c r="H91" s="43">
        <v>5608.7500399999999</v>
      </c>
      <c r="I91" s="43">
        <v>0</v>
      </c>
      <c r="J91" s="43"/>
      <c r="K91" s="44">
        <v>6863.4328399999995</v>
      </c>
    </row>
    <row r="92" spans="1:11" ht="12.75" customHeight="1" x14ac:dyDescent="0.25">
      <c r="A92" s="42">
        <v>2010</v>
      </c>
      <c r="B92" s="42" t="s">
        <v>10</v>
      </c>
      <c r="C92" s="43">
        <v>0</v>
      </c>
      <c r="D92" s="43">
        <v>244.9</v>
      </c>
      <c r="E92" s="43">
        <v>0</v>
      </c>
      <c r="F92" s="43">
        <v>253.29551000000001</v>
      </c>
      <c r="G92" s="43">
        <v>0</v>
      </c>
      <c r="H92" s="43">
        <v>3954.1158700000001</v>
      </c>
      <c r="I92" s="43">
        <v>0</v>
      </c>
      <c r="J92" s="43"/>
      <c r="K92" s="44">
        <v>4452.3113800000001</v>
      </c>
    </row>
    <row r="93" spans="1:11" ht="12.75" customHeight="1" x14ac:dyDescent="0.25">
      <c r="A93" s="42">
        <v>2010</v>
      </c>
      <c r="B93" s="42" t="s">
        <v>11</v>
      </c>
      <c r="C93" s="43">
        <v>0</v>
      </c>
      <c r="D93" s="43">
        <v>274.39999999999998</v>
      </c>
      <c r="E93" s="43">
        <v>0</v>
      </c>
      <c r="F93" s="43">
        <v>1176.9939899999999</v>
      </c>
      <c r="G93" s="43">
        <v>0</v>
      </c>
      <c r="H93" s="43">
        <v>4464.8055100000001</v>
      </c>
      <c r="I93" s="43">
        <v>0</v>
      </c>
      <c r="J93" s="43"/>
      <c r="K93" s="44">
        <v>5916.1995000000006</v>
      </c>
    </row>
    <row r="94" spans="1:11" ht="12.75" customHeight="1" x14ac:dyDescent="0.25">
      <c r="A94" s="42">
        <v>2010</v>
      </c>
      <c r="B94" s="42" t="s">
        <v>12</v>
      </c>
      <c r="C94" s="43">
        <v>0</v>
      </c>
      <c r="D94" s="43">
        <v>339.30000999999999</v>
      </c>
      <c r="E94" s="43">
        <v>0</v>
      </c>
      <c r="F94" s="43">
        <v>2124.2170700000001</v>
      </c>
      <c r="G94" s="43">
        <v>0</v>
      </c>
      <c r="H94" s="43">
        <v>6386.1113499999983</v>
      </c>
      <c r="I94" s="43">
        <v>0</v>
      </c>
      <c r="J94" s="43"/>
      <c r="K94" s="44">
        <v>8849.6284299999988</v>
      </c>
    </row>
    <row r="95" spans="1:11" ht="12.75" customHeight="1" x14ac:dyDescent="0.25">
      <c r="A95" s="42">
        <v>2010</v>
      </c>
      <c r="B95" s="42" t="s">
        <v>13</v>
      </c>
      <c r="C95" s="43">
        <v>0</v>
      </c>
      <c r="D95" s="43">
        <v>270</v>
      </c>
      <c r="E95" s="43">
        <v>0</v>
      </c>
      <c r="F95" s="43">
        <v>2117.4290099999998</v>
      </c>
      <c r="G95" s="43">
        <v>0</v>
      </c>
      <c r="H95" s="43">
        <v>7126.38</v>
      </c>
      <c r="I95" s="43">
        <v>0</v>
      </c>
      <c r="J95" s="43"/>
      <c r="K95" s="44">
        <v>9513.8090100000009</v>
      </c>
    </row>
    <row r="96" spans="1:11" ht="12.75" customHeight="1" x14ac:dyDescent="0.25">
      <c r="A96" s="42">
        <v>2010</v>
      </c>
      <c r="B96" s="42" t="s">
        <v>14</v>
      </c>
      <c r="C96" s="43">
        <v>0</v>
      </c>
      <c r="D96" s="43">
        <v>544</v>
      </c>
      <c r="E96" s="43">
        <v>0</v>
      </c>
      <c r="F96" s="43">
        <v>2306.94148</v>
      </c>
      <c r="G96" s="43">
        <v>0</v>
      </c>
      <c r="H96" s="43">
        <v>8551.3952299999983</v>
      </c>
      <c r="I96" s="43">
        <v>0</v>
      </c>
      <c r="J96" s="43"/>
      <c r="K96" s="44">
        <v>11402.336709999998</v>
      </c>
    </row>
    <row r="97" spans="1:11" ht="12.75" customHeight="1" x14ac:dyDescent="0.25">
      <c r="A97" s="42">
        <v>2010</v>
      </c>
      <c r="B97" s="42" t="s">
        <v>15</v>
      </c>
      <c r="C97" s="43">
        <v>0</v>
      </c>
      <c r="D97" s="43">
        <v>1816.4000100000001</v>
      </c>
      <c r="E97" s="43">
        <v>0</v>
      </c>
      <c r="F97" s="43">
        <v>18803.596559999998</v>
      </c>
      <c r="G97" s="43">
        <v>0</v>
      </c>
      <c r="H97" s="43">
        <v>79403.074669999987</v>
      </c>
      <c r="I97" s="43">
        <v>0</v>
      </c>
      <c r="J97" s="43"/>
      <c r="K97" s="44">
        <v>100023.07123999999</v>
      </c>
    </row>
    <row r="98" spans="1:11" ht="12.75" customHeight="1" x14ac:dyDescent="0.25">
      <c r="A98" s="42">
        <v>2011</v>
      </c>
      <c r="B98" s="42" t="s">
        <v>3</v>
      </c>
      <c r="C98" s="43">
        <v>0</v>
      </c>
      <c r="D98" s="43">
        <v>343.9</v>
      </c>
      <c r="E98" s="43">
        <v>0</v>
      </c>
      <c r="F98" s="43">
        <v>1942.6142100000002</v>
      </c>
      <c r="G98" s="43">
        <v>0</v>
      </c>
      <c r="H98" s="43">
        <v>9051.7864800000007</v>
      </c>
      <c r="I98" s="43">
        <v>0</v>
      </c>
      <c r="J98" s="43"/>
      <c r="K98" s="44">
        <v>11338.30069</v>
      </c>
    </row>
    <row r="99" spans="1:11" ht="12.75" customHeight="1" x14ac:dyDescent="0.25">
      <c r="A99" s="42">
        <v>2011</v>
      </c>
      <c r="B99" s="42" t="s">
        <v>4</v>
      </c>
      <c r="C99" s="43">
        <v>0</v>
      </c>
      <c r="D99" s="43">
        <v>626</v>
      </c>
      <c r="E99" s="43">
        <v>0</v>
      </c>
      <c r="F99" s="43">
        <v>2002.5949500000002</v>
      </c>
      <c r="G99" s="43">
        <v>0</v>
      </c>
      <c r="H99" s="43">
        <v>8272.1583599999994</v>
      </c>
      <c r="I99" s="43">
        <v>0</v>
      </c>
      <c r="J99" s="43"/>
      <c r="K99" s="44">
        <v>10900.75331</v>
      </c>
    </row>
    <row r="100" spans="1:11" ht="12.75" customHeight="1" x14ac:dyDescent="0.25">
      <c r="A100" s="42">
        <v>2011</v>
      </c>
      <c r="B100" s="42" t="s">
        <v>5</v>
      </c>
      <c r="C100" s="43">
        <v>405.51792999999998</v>
      </c>
      <c r="D100" s="43">
        <v>818.6</v>
      </c>
      <c r="E100" s="43">
        <v>0</v>
      </c>
      <c r="F100" s="43">
        <v>1766.17136</v>
      </c>
      <c r="G100" s="43">
        <v>0</v>
      </c>
      <c r="H100" s="43">
        <v>9168.7824600000004</v>
      </c>
      <c r="I100" s="43">
        <v>0</v>
      </c>
      <c r="J100" s="43"/>
      <c r="K100" s="44">
        <v>12159.071749999999</v>
      </c>
    </row>
    <row r="101" spans="1:11" ht="12.75" customHeight="1" x14ac:dyDescent="0.25">
      <c r="A101" s="42">
        <v>2011</v>
      </c>
      <c r="B101" s="42" t="s">
        <v>6</v>
      </c>
      <c r="C101" s="43">
        <v>2473.95795</v>
      </c>
      <c r="D101" s="43">
        <v>411.58640000000003</v>
      </c>
      <c r="E101" s="43">
        <v>0</v>
      </c>
      <c r="F101" s="43">
        <v>1137.19615</v>
      </c>
      <c r="G101" s="43">
        <v>0</v>
      </c>
      <c r="H101" s="43">
        <v>4791.4249399999999</v>
      </c>
      <c r="I101" s="43">
        <v>0</v>
      </c>
      <c r="J101" s="43"/>
      <c r="K101" s="44">
        <v>8814.1654400000007</v>
      </c>
    </row>
    <row r="102" spans="1:11" ht="12.75" customHeight="1" x14ac:dyDescent="0.25">
      <c r="A102" s="42">
        <v>2011</v>
      </c>
      <c r="B102" s="42" t="s">
        <v>7</v>
      </c>
      <c r="C102" s="43">
        <v>2878.0010600000001</v>
      </c>
      <c r="D102" s="43">
        <v>348.7</v>
      </c>
      <c r="E102" s="43">
        <v>0</v>
      </c>
      <c r="F102" s="43">
        <v>1292.70155</v>
      </c>
      <c r="G102" s="43">
        <v>0</v>
      </c>
      <c r="H102" s="43">
        <v>4667.8539800000008</v>
      </c>
      <c r="I102" s="43">
        <v>0</v>
      </c>
      <c r="J102" s="43"/>
      <c r="K102" s="44">
        <v>9187.2565900000009</v>
      </c>
    </row>
    <row r="103" spans="1:11" ht="12.75" customHeight="1" x14ac:dyDescent="0.25">
      <c r="A103" s="42">
        <v>2011</v>
      </c>
      <c r="B103" s="42" t="s">
        <v>8</v>
      </c>
      <c r="C103" s="43">
        <v>3168.2275099999997</v>
      </c>
      <c r="D103" s="43">
        <v>656.9</v>
      </c>
      <c r="E103" s="43">
        <v>0</v>
      </c>
      <c r="F103" s="43">
        <v>1124.2217900000001</v>
      </c>
      <c r="G103" s="43">
        <v>0</v>
      </c>
      <c r="H103" s="43">
        <v>8314.2982300000003</v>
      </c>
      <c r="I103" s="43">
        <v>0</v>
      </c>
      <c r="J103" s="43"/>
      <c r="K103" s="44">
        <v>13263.64753</v>
      </c>
    </row>
    <row r="104" spans="1:11" ht="12.75" customHeight="1" x14ac:dyDescent="0.25">
      <c r="A104" s="42">
        <v>2011</v>
      </c>
      <c r="B104" s="42" t="s">
        <v>9</v>
      </c>
      <c r="C104" s="43">
        <v>2362.5889400000001</v>
      </c>
      <c r="D104" s="43">
        <v>0</v>
      </c>
      <c r="E104" s="43">
        <v>299.28020000000004</v>
      </c>
      <c r="F104" s="43">
        <v>1915.6116100000002</v>
      </c>
      <c r="G104" s="43">
        <v>0</v>
      </c>
      <c r="H104" s="43">
        <v>6402.1754199999996</v>
      </c>
      <c r="I104" s="43">
        <v>0</v>
      </c>
      <c r="J104" s="43"/>
      <c r="K104" s="44">
        <v>10979.65617</v>
      </c>
    </row>
    <row r="105" spans="1:11" ht="12.75" customHeight="1" x14ac:dyDescent="0.25">
      <c r="A105" s="42">
        <v>2011</v>
      </c>
      <c r="B105" s="42" t="s">
        <v>10</v>
      </c>
      <c r="C105" s="43">
        <v>1611.67758</v>
      </c>
      <c r="D105" s="43">
        <v>0</v>
      </c>
      <c r="E105" s="43">
        <v>306.78537</v>
      </c>
      <c r="F105" s="43">
        <v>2349.5146800000002</v>
      </c>
      <c r="G105" s="43">
        <v>0</v>
      </c>
      <c r="H105" s="43">
        <v>3668.1049700000003</v>
      </c>
      <c r="I105" s="43">
        <v>0</v>
      </c>
      <c r="J105" s="43"/>
      <c r="K105" s="44">
        <v>7936.0826000000006</v>
      </c>
    </row>
    <row r="106" spans="1:11" ht="12.75" customHeight="1" x14ac:dyDescent="0.25">
      <c r="A106" s="42">
        <v>2011</v>
      </c>
      <c r="B106" s="42" t="s">
        <v>11</v>
      </c>
      <c r="C106" s="43">
        <v>2257.4849599999998</v>
      </c>
      <c r="D106" s="43">
        <v>129</v>
      </c>
      <c r="E106" s="43">
        <v>257.76261</v>
      </c>
      <c r="F106" s="43">
        <v>1898.19865</v>
      </c>
      <c r="G106" s="43">
        <v>0</v>
      </c>
      <c r="H106" s="43">
        <v>5820.7671399999999</v>
      </c>
      <c r="I106" s="43">
        <v>0</v>
      </c>
      <c r="J106" s="43"/>
      <c r="K106" s="44">
        <v>10363.21336</v>
      </c>
    </row>
    <row r="107" spans="1:11" ht="12.75" customHeight="1" x14ac:dyDescent="0.25">
      <c r="A107" s="42">
        <v>2011</v>
      </c>
      <c r="B107" s="42" t="s">
        <v>12</v>
      </c>
      <c r="C107" s="43">
        <v>3040.0745899999997</v>
      </c>
      <c r="D107" s="43">
        <v>244.85883000000001</v>
      </c>
      <c r="E107" s="43">
        <v>299.57747999999998</v>
      </c>
      <c r="F107" s="43">
        <v>2773.9441100000004</v>
      </c>
      <c r="G107" s="43">
        <v>0</v>
      </c>
      <c r="H107" s="43">
        <v>6362.9151300000003</v>
      </c>
      <c r="I107" s="43">
        <v>0</v>
      </c>
      <c r="J107" s="43"/>
      <c r="K107" s="44">
        <v>12721.370139999999</v>
      </c>
    </row>
    <row r="108" spans="1:11" ht="12.75" customHeight="1" x14ac:dyDescent="0.25">
      <c r="A108" s="42">
        <v>2011</v>
      </c>
      <c r="B108" s="42" t="s">
        <v>13</v>
      </c>
      <c r="C108" s="43">
        <v>2880.0604500000004</v>
      </c>
      <c r="D108" s="43">
        <v>446.5</v>
      </c>
      <c r="E108" s="43">
        <v>0</v>
      </c>
      <c r="F108" s="43">
        <v>2984.7393000000002</v>
      </c>
      <c r="G108" s="43">
        <v>0</v>
      </c>
      <c r="H108" s="43">
        <v>6372.1641999999993</v>
      </c>
      <c r="I108" s="43">
        <v>0</v>
      </c>
      <c r="J108" s="43"/>
      <c r="K108" s="44">
        <v>12683.463949999999</v>
      </c>
    </row>
    <row r="109" spans="1:11" ht="12.75" customHeight="1" x14ac:dyDescent="0.25">
      <c r="A109" s="42">
        <v>2011</v>
      </c>
      <c r="B109" s="42" t="s">
        <v>14</v>
      </c>
      <c r="C109" s="43">
        <v>2496.9171799999999</v>
      </c>
      <c r="D109" s="43">
        <v>458.8</v>
      </c>
      <c r="E109" s="43">
        <v>0</v>
      </c>
      <c r="F109" s="43">
        <v>2880.3650400000001</v>
      </c>
      <c r="G109" s="43">
        <v>0</v>
      </c>
      <c r="H109" s="43">
        <v>7486.7044399999995</v>
      </c>
      <c r="I109" s="43">
        <v>0</v>
      </c>
      <c r="J109" s="43"/>
      <c r="K109" s="44">
        <v>13322.78666</v>
      </c>
    </row>
    <row r="110" spans="1:11" ht="12.75" customHeight="1" x14ac:dyDescent="0.25">
      <c r="A110" s="42">
        <v>2011</v>
      </c>
      <c r="B110" s="42" t="s">
        <v>15</v>
      </c>
      <c r="C110" s="43">
        <v>23574.508150000001</v>
      </c>
      <c r="D110" s="43">
        <v>4484.8452299999999</v>
      </c>
      <c r="E110" s="43">
        <v>1163.4056599999999</v>
      </c>
      <c r="F110" s="43">
        <v>24067.8734</v>
      </c>
      <c r="G110" s="43">
        <v>0</v>
      </c>
      <c r="H110" s="43">
        <v>80379.135750000001</v>
      </c>
      <c r="I110" s="43">
        <v>0</v>
      </c>
      <c r="J110" s="43"/>
      <c r="K110" s="44">
        <v>133669.76819</v>
      </c>
    </row>
    <row r="111" spans="1:11" ht="12.75" customHeight="1" x14ac:dyDescent="0.25">
      <c r="A111" s="42">
        <v>2012</v>
      </c>
      <c r="B111" s="42" t="s">
        <v>3</v>
      </c>
      <c r="C111" s="43">
        <v>3339.1929100000002</v>
      </c>
      <c r="D111" s="43">
        <v>493.2</v>
      </c>
      <c r="E111" s="43">
        <v>0</v>
      </c>
      <c r="F111" s="43">
        <v>2914.1392300000002</v>
      </c>
      <c r="G111" s="43">
        <v>0</v>
      </c>
      <c r="H111" s="43">
        <v>8267.9588899999999</v>
      </c>
      <c r="I111" s="43">
        <v>0</v>
      </c>
      <c r="J111" s="43"/>
      <c r="K111" s="44">
        <v>15014.491030000001</v>
      </c>
    </row>
    <row r="112" spans="1:11" ht="12.75" customHeight="1" x14ac:dyDescent="0.25">
      <c r="A112" s="42">
        <v>2012</v>
      </c>
      <c r="B112" s="42" t="s">
        <v>4</v>
      </c>
      <c r="C112" s="43">
        <v>3776.3131800000001</v>
      </c>
      <c r="D112" s="43">
        <v>507</v>
      </c>
      <c r="E112" s="43">
        <v>0</v>
      </c>
      <c r="F112" s="43">
        <v>2868.8505200000004</v>
      </c>
      <c r="G112" s="43">
        <v>0</v>
      </c>
      <c r="H112" s="43">
        <v>8231.80213</v>
      </c>
      <c r="I112" s="43">
        <v>0</v>
      </c>
      <c r="J112" s="43"/>
      <c r="K112" s="44">
        <v>15383.965830000001</v>
      </c>
    </row>
    <row r="113" spans="1:11" ht="12.75" customHeight="1" x14ac:dyDescent="0.25">
      <c r="A113" s="42">
        <v>2012</v>
      </c>
      <c r="B113" s="42" t="s">
        <v>5</v>
      </c>
      <c r="C113" s="43">
        <v>3896.8441000000003</v>
      </c>
      <c r="D113" s="43">
        <v>393.2</v>
      </c>
      <c r="E113" s="43">
        <v>0</v>
      </c>
      <c r="F113" s="43">
        <v>3066.6679399999998</v>
      </c>
      <c r="G113" s="43">
        <v>0</v>
      </c>
      <c r="H113" s="43">
        <v>8004.0302700000002</v>
      </c>
      <c r="I113" s="43">
        <v>0</v>
      </c>
      <c r="J113" s="43"/>
      <c r="K113" s="44">
        <v>15360.742310000001</v>
      </c>
    </row>
    <row r="114" spans="1:11" ht="12.75" customHeight="1" x14ac:dyDescent="0.25">
      <c r="A114" s="42">
        <v>2012</v>
      </c>
      <c r="B114" s="42" t="s">
        <v>6</v>
      </c>
      <c r="C114" s="43">
        <v>2668.5648600000004</v>
      </c>
      <c r="D114" s="43">
        <v>266.10000000000002</v>
      </c>
      <c r="E114" s="43">
        <v>293.60000000000002</v>
      </c>
      <c r="F114" s="43">
        <v>2800.8203199999998</v>
      </c>
      <c r="G114" s="43">
        <v>0</v>
      </c>
      <c r="H114" s="43">
        <v>5152.8128299999998</v>
      </c>
      <c r="I114" s="43">
        <v>0</v>
      </c>
      <c r="J114" s="43"/>
      <c r="K114" s="44">
        <v>11181.898010000001</v>
      </c>
    </row>
    <row r="115" spans="1:11" ht="12.75" customHeight="1" x14ac:dyDescent="0.25">
      <c r="A115" s="42">
        <v>2012</v>
      </c>
      <c r="B115" s="42" t="s">
        <v>7</v>
      </c>
      <c r="C115" s="43">
        <v>3240.3434200000006</v>
      </c>
      <c r="D115" s="43">
        <v>164.2</v>
      </c>
      <c r="E115" s="43">
        <v>310</v>
      </c>
      <c r="F115" s="43">
        <v>2972.4806799999997</v>
      </c>
      <c r="G115" s="43">
        <v>0</v>
      </c>
      <c r="H115" s="43">
        <v>7653.6574500000006</v>
      </c>
      <c r="I115" s="43">
        <v>0</v>
      </c>
      <c r="J115" s="43"/>
      <c r="K115" s="44">
        <v>14340.681550000001</v>
      </c>
    </row>
    <row r="116" spans="1:11" ht="12.75" customHeight="1" x14ac:dyDescent="0.25">
      <c r="A116" s="42">
        <v>2012</v>
      </c>
      <c r="B116" s="42" t="s">
        <v>8</v>
      </c>
      <c r="C116" s="43">
        <v>2851.93336</v>
      </c>
      <c r="D116" s="43">
        <v>126</v>
      </c>
      <c r="E116" s="43">
        <v>284.81397999999996</v>
      </c>
      <c r="F116" s="43">
        <v>2888.7821300000001</v>
      </c>
      <c r="G116" s="43">
        <v>0</v>
      </c>
      <c r="H116" s="43">
        <v>8001.0871099999995</v>
      </c>
      <c r="I116" s="43">
        <v>0</v>
      </c>
      <c r="J116" s="43"/>
      <c r="K116" s="44">
        <v>14152.616579999998</v>
      </c>
    </row>
    <row r="117" spans="1:11" ht="12.75" customHeight="1" x14ac:dyDescent="0.25">
      <c r="A117" s="42">
        <v>2012</v>
      </c>
      <c r="B117" s="42" t="s">
        <v>9</v>
      </c>
      <c r="C117" s="43">
        <v>2184.0027</v>
      </c>
      <c r="D117" s="43">
        <v>92.8</v>
      </c>
      <c r="E117" s="43">
        <v>269.13484999999997</v>
      </c>
      <c r="F117" s="43">
        <v>2888.5092499999996</v>
      </c>
      <c r="G117" s="43">
        <v>0</v>
      </c>
      <c r="H117" s="43">
        <v>4610.1824900000001</v>
      </c>
      <c r="I117" s="43">
        <v>0</v>
      </c>
      <c r="J117" s="43"/>
      <c r="K117" s="44">
        <v>10044.629290000001</v>
      </c>
    </row>
    <row r="118" spans="1:11" ht="12.75" customHeight="1" x14ac:dyDescent="0.25">
      <c r="A118" s="42">
        <v>2012</v>
      </c>
      <c r="B118" s="42" t="s">
        <v>10</v>
      </c>
      <c r="C118" s="43">
        <v>1932.2737099999999</v>
      </c>
      <c r="D118" s="43">
        <v>84</v>
      </c>
      <c r="E118" s="43">
        <v>162.33000000000001</v>
      </c>
      <c r="F118" s="43">
        <v>2399.8950800000002</v>
      </c>
      <c r="G118" s="43">
        <v>0</v>
      </c>
      <c r="H118" s="43">
        <v>3328.5471600000001</v>
      </c>
      <c r="I118" s="43">
        <v>0</v>
      </c>
      <c r="J118" s="43"/>
      <c r="K118" s="44">
        <v>7907.0459499999997</v>
      </c>
    </row>
    <row r="119" spans="1:11" ht="12.75" customHeight="1" x14ac:dyDescent="0.25">
      <c r="A119" s="42">
        <v>2012</v>
      </c>
      <c r="B119" s="42" t="s">
        <v>11</v>
      </c>
      <c r="C119" s="43">
        <v>2500.0540799999999</v>
      </c>
      <c r="D119" s="43">
        <v>73.5</v>
      </c>
      <c r="E119" s="43">
        <v>131.26021000000003</v>
      </c>
      <c r="F119" s="43">
        <v>2647.69499</v>
      </c>
      <c r="G119" s="43">
        <v>0</v>
      </c>
      <c r="H119" s="43">
        <v>3500.81817</v>
      </c>
      <c r="I119" s="43">
        <v>0</v>
      </c>
      <c r="J119" s="43"/>
      <c r="K119" s="44">
        <v>8853.3274500000007</v>
      </c>
    </row>
    <row r="120" spans="1:11" ht="12.75" customHeight="1" x14ac:dyDescent="0.25">
      <c r="A120" s="42">
        <v>2012</v>
      </c>
      <c r="B120" s="42" t="s">
        <v>12</v>
      </c>
      <c r="C120" s="43">
        <v>3917.23045</v>
      </c>
      <c r="D120" s="43">
        <v>190.5</v>
      </c>
      <c r="E120" s="43">
        <v>81.099999999999994</v>
      </c>
      <c r="F120" s="43">
        <v>2598.2113799999997</v>
      </c>
      <c r="G120" s="43">
        <v>0</v>
      </c>
      <c r="H120" s="43">
        <v>7688.9249300000001</v>
      </c>
      <c r="I120" s="43">
        <v>0</v>
      </c>
      <c r="J120" s="43"/>
      <c r="K120" s="44">
        <v>14475.966759999999</v>
      </c>
    </row>
    <row r="121" spans="1:11" ht="12.75" customHeight="1" x14ac:dyDescent="0.25">
      <c r="A121" s="42">
        <v>2012</v>
      </c>
      <c r="B121" s="42" t="s">
        <v>13</v>
      </c>
      <c r="C121" s="43">
        <v>4067.4404599999998</v>
      </c>
      <c r="D121" s="43">
        <v>387</v>
      </c>
      <c r="E121" s="43">
        <v>0</v>
      </c>
      <c r="F121" s="43">
        <v>2649.0661299999997</v>
      </c>
      <c r="G121" s="43">
        <v>0</v>
      </c>
      <c r="H121" s="43">
        <v>7176.7791099999995</v>
      </c>
      <c r="I121" s="43">
        <v>0</v>
      </c>
      <c r="J121" s="43"/>
      <c r="K121" s="44">
        <v>14280.285699999999</v>
      </c>
    </row>
    <row r="122" spans="1:11" ht="12.75" customHeight="1" x14ac:dyDescent="0.25">
      <c r="A122" s="42">
        <v>2012</v>
      </c>
      <c r="B122" s="42" t="s">
        <v>14</v>
      </c>
      <c r="C122" s="43">
        <v>4429.7041799999997</v>
      </c>
      <c r="D122" s="43">
        <v>442.7</v>
      </c>
      <c r="E122" s="43">
        <v>0</v>
      </c>
      <c r="F122" s="43">
        <v>3050.3380999999995</v>
      </c>
      <c r="G122" s="43">
        <v>0</v>
      </c>
      <c r="H122" s="43">
        <v>8147.7872900000002</v>
      </c>
      <c r="I122" s="43">
        <v>0</v>
      </c>
      <c r="J122" s="43"/>
      <c r="K122" s="44">
        <v>16070.529569999999</v>
      </c>
    </row>
    <row r="123" spans="1:11" ht="12.75" customHeight="1" x14ac:dyDescent="0.25">
      <c r="A123" s="42">
        <v>2012</v>
      </c>
      <c r="B123" s="42" t="s">
        <v>15</v>
      </c>
      <c r="C123" s="43">
        <v>38803.897410000005</v>
      </c>
      <c r="D123" s="43">
        <v>3220.2</v>
      </c>
      <c r="E123" s="43">
        <v>1532.2390399999999</v>
      </c>
      <c r="F123" s="43">
        <v>33745.455749999994</v>
      </c>
      <c r="G123" s="43">
        <v>0</v>
      </c>
      <c r="H123" s="43">
        <v>79764.387829999992</v>
      </c>
      <c r="I123" s="43">
        <v>0</v>
      </c>
      <c r="J123" s="43"/>
      <c r="K123" s="44">
        <v>157066.18002999999</v>
      </c>
    </row>
    <row r="124" spans="1:11" ht="12.75" customHeight="1" x14ac:dyDescent="0.25">
      <c r="A124" s="42">
        <v>2013</v>
      </c>
      <c r="B124" s="42" t="s">
        <v>3</v>
      </c>
      <c r="C124" s="43">
        <v>5065.4639700000007</v>
      </c>
      <c r="D124" s="43">
        <v>117.5</v>
      </c>
      <c r="E124" s="43">
        <v>0</v>
      </c>
      <c r="F124" s="43">
        <v>3083.4278699999995</v>
      </c>
      <c r="G124" s="43">
        <v>0</v>
      </c>
      <c r="H124" s="43">
        <v>8573.7878499999988</v>
      </c>
      <c r="I124" s="43">
        <v>0</v>
      </c>
      <c r="J124" s="43"/>
      <c r="K124" s="44">
        <v>16840.179689999997</v>
      </c>
    </row>
    <row r="125" spans="1:11" ht="12.75" customHeight="1" x14ac:dyDescent="0.25">
      <c r="A125" s="42">
        <v>2013</v>
      </c>
      <c r="B125" s="42" t="s">
        <v>4</v>
      </c>
      <c r="C125" s="43">
        <v>5444.16374</v>
      </c>
      <c r="D125" s="43">
        <v>209.65100000000001</v>
      </c>
      <c r="E125" s="43">
        <v>0</v>
      </c>
      <c r="F125" s="43">
        <v>2791.0157799999993</v>
      </c>
      <c r="G125" s="43">
        <v>0</v>
      </c>
      <c r="H125" s="43">
        <v>7370.0845399999998</v>
      </c>
      <c r="I125" s="43">
        <v>0</v>
      </c>
      <c r="J125" s="43"/>
      <c r="K125" s="44">
        <v>15814.915059999999</v>
      </c>
    </row>
    <row r="126" spans="1:11" ht="12.75" customHeight="1" x14ac:dyDescent="0.25">
      <c r="A126" s="42">
        <v>2013</v>
      </c>
      <c r="B126" s="42" t="s">
        <v>5</v>
      </c>
      <c r="C126" s="43">
        <v>6417.2594600000002</v>
      </c>
      <c r="D126" s="43">
        <v>362.4</v>
      </c>
      <c r="E126" s="43">
        <v>0</v>
      </c>
      <c r="F126" s="43">
        <v>3054.2709499999996</v>
      </c>
      <c r="G126" s="43">
        <v>0</v>
      </c>
      <c r="H126" s="43">
        <v>8583.6229699999985</v>
      </c>
      <c r="I126" s="43">
        <v>181.25003000000001</v>
      </c>
      <c r="J126" s="43"/>
      <c r="K126" s="44">
        <v>18598.803409999997</v>
      </c>
    </row>
    <row r="127" spans="1:11" ht="12.75" customHeight="1" x14ac:dyDescent="0.25">
      <c r="A127" s="42">
        <v>2013</v>
      </c>
      <c r="B127" s="42" t="s">
        <v>6</v>
      </c>
      <c r="C127" s="43">
        <v>6566.2500200000004</v>
      </c>
      <c r="D127" s="43">
        <v>180.20732000000001</v>
      </c>
      <c r="E127" s="43">
        <v>238.66012000000003</v>
      </c>
      <c r="F127" s="43">
        <v>3304.9261900000001</v>
      </c>
      <c r="G127" s="43">
        <v>0</v>
      </c>
      <c r="H127" s="43">
        <v>8049.5581400000001</v>
      </c>
      <c r="I127" s="43">
        <v>0</v>
      </c>
      <c r="J127" s="43"/>
      <c r="K127" s="44">
        <v>18339.601790000001</v>
      </c>
    </row>
    <row r="128" spans="1:11" ht="12.75" customHeight="1" x14ac:dyDescent="0.25">
      <c r="A128" s="42">
        <v>2013</v>
      </c>
      <c r="B128" s="42" t="s">
        <v>7</v>
      </c>
      <c r="C128" s="43">
        <v>5969.3570399999999</v>
      </c>
      <c r="D128" s="43">
        <v>187.78698</v>
      </c>
      <c r="E128" s="43">
        <v>183.0352</v>
      </c>
      <c r="F128" s="43">
        <v>3787.98218</v>
      </c>
      <c r="G128" s="43">
        <v>0</v>
      </c>
      <c r="H128" s="43">
        <v>7271.4338099999995</v>
      </c>
      <c r="I128" s="43">
        <v>0</v>
      </c>
      <c r="J128" s="43"/>
      <c r="K128" s="44">
        <v>17399.595209999999</v>
      </c>
    </row>
    <row r="129" spans="1:11" ht="12.75" customHeight="1" x14ac:dyDescent="0.25">
      <c r="A129" s="42">
        <v>2013</v>
      </c>
      <c r="B129" s="42" t="s">
        <v>8</v>
      </c>
      <c r="C129" s="43">
        <v>5433.9352600000002</v>
      </c>
      <c r="D129" s="43">
        <v>119.14897999999999</v>
      </c>
      <c r="E129" s="43">
        <v>256.51767000000007</v>
      </c>
      <c r="F129" s="43">
        <v>3148.5616199999999</v>
      </c>
      <c r="G129" s="43">
        <v>0</v>
      </c>
      <c r="H129" s="43">
        <v>6889.4782799999994</v>
      </c>
      <c r="I129" s="43">
        <v>0</v>
      </c>
      <c r="J129" s="43"/>
      <c r="K129" s="44">
        <v>15847.641809999999</v>
      </c>
    </row>
    <row r="130" spans="1:11" ht="12.75" customHeight="1" x14ac:dyDescent="0.25">
      <c r="A130" s="42">
        <v>2013</v>
      </c>
      <c r="B130" s="42" t="s">
        <v>9</v>
      </c>
      <c r="C130" s="43">
        <v>5734.5526600000003</v>
      </c>
      <c r="D130" s="43">
        <v>0</v>
      </c>
      <c r="E130" s="43">
        <v>288.85384000000005</v>
      </c>
      <c r="F130" s="43">
        <v>3560.5386200000003</v>
      </c>
      <c r="G130" s="43">
        <v>0</v>
      </c>
      <c r="H130" s="43">
        <v>6215.8401599999997</v>
      </c>
      <c r="I130" s="43">
        <v>125.31417</v>
      </c>
      <c r="J130" s="43"/>
      <c r="K130" s="44">
        <v>15925.09945</v>
      </c>
    </row>
    <row r="131" spans="1:11" ht="12.75" customHeight="1" x14ac:dyDescent="0.25">
      <c r="A131" s="42">
        <v>2013</v>
      </c>
      <c r="B131" s="42" t="s">
        <v>10</v>
      </c>
      <c r="C131" s="43">
        <v>3635.2799799999993</v>
      </c>
      <c r="D131" s="43">
        <v>0</v>
      </c>
      <c r="E131" s="43">
        <v>310.32779999999997</v>
      </c>
      <c r="F131" s="43">
        <v>4118.6093300000002</v>
      </c>
      <c r="G131" s="43">
        <v>0</v>
      </c>
      <c r="H131" s="43">
        <v>5900.5203199999996</v>
      </c>
      <c r="I131" s="43">
        <v>147.42832000000001</v>
      </c>
      <c r="J131" s="43"/>
      <c r="K131" s="44">
        <v>14112.16575</v>
      </c>
    </row>
    <row r="132" spans="1:11" ht="12.75" customHeight="1" x14ac:dyDescent="0.25">
      <c r="A132" s="42">
        <v>2013</v>
      </c>
      <c r="B132" s="42" t="s">
        <v>11</v>
      </c>
      <c r="C132" s="43">
        <v>5401.0484500000002</v>
      </c>
      <c r="D132" s="43">
        <v>229.80329</v>
      </c>
      <c r="E132" s="43">
        <v>295.34484999999995</v>
      </c>
      <c r="F132" s="43">
        <v>3736.3269400000004</v>
      </c>
      <c r="G132" s="43">
        <v>0</v>
      </c>
      <c r="H132" s="43">
        <v>4524.6772899999996</v>
      </c>
      <c r="I132" s="43">
        <v>0</v>
      </c>
      <c r="J132" s="43"/>
      <c r="K132" s="44">
        <v>14187.20082</v>
      </c>
    </row>
    <row r="133" spans="1:11" ht="12.75" customHeight="1" x14ac:dyDescent="0.25">
      <c r="A133" s="42">
        <v>2013</v>
      </c>
      <c r="B133" s="42" t="s">
        <v>12</v>
      </c>
      <c r="C133" s="43">
        <v>6856.2396800000006</v>
      </c>
      <c r="D133" s="43">
        <v>31.331250000000001</v>
      </c>
      <c r="E133" s="43">
        <v>283.90414999999996</v>
      </c>
      <c r="F133" s="43">
        <v>3084.0318600000001</v>
      </c>
      <c r="G133" s="43">
        <v>0</v>
      </c>
      <c r="H133" s="43">
        <v>6388.2536700000001</v>
      </c>
      <c r="I133" s="43">
        <v>0</v>
      </c>
      <c r="J133" s="43"/>
      <c r="K133" s="44">
        <v>16643.760610000001</v>
      </c>
    </row>
    <row r="134" spans="1:11" ht="12.75" customHeight="1" x14ac:dyDescent="0.25">
      <c r="A134" s="42">
        <v>2013</v>
      </c>
      <c r="B134" s="42" t="s">
        <v>13</v>
      </c>
      <c r="C134" s="43">
        <v>6820.83014</v>
      </c>
      <c r="D134" s="43">
        <v>0</v>
      </c>
      <c r="E134" s="43">
        <v>0</v>
      </c>
      <c r="F134" s="43">
        <v>4084.9781200000007</v>
      </c>
      <c r="G134" s="43">
        <v>0</v>
      </c>
      <c r="H134" s="43">
        <v>7658.9774600000001</v>
      </c>
      <c r="I134" s="43">
        <v>0</v>
      </c>
      <c r="J134" s="43"/>
      <c r="K134" s="44">
        <v>18564.78572</v>
      </c>
    </row>
    <row r="135" spans="1:11" ht="12.75" customHeight="1" x14ac:dyDescent="0.25">
      <c r="A135" s="42">
        <v>2013</v>
      </c>
      <c r="B135" s="42" t="s">
        <v>14</v>
      </c>
      <c r="C135" s="43">
        <v>6829.6229999999996</v>
      </c>
      <c r="D135" s="43">
        <v>0</v>
      </c>
      <c r="E135" s="43">
        <v>0</v>
      </c>
      <c r="F135" s="43">
        <v>4691.4189999999999</v>
      </c>
      <c r="G135" s="43">
        <v>0</v>
      </c>
      <c r="H135" s="43">
        <v>7763.7070000000003</v>
      </c>
      <c r="I135" s="43">
        <v>24.646249999999998</v>
      </c>
      <c r="J135" s="43"/>
      <c r="K135" s="44">
        <v>19309.395250000001</v>
      </c>
    </row>
    <row r="136" spans="1:11" ht="12.75" customHeight="1" x14ac:dyDescent="0.25">
      <c r="A136" s="42">
        <v>2013</v>
      </c>
      <c r="B136" s="42" t="s">
        <v>15</v>
      </c>
      <c r="C136" s="43">
        <v>70174.003400000001</v>
      </c>
      <c r="D136" s="43">
        <v>1437.82882</v>
      </c>
      <c r="E136" s="43">
        <v>1856.64363</v>
      </c>
      <c r="F136" s="43">
        <v>42446.088459999999</v>
      </c>
      <c r="G136" s="43">
        <v>0</v>
      </c>
      <c r="H136" s="43">
        <v>85189.941489999983</v>
      </c>
      <c r="I136" s="43">
        <v>478.63877000000002</v>
      </c>
      <c r="J136" s="43">
        <v>0</v>
      </c>
      <c r="K136" s="44">
        <v>201583.14457</v>
      </c>
    </row>
    <row r="137" spans="1:11" ht="12.75" customHeight="1" x14ac:dyDescent="0.25">
      <c r="A137" s="42">
        <v>2014</v>
      </c>
      <c r="B137" s="42" t="s">
        <v>3</v>
      </c>
      <c r="C137" s="43">
        <v>6976.1964499999995</v>
      </c>
      <c r="D137" s="43">
        <v>0</v>
      </c>
      <c r="E137" s="43">
        <v>0</v>
      </c>
      <c r="F137" s="43">
        <v>3546.9199800000006</v>
      </c>
      <c r="G137" s="43">
        <v>0</v>
      </c>
      <c r="H137" s="43">
        <v>7759.2386200000001</v>
      </c>
      <c r="I137" s="43">
        <v>157.34804</v>
      </c>
      <c r="J137" s="43">
        <v>0</v>
      </c>
      <c r="K137" s="44">
        <v>18439.703089999999</v>
      </c>
    </row>
    <row r="138" spans="1:11" ht="12.75" customHeight="1" x14ac:dyDescent="0.25">
      <c r="A138" s="42">
        <v>2014</v>
      </c>
      <c r="B138" s="42" t="s">
        <v>4</v>
      </c>
      <c r="C138" s="43">
        <v>6480.3884800000005</v>
      </c>
      <c r="D138" s="43">
        <v>0</v>
      </c>
      <c r="E138" s="43">
        <v>0</v>
      </c>
      <c r="F138" s="43">
        <v>4179.5658899999999</v>
      </c>
      <c r="G138" s="43">
        <v>0</v>
      </c>
      <c r="H138" s="43">
        <v>7495.2864099999997</v>
      </c>
      <c r="I138" s="43">
        <v>0</v>
      </c>
      <c r="J138" s="43">
        <v>0</v>
      </c>
      <c r="K138" s="44">
        <v>18155.24078</v>
      </c>
    </row>
    <row r="139" spans="1:11" ht="12.75" customHeight="1" x14ac:dyDescent="0.25">
      <c r="A139" s="42">
        <v>2014</v>
      </c>
      <c r="B139" s="42" t="s">
        <v>5</v>
      </c>
      <c r="C139" s="43">
        <v>6885.6756899999991</v>
      </c>
      <c r="D139" s="43">
        <v>0</v>
      </c>
      <c r="E139" s="43">
        <v>0</v>
      </c>
      <c r="F139" s="43">
        <v>3811.2181299999997</v>
      </c>
      <c r="G139" s="43">
        <v>0</v>
      </c>
      <c r="H139" s="43">
        <v>7678.7891500000005</v>
      </c>
      <c r="I139" s="43">
        <v>0</v>
      </c>
      <c r="J139" s="43">
        <v>0</v>
      </c>
      <c r="K139" s="44">
        <v>18375.682970000002</v>
      </c>
    </row>
    <row r="140" spans="1:11" ht="12.75" customHeight="1" x14ac:dyDescent="0.25">
      <c r="A140" s="42">
        <v>2014</v>
      </c>
      <c r="B140" s="42" t="s">
        <v>6</v>
      </c>
      <c r="C140" s="43">
        <v>6105.5317300000006</v>
      </c>
      <c r="D140" s="43">
        <v>0</v>
      </c>
      <c r="E140" s="43">
        <v>299.70069000000001</v>
      </c>
      <c r="F140" s="43">
        <v>3187.50668</v>
      </c>
      <c r="G140" s="43">
        <v>0</v>
      </c>
      <c r="H140" s="43">
        <v>6021.1013300000004</v>
      </c>
      <c r="I140" s="43">
        <v>0</v>
      </c>
      <c r="J140" s="43">
        <v>0</v>
      </c>
      <c r="K140" s="44">
        <v>15613.84043</v>
      </c>
    </row>
    <row r="141" spans="1:11" ht="12.75" customHeight="1" x14ac:dyDescent="0.25">
      <c r="A141" s="42">
        <v>2014</v>
      </c>
      <c r="B141" s="42" t="s">
        <v>7</v>
      </c>
      <c r="C141" s="43">
        <v>5861.7961099999993</v>
      </c>
      <c r="D141" s="43">
        <v>0</v>
      </c>
      <c r="E141" s="43">
        <v>303.14808999999997</v>
      </c>
      <c r="F141" s="43">
        <v>3737.70993</v>
      </c>
      <c r="G141" s="43">
        <v>0</v>
      </c>
      <c r="H141" s="43">
        <v>6341.1697699999995</v>
      </c>
      <c r="I141" s="43">
        <v>0</v>
      </c>
      <c r="J141" s="43">
        <v>0</v>
      </c>
      <c r="K141" s="44">
        <v>16243.823899999999</v>
      </c>
    </row>
    <row r="142" spans="1:11" ht="12.75" customHeight="1" x14ac:dyDescent="0.25">
      <c r="A142" s="42">
        <v>2014</v>
      </c>
      <c r="B142" s="42" t="s">
        <v>8</v>
      </c>
      <c r="C142" s="43">
        <v>6132.9499699999997</v>
      </c>
      <c r="D142" s="43">
        <v>0</v>
      </c>
      <c r="E142" s="43">
        <v>298.19903000000005</v>
      </c>
      <c r="F142" s="43">
        <v>3080.2519600000001</v>
      </c>
      <c r="G142" s="43">
        <v>0</v>
      </c>
      <c r="H142" s="43">
        <v>7010.5871500000003</v>
      </c>
      <c r="I142" s="43">
        <v>0</v>
      </c>
      <c r="J142" s="43">
        <v>0</v>
      </c>
      <c r="K142" s="44">
        <v>16521.988109999998</v>
      </c>
    </row>
    <row r="143" spans="1:11" ht="12.75" customHeight="1" x14ac:dyDescent="0.25">
      <c r="A143" s="42">
        <v>2014</v>
      </c>
      <c r="B143" s="42" t="s">
        <v>9</v>
      </c>
      <c r="C143" s="43">
        <v>4622.0045399999999</v>
      </c>
      <c r="D143" s="43">
        <v>0</v>
      </c>
      <c r="E143" s="43">
        <v>300.92250000000001</v>
      </c>
      <c r="F143" s="43">
        <v>3945.8858700000001</v>
      </c>
      <c r="G143" s="43">
        <v>0</v>
      </c>
      <c r="H143" s="43">
        <v>7694.4964300000001</v>
      </c>
      <c r="I143" s="43">
        <v>0</v>
      </c>
      <c r="J143" s="43">
        <v>0</v>
      </c>
      <c r="K143" s="44">
        <v>16563.30934</v>
      </c>
    </row>
    <row r="144" spans="1:11" ht="12.75" customHeight="1" x14ac:dyDescent="0.25">
      <c r="A144" s="42">
        <v>2014</v>
      </c>
      <c r="B144" s="42" t="s">
        <v>10</v>
      </c>
      <c r="C144" s="43">
        <v>4428.04468</v>
      </c>
      <c r="D144" s="43">
        <v>0</v>
      </c>
      <c r="E144" s="43">
        <v>310.00001000000003</v>
      </c>
      <c r="F144" s="43">
        <v>4123.1274100000001</v>
      </c>
      <c r="G144" s="43">
        <v>0</v>
      </c>
      <c r="H144" s="43">
        <v>5580.4076799999993</v>
      </c>
      <c r="I144" s="43">
        <v>0</v>
      </c>
      <c r="J144" s="43">
        <v>0</v>
      </c>
      <c r="K144" s="44">
        <v>14441.57978</v>
      </c>
    </row>
    <row r="145" spans="1:11" ht="12.75" customHeight="1" x14ac:dyDescent="0.25">
      <c r="A145" s="42">
        <v>2014</v>
      </c>
      <c r="B145" s="42" t="s">
        <v>11</v>
      </c>
      <c r="C145" s="43">
        <v>5991.8244199999999</v>
      </c>
      <c r="D145" s="43">
        <v>0</v>
      </c>
      <c r="E145" s="43">
        <v>297.08839</v>
      </c>
      <c r="F145" s="43">
        <v>3852.64239</v>
      </c>
      <c r="G145" s="43">
        <v>0</v>
      </c>
      <c r="H145" s="43">
        <v>6621.9341299999987</v>
      </c>
      <c r="I145" s="43">
        <v>0</v>
      </c>
      <c r="J145" s="43">
        <v>0</v>
      </c>
      <c r="K145" s="44">
        <v>16763.489329999997</v>
      </c>
    </row>
    <row r="146" spans="1:11" ht="12.75" customHeight="1" x14ac:dyDescent="0.25">
      <c r="A146" s="42">
        <v>2014</v>
      </c>
      <c r="B146" s="42" t="s">
        <v>12</v>
      </c>
      <c r="C146" s="43">
        <v>6752.8634300000003</v>
      </c>
      <c r="D146" s="43">
        <v>0</v>
      </c>
      <c r="E146" s="43">
        <v>0</v>
      </c>
      <c r="F146" s="43"/>
      <c r="G146" s="43">
        <v>0</v>
      </c>
      <c r="H146" s="43">
        <v>7043.3578799999996</v>
      </c>
      <c r="I146" s="43">
        <v>0</v>
      </c>
      <c r="J146" s="43">
        <v>4522.2619099999993</v>
      </c>
      <c r="K146" s="44">
        <v>18318.483220000002</v>
      </c>
    </row>
    <row r="147" spans="1:11" ht="12.75" customHeight="1" x14ac:dyDescent="0.25">
      <c r="A147" s="42">
        <v>2014</v>
      </c>
      <c r="B147" s="42" t="s">
        <v>13</v>
      </c>
      <c r="C147" s="43">
        <v>6240.5614700000006</v>
      </c>
      <c r="D147" s="43">
        <v>0</v>
      </c>
      <c r="E147" s="43">
        <v>0</v>
      </c>
      <c r="F147" s="43"/>
      <c r="G147" s="43">
        <v>0</v>
      </c>
      <c r="H147" s="43">
        <v>7299.4047099999998</v>
      </c>
      <c r="I147" s="43">
        <v>0</v>
      </c>
      <c r="J147" s="43">
        <v>4584.7275799999998</v>
      </c>
      <c r="K147" s="44">
        <v>18124.693760000002</v>
      </c>
    </row>
    <row r="148" spans="1:11" ht="12.75" customHeight="1" x14ac:dyDescent="0.25">
      <c r="A148" s="42">
        <v>2014</v>
      </c>
      <c r="B148" s="42" t="s">
        <v>14</v>
      </c>
      <c r="C148" s="43">
        <v>6301.76235</v>
      </c>
      <c r="D148" s="43">
        <v>0</v>
      </c>
      <c r="E148" s="43">
        <v>0</v>
      </c>
      <c r="F148" s="43"/>
      <c r="G148" s="43">
        <v>0</v>
      </c>
      <c r="H148" s="43">
        <v>5230.7806200000005</v>
      </c>
      <c r="I148" s="43">
        <v>0</v>
      </c>
      <c r="J148" s="43">
        <v>4785.5989600000003</v>
      </c>
      <c r="K148" s="44">
        <v>16318.141930000002</v>
      </c>
    </row>
    <row r="149" spans="1:11" ht="12.75" customHeight="1" x14ac:dyDescent="0.25">
      <c r="A149" s="42">
        <v>2014</v>
      </c>
      <c r="B149" s="42" t="s">
        <v>15</v>
      </c>
      <c r="C149" s="43">
        <v>72779.599320000008</v>
      </c>
      <c r="D149" s="43">
        <v>0</v>
      </c>
      <c r="E149" s="43">
        <v>1809.0587100000002</v>
      </c>
      <c r="F149" s="43">
        <v>33464.828240000003</v>
      </c>
      <c r="G149" s="43">
        <v>0</v>
      </c>
      <c r="H149" s="43">
        <v>81776.553880000007</v>
      </c>
      <c r="I149" s="43">
        <v>157.34804</v>
      </c>
      <c r="J149" s="43">
        <v>13892.588449999999</v>
      </c>
      <c r="K149" s="44">
        <v>203879.97664000004</v>
      </c>
    </row>
    <row r="150" spans="1:11" ht="12.75" customHeight="1" x14ac:dyDescent="0.25">
      <c r="A150" s="42">
        <v>2015</v>
      </c>
      <c r="B150" s="42" t="s">
        <v>3</v>
      </c>
      <c r="C150" s="43">
        <v>6203.4619699999994</v>
      </c>
      <c r="D150" s="43">
        <v>0</v>
      </c>
      <c r="E150" s="43">
        <v>0</v>
      </c>
      <c r="F150" s="43"/>
      <c r="G150" s="43">
        <v>0</v>
      </c>
      <c r="H150" s="43">
        <v>10041.452719999999</v>
      </c>
      <c r="I150" s="43">
        <v>0</v>
      </c>
      <c r="J150" s="43">
        <v>4148.0210799999995</v>
      </c>
      <c r="K150" s="44">
        <v>20392.93577</v>
      </c>
    </row>
    <row r="151" spans="1:11" ht="12.75" customHeight="1" x14ac:dyDescent="0.25">
      <c r="A151" s="42">
        <v>2015</v>
      </c>
      <c r="B151" s="42" t="s">
        <v>4</v>
      </c>
      <c r="C151" s="43">
        <v>4889.6241</v>
      </c>
      <c r="D151" s="43">
        <v>0</v>
      </c>
      <c r="E151" s="43">
        <v>0</v>
      </c>
      <c r="F151" s="43"/>
      <c r="G151" s="43">
        <v>0</v>
      </c>
      <c r="H151" s="43">
        <v>6236.6940799999993</v>
      </c>
      <c r="I151" s="43">
        <v>0</v>
      </c>
      <c r="J151" s="43">
        <v>3740.9842699999995</v>
      </c>
      <c r="K151" s="44">
        <v>14867.302449999997</v>
      </c>
    </row>
    <row r="152" spans="1:11" ht="12.75" customHeight="1" x14ac:dyDescent="0.25">
      <c r="A152" s="42">
        <v>2015</v>
      </c>
      <c r="B152" s="42" t="s">
        <v>5</v>
      </c>
      <c r="C152" s="43">
        <v>4534.9210400000002</v>
      </c>
      <c r="D152" s="43">
        <v>0</v>
      </c>
      <c r="E152" s="43">
        <v>0</v>
      </c>
      <c r="F152" s="43"/>
      <c r="G152" s="43">
        <v>0</v>
      </c>
      <c r="H152" s="43">
        <v>4567.5333000000001</v>
      </c>
      <c r="I152" s="43">
        <v>0</v>
      </c>
      <c r="J152" s="43">
        <v>3583.6126300000001</v>
      </c>
      <c r="K152" s="44">
        <v>12686.06697</v>
      </c>
    </row>
    <row r="153" spans="1:11" ht="12.75" customHeight="1" x14ac:dyDescent="0.25">
      <c r="A153" s="42">
        <v>2015</v>
      </c>
      <c r="B153" s="42" t="s">
        <v>6</v>
      </c>
      <c r="C153" s="43">
        <v>6389.1112800000001</v>
      </c>
      <c r="D153" s="43">
        <v>0</v>
      </c>
      <c r="E153" s="43">
        <v>0</v>
      </c>
      <c r="F153" s="43"/>
      <c r="G153" s="43">
        <v>0</v>
      </c>
      <c r="H153" s="43">
        <v>9551.31423</v>
      </c>
      <c r="I153" s="43">
        <v>0</v>
      </c>
      <c r="J153" s="43">
        <v>2290.9767200000001</v>
      </c>
      <c r="K153" s="44">
        <v>18231.40223</v>
      </c>
    </row>
    <row r="154" spans="1:11" ht="12.75" customHeight="1" x14ac:dyDescent="0.25">
      <c r="A154" s="42">
        <v>2015</v>
      </c>
      <c r="B154" s="42" t="s">
        <v>7</v>
      </c>
      <c r="C154" s="43">
        <v>5797.6095599999999</v>
      </c>
      <c r="D154" s="43">
        <v>0</v>
      </c>
      <c r="E154" s="43">
        <v>0</v>
      </c>
      <c r="F154" s="43"/>
      <c r="G154" s="43">
        <v>0</v>
      </c>
      <c r="H154" s="43">
        <v>7533.0543900000002</v>
      </c>
      <c r="I154" s="43">
        <v>0</v>
      </c>
      <c r="J154" s="43">
        <v>2774.0759799999996</v>
      </c>
      <c r="K154" s="44">
        <v>16104.73993</v>
      </c>
    </row>
    <row r="155" spans="1:11" ht="12.75" customHeight="1" x14ac:dyDescent="0.25">
      <c r="A155" s="42">
        <v>2015</v>
      </c>
      <c r="B155" s="42" t="s">
        <v>8</v>
      </c>
      <c r="C155" s="43">
        <v>5960.2507800000003</v>
      </c>
      <c r="D155" s="43">
        <v>0</v>
      </c>
      <c r="E155" s="43">
        <v>0</v>
      </c>
      <c r="F155" s="43"/>
      <c r="G155" s="43">
        <v>0</v>
      </c>
      <c r="H155" s="43">
        <v>6580.8459400000002</v>
      </c>
      <c r="I155" s="43">
        <v>0</v>
      </c>
      <c r="J155" s="43">
        <v>2211.2033799999999</v>
      </c>
      <c r="K155" s="44">
        <v>14752.300099999999</v>
      </c>
    </row>
    <row r="156" spans="1:11" ht="12.75" customHeight="1" x14ac:dyDescent="0.25">
      <c r="A156" s="42">
        <v>2015</v>
      </c>
      <c r="B156" s="42" t="s">
        <v>9</v>
      </c>
      <c r="C156" s="43">
        <v>6590.7867999999999</v>
      </c>
      <c r="D156" s="43">
        <v>0</v>
      </c>
      <c r="E156" s="43">
        <v>0</v>
      </c>
      <c r="F156" s="43"/>
      <c r="G156" s="43">
        <v>0</v>
      </c>
      <c r="H156" s="43">
        <v>9683.2775200000015</v>
      </c>
      <c r="I156" s="43">
        <v>0</v>
      </c>
      <c r="J156" s="43">
        <v>2727.0776500000002</v>
      </c>
      <c r="K156" s="44">
        <v>19001.141970000001</v>
      </c>
    </row>
    <row r="157" spans="1:11" ht="12.75" customHeight="1" x14ac:dyDescent="0.25">
      <c r="A157" s="42">
        <v>2015</v>
      </c>
      <c r="B157" s="42" t="s">
        <v>10</v>
      </c>
      <c r="C157" s="43">
        <v>6928.1671500000002</v>
      </c>
      <c r="D157" s="43">
        <v>0</v>
      </c>
      <c r="E157" s="43">
        <v>0</v>
      </c>
      <c r="F157" s="43"/>
      <c r="G157" s="43">
        <v>0</v>
      </c>
      <c r="H157" s="43">
        <v>9520.1652600000016</v>
      </c>
      <c r="I157" s="43">
        <v>0</v>
      </c>
      <c r="J157" s="43">
        <v>2893.9222200000004</v>
      </c>
      <c r="K157" s="44">
        <v>19342.254630000003</v>
      </c>
    </row>
    <row r="158" spans="1:11" ht="12.75" customHeight="1" x14ac:dyDescent="0.25">
      <c r="A158" s="42">
        <v>2015</v>
      </c>
      <c r="B158" s="42" t="s">
        <v>11</v>
      </c>
      <c r="C158" s="43">
        <v>6400.0582300000005</v>
      </c>
      <c r="D158" s="43">
        <v>0</v>
      </c>
      <c r="E158" s="43">
        <v>0</v>
      </c>
      <c r="F158" s="43"/>
      <c r="G158" s="43">
        <v>0</v>
      </c>
      <c r="H158" s="43">
        <v>8352.5316500000008</v>
      </c>
      <c r="I158" s="43">
        <v>0</v>
      </c>
      <c r="J158" s="43">
        <v>2802.8237599999998</v>
      </c>
      <c r="K158" s="44">
        <v>17555.413640000002</v>
      </c>
    </row>
    <row r="159" spans="1:11" ht="12.75" customHeight="1" x14ac:dyDescent="0.25">
      <c r="A159" s="42">
        <v>2015</v>
      </c>
      <c r="B159" s="42" t="s">
        <v>12</v>
      </c>
      <c r="C159" s="43">
        <v>7132.8995400000003</v>
      </c>
      <c r="D159" s="43">
        <v>0</v>
      </c>
      <c r="E159" s="43">
        <v>0</v>
      </c>
      <c r="F159" s="43"/>
      <c r="G159" s="43">
        <v>0</v>
      </c>
      <c r="H159" s="43">
        <v>9437.293459999999</v>
      </c>
      <c r="I159" s="43">
        <v>4.8509700000000002</v>
      </c>
      <c r="J159" s="43">
        <v>2252.1643199999999</v>
      </c>
      <c r="K159" s="44">
        <v>18827.208289999999</v>
      </c>
    </row>
    <row r="160" spans="1:11" ht="12.75" customHeight="1" x14ac:dyDescent="0.25">
      <c r="A160" s="42">
        <v>2015</v>
      </c>
      <c r="B160" s="42" t="s">
        <v>13</v>
      </c>
      <c r="C160" s="43">
        <v>7241.0875899999992</v>
      </c>
      <c r="D160" s="43">
        <v>0</v>
      </c>
      <c r="E160" s="43">
        <v>0</v>
      </c>
      <c r="F160" s="43"/>
      <c r="G160" s="43">
        <v>0</v>
      </c>
      <c r="H160" s="43">
        <v>8924.5278500000004</v>
      </c>
      <c r="I160" s="43">
        <v>0</v>
      </c>
      <c r="J160" s="43">
        <v>3381.9452200000001</v>
      </c>
      <c r="K160" s="44">
        <v>19547.560659999999</v>
      </c>
    </row>
    <row r="161" spans="1:11" ht="12.75" customHeight="1" x14ac:dyDescent="0.25">
      <c r="A161" s="42">
        <v>2015</v>
      </c>
      <c r="B161" s="42" t="s">
        <v>14</v>
      </c>
      <c r="C161" s="43">
        <v>8000.165579999999</v>
      </c>
      <c r="D161" s="43">
        <v>0</v>
      </c>
      <c r="E161" s="43">
        <v>0</v>
      </c>
      <c r="F161" s="43"/>
      <c r="G161" s="43">
        <v>0</v>
      </c>
      <c r="H161" s="43">
        <v>8849.1675500000001</v>
      </c>
      <c r="I161" s="43">
        <v>0</v>
      </c>
      <c r="J161" s="43">
        <v>4091.2787499999999</v>
      </c>
      <c r="K161" s="44">
        <v>20940.61188</v>
      </c>
    </row>
    <row r="162" spans="1:11" ht="12.75" customHeight="1" x14ac:dyDescent="0.25">
      <c r="A162" s="42">
        <v>2015</v>
      </c>
      <c r="B162" s="42" t="s">
        <v>15</v>
      </c>
      <c r="C162" s="43">
        <v>76068.143620000003</v>
      </c>
      <c r="D162" s="43">
        <v>0</v>
      </c>
      <c r="E162" s="43">
        <v>0</v>
      </c>
      <c r="F162" s="43"/>
      <c r="G162" s="43">
        <v>0</v>
      </c>
      <c r="H162" s="43">
        <v>99277.857950000005</v>
      </c>
      <c r="I162" s="43">
        <v>4.8509700000000002</v>
      </c>
      <c r="J162" s="43">
        <v>36898.085979999996</v>
      </c>
      <c r="K162" s="44">
        <v>212248.93852</v>
      </c>
    </row>
    <row r="163" spans="1:11" ht="12.75" customHeight="1" x14ac:dyDescent="0.25">
      <c r="A163" s="42">
        <v>2016</v>
      </c>
      <c r="B163" s="42" t="s">
        <v>3</v>
      </c>
      <c r="C163" s="43">
        <v>6859.4012400000001</v>
      </c>
      <c r="D163" s="43">
        <v>0</v>
      </c>
      <c r="E163" s="43">
        <v>0</v>
      </c>
      <c r="F163" s="43"/>
      <c r="G163" s="43">
        <v>0</v>
      </c>
      <c r="H163" s="43">
        <v>8891.2592299999997</v>
      </c>
      <c r="I163" s="43">
        <v>0</v>
      </c>
      <c r="J163" s="43">
        <v>4382.0396800000008</v>
      </c>
      <c r="K163" s="44">
        <v>20132.700150000001</v>
      </c>
    </row>
    <row r="164" spans="1:11" ht="12.75" customHeight="1" x14ac:dyDescent="0.25">
      <c r="A164" s="42">
        <v>2016</v>
      </c>
      <c r="B164" s="42" t="s">
        <v>4</v>
      </c>
      <c r="C164" s="43">
        <v>4946.3020500000011</v>
      </c>
      <c r="D164" s="43">
        <v>0</v>
      </c>
      <c r="E164" s="43">
        <v>0</v>
      </c>
      <c r="F164" s="43"/>
      <c r="G164" s="43">
        <v>0</v>
      </c>
      <c r="H164" s="43">
        <v>6713.1275400000004</v>
      </c>
      <c r="I164" s="43">
        <v>0</v>
      </c>
      <c r="J164" s="43">
        <v>3241.0898199999997</v>
      </c>
      <c r="K164" s="44">
        <v>14900.519410000001</v>
      </c>
    </row>
    <row r="165" spans="1:11" ht="12.75" customHeight="1" x14ac:dyDescent="0.25">
      <c r="A165" s="42">
        <v>2016</v>
      </c>
      <c r="B165" s="42" t="s">
        <v>5</v>
      </c>
      <c r="C165" s="43">
        <v>4734.6964600000001</v>
      </c>
      <c r="D165" s="43">
        <v>0</v>
      </c>
      <c r="E165" s="43">
        <v>0</v>
      </c>
      <c r="F165" s="43"/>
      <c r="G165" s="43">
        <v>0</v>
      </c>
      <c r="H165" s="43">
        <v>5241.3685600000008</v>
      </c>
      <c r="I165" s="43">
        <v>0</v>
      </c>
      <c r="J165" s="43">
        <v>4161.0820000000003</v>
      </c>
      <c r="K165" s="44">
        <v>14137.147020000002</v>
      </c>
    </row>
    <row r="166" spans="1:11" ht="12.75" customHeight="1" x14ac:dyDescent="0.25">
      <c r="A166" s="42">
        <v>2016</v>
      </c>
      <c r="B166" s="42" t="s">
        <v>6</v>
      </c>
      <c r="C166" s="43">
        <v>6508.8551400000006</v>
      </c>
      <c r="D166" s="43">
        <v>0</v>
      </c>
      <c r="E166" s="43">
        <v>0</v>
      </c>
      <c r="F166" s="43"/>
      <c r="G166" s="43">
        <v>0</v>
      </c>
      <c r="H166" s="43">
        <v>7625.56333</v>
      </c>
      <c r="I166" s="43">
        <v>0</v>
      </c>
      <c r="J166" s="43">
        <v>2721.3835900000004</v>
      </c>
      <c r="K166" s="44">
        <v>16855.802060000002</v>
      </c>
    </row>
    <row r="167" spans="1:11" ht="12.75" customHeight="1" x14ac:dyDescent="0.25">
      <c r="A167" s="42">
        <v>2016</v>
      </c>
      <c r="B167" s="42" t="s">
        <v>7</v>
      </c>
      <c r="C167" s="43">
        <v>6304.1907299999993</v>
      </c>
      <c r="D167" s="43">
        <v>0</v>
      </c>
      <c r="E167" s="43">
        <v>0</v>
      </c>
      <c r="F167" s="43"/>
      <c r="G167" s="43">
        <v>0</v>
      </c>
      <c r="H167" s="43">
        <v>8108.4868100000003</v>
      </c>
      <c r="I167" s="43">
        <v>0</v>
      </c>
      <c r="J167" s="43">
        <v>2124.2887599999999</v>
      </c>
      <c r="K167" s="44">
        <v>16536.9663</v>
      </c>
    </row>
    <row r="168" spans="1:11" ht="12.75" customHeight="1" x14ac:dyDescent="0.25">
      <c r="A168" s="42">
        <v>2016</v>
      </c>
      <c r="B168" s="42" t="s">
        <v>8</v>
      </c>
      <c r="C168" s="43">
        <v>6510.26037</v>
      </c>
      <c r="D168" s="43">
        <v>0</v>
      </c>
      <c r="E168" s="43">
        <v>0</v>
      </c>
      <c r="F168" s="43"/>
      <c r="G168" s="43">
        <v>0</v>
      </c>
      <c r="H168" s="43">
        <v>8944.0403299999998</v>
      </c>
      <c r="I168" s="43">
        <v>0</v>
      </c>
      <c r="J168" s="43">
        <v>1902.4825099999998</v>
      </c>
      <c r="K168" s="44">
        <v>17356.783209999998</v>
      </c>
    </row>
    <row r="169" spans="1:11" ht="12.75" customHeight="1" x14ac:dyDescent="0.25">
      <c r="A169" s="42">
        <v>2016</v>
      </c>
      <c r="B169" s="42" t="s">
        <v>9</v>
      </c>
      <c r="C169" s="43">
        <v>6752.8236799999995</v>
      </c>
      <c r="D169" s="43">
        <v>0</v>
      </c>
      <c r="E169" s="43">
        <v>0</v>
      </c>
      <c r="F169" s="43"/>
      <c r="G169" s="43">
        <v>0</v>
      </c>
      <c r="H169" s="43">
        <v>9113.4638400000003</v>
      </c>
      <c r="I169" s="43">
        <v>0</v>
      </c>
      <c r="J169" s="43">
        <v>2251.35392</v>
      </c>
      <c r="K169" s="44">
        <v>18117.641439999999</v>
      </c>
    </row>
    <row r="170" spans="1:11" ht="12.75" customHeight="1" x14ac:dyDescent="0.25">
      <c r="A170" s="42">
        <v>2016</v>
      </c>
      <c r="B170" s="42" t="s">
        <v>10</v>
      </c>
      <c r="C170" s="43">
        <v>6946.4675300000008</v>
      </c>
      <c r="D170" s="43">
        <v>0</v>
      </c>
      <c r="E170" s="43">
        <v>0</v>
      </c>
      <c r="F170" s="43"/>
      <c r="G170" s="43">
        <v>0</v>
      </c>
      <c r="H170" s="43">
        <v>9293.4226200000012</v>
      </c>
      <c r="I170" s="43">
        <v>0</v>
      </c>
      <c r="J170" s="43">
        <v>2600.2562699999994</v>
      </c>
      <c r="K170" s="44">
        <v>18840.146420000001</v>
      </c>
    </row>
    <row r="171" spans="1:11" ht="12.75" customHeight="1" x14ac:dyDescent="0.25">
      <c r="A171" s="42">
        <v>2016</v>
      </c>
      <c r="B171" s="42" t="s">
        <v>11</v>
      </c>
      <c r="C171" s="43">
        <v>5039.3468000000012</v>
      </c>
      <c r="D171" s="43">
        <v>0</v>
      </c>
      <c r="E171" s="43">
        <v>0</v>
      </c>
      <c r="F171" s="43"/>
      <c r="G171" s="43">
        <v>0</v>
      </c>
      <c r="H171" s="43">
        <v>9000.3244600000016</v>
      </c>
      <c r="I171" s="43">
        <v>0</v>
      </c>
      <c r="J171" s="43">
        <v>3305.4574900000002</v>
      </c>
      <c r="K171" s="44">
        <v>17345.128750000003</v>
      </c>
    </row>
    <row r="172" spans="1:11" ht="12.75" customHeight="1" x14ac:dyDescent="0.25">
      <c r="A172" s="42">
        <v>2016</v>
      </c>
      <c r="B172" s="42" t="s">
        <v>12</v>
      </c>
      <c r="C172" s="43">
        <v>6779.3415999999997</v>
      </c>
      <c r="D172" s="43">
        <v>0</v>
      </c>
      <c r="E172" s="43">
        <v>0</v>
      </c>
      <c r="F172" s="43"/>
      <c r="G172" s="43">
        <v>0</v>
      </c>
      <c r="H172" s="43">
        <v>7214.2997200000009</v>
      </c>
      <c r="I172" s="43">
        <v>0</v>
      </c>
      <c r="J172" s="43">
        <v>3503.4820100000002</v>
      </c>
      <c r="K172" s="44">
        <v>17497.123330000002</v>
      </c>
    </row>
    <row r="173" spans="1:11" ht="12.75" customHeight="1" x14ac:dyDescent="0.25">
      <c r="A173" s="42">
        <v>2016</v>
      </c>
      <c r="B173" s="42" t="s">
        <v>13</v>
      </c>
      <c r="C173" s="43">
        <v>7145.5742099999998</v>
      </c>
      <c r="D173" s="43">
        <v>0</v>
      </c>
      <c r="E173" s="43">
        <v>0</v>
      </c>
      <c r="F173" s="43"/>
      <c r="G173" s="43">
        <v>0</v>
      </c>
      <c r="H173" s="43">
        <v>9138.224259999999</v>
      </c>
      <c r="I173" s="43">
        <v>0</v>
      </c>
      <c r="J173" s="43">
        <v>3244.2225099999996</v>
      </c>
      <c r="K173" s="44">
        <v>19528.020979999998</v>
      </c>
    </row>
    <row r="174" spans="1:11" ht="12.75" customHeight="1" x14ac:dyDescent="0.25">
      <c r="A174" s="42">
        <v>2016</v>
      </c>
      <c r="B174" s="42" t="s">
        <v>14</v>
      </c>
      <c r="C174" s="43">
        <v>7092.8700400000007</v>
      </c>
      <c r="D174" s="43">
        <v>0</v>
      </c>
      <c r="E174" s="43">
        <v>0</v>
      </c>
      <c r="F174" s="43"/>
      <c r="G174" s="43">
        <v>0</v>
      </c>
      <c r="H174" s="43">
        <v>8634.9704099999999</v>
      </c>
      <c r="I174" s="43">
        <v>8</v>
      </c>
      <c r="J174" s="43">
        <v>4128.3248199999998</v>
      </c>
      <c r="K174" s="44">
        <v>19864.165270000001</v>
      </c>
    </row>
    <row r="175" spans="1:11" ht="12.75" customHeight="1" x14ac:dyDescent="0.25">
      <c r="A175" s="42">
        <v>2016</v>
      </c>
      <c r="B175" s="42" t="s">
        <v>15</v>
      </c>
      <c r="C175" s="43">
        <v>75620.129849999998</v>
      </c>
      <c r="D175" s="43">
        <v>0</v>
      </c>
      <c r="E175" s="43">
        <v>0</v>
      </c>
      <c r="F175" s="43"/>
      <c r="G175" s="43">
        <v>0</v>
      </c>
      <c r="H175" s="43">
        <v>97918.551109999986</v>
      </c>
      <c r="I175" s="43">
        <v>8</v>
      </c>
      <c r="J175" s="43">
        <v>37565.463380000001</v>
      </c>
      <c r="K175" s="44">
        <v>211112.14434</v>
      </c>
    </row>
    <row r="176" spans="1:11" ht="12.75" customHeight="1" x14ac:dyDescent="0.25">
      <c r="A176" s="42">
        <v>2017</v>
      </c>
      <c r="B176" s="42" t="s">
        <v>3</v>
      </c>
      <c r="C176" s="43">
        <v>8044.6455599999999</v>
      </c>
      <c r="D176" s="43">
        <v>0</v>
      </c>
      <c r="E176" s="43">
        <v>0</v>
      </c>
      <c r="F176" s="43"/>
      <c r="G176" s="43">
        <v>0</v>
      </c>
      <c r="H176" s="43">
        <v>8763.6995299999999</v>
      </c>
      <c r="I176" s="43">
        <v>0</v>
      </c>
      <c r="J176" s="43">
        <v>4598.1381199999987</v>
      </c>
      <c r="K176" s="44">
        <v>21406.483209999999</v>
      </c>
    </row>
    <row r="177" spans="1:11" ht="12.75" customHeight="1" x14ac:dyDescent="0.25">
      <c r="A177" s="42">
        <v>2017</v>
      </c>
      <c r="B177" s="42" t="s">
        <v>4</v>
      </c>
      <c r="C177" s="43">
        <v>7192.9177300000001</v>
      </c>
      <c r="D177" s="43">
        <v>0</v>
      </c>
      <c r="E177" s="43">
        <v>0</v>
      </c>
      <c r="F177" s="43"/>
      <c r="G177" s="43">
        <v>0</v>
      </c>
      <c r="H177" s="43">
        <v>8519.9371599999995</v>
      </c>
      <c r="I177" s="43">
        <v>14.858690000000001</v>
      </c>
      <c r="J177" s="43">
        <v>2962.3812399999997</v>
      </c>
      <c r="K177" s="44">
        <v>18690.094819999998</v>
      </c>
    </row>
    <row r="178" spans="1:11" ht="12.75" customHeight="1" x14ac:dyDescent="0.25">
      <c r="A178" s="42">
        <v>2017</v>
      </c>
      <c r="B178" s="42" t="s">
        <v>5</v>
      </c>
      <c r="C178" s="43">
        <v>7639.4591800000007</v>
      </c>
      <c r="D178" s="43">
        <v>0</v>
      </c>
      <c r="E178" s="43">
        <v>0</v>
      </c>
      <c r="F178" s="43"/>
      <c r="G178" s="43">
        <v>0</v>
      </c>
      <c r="H178" s="43">
        <v>7846.0306100000007</v>
      </c>
      <c r="I178" s="43">
        <v>0</v>
      </c>
      <c r="J178" s="43">
        <v>1989.3430099999998</v>
      </c>
      <c r="K178" s="44">
        <v>17474.832800000004</v>
      </c>
    </row>
    <row r="179" spans="1:11" ht="12.75" customHeight="1" x14ac:dyDescent="0.25">
      <c r="A179" s="42">
        <v>2017</v>
      </c>
      <c r="B179" s="42" t="s">
        <v>6</v>
      </c>
      <c r="C179" s="43">
        <v>6130.6818700000003</v>
      </c>
      <c r="D179" s="43">
        <v>0</v>
      </c>
      <c r="E179" s="43">
        <v>0</v>
      </c>
      <c r="F179" s="43"/>
      <c r="G179" s="43">
        <v>0</v>
      </c>
      <c r="H179" s="43">
        <v>6136.5772000000006</v>
      </c>
      <c r="I179" s="43">
        <v>0</v>
      </c>
      <c r="J179" s="43">
        <v>3194.5603900000001</v>
      </c>
      <c r="K179" s="44">
        <v>15461.819460000001</v>
      </c>
    </row>
    <row r="180" spans="1:11" ht="12.75" customHeight="1" x14ac:dyDescent="0.25">
      <c r="A180" s="42">
        <v>2017</v>
      </c>
      <c r="B180" s="42" t="s">
        <v>7</v>
      </c>
      <c r="C180" s="43">
        <v>5867.4054599999999</v>
      </c>
      <c r="D180" s="43">
        <v>0</v>
      </c>
      <c r="E180" s="43">
        <v>0</v>
      </c>
      <c r="F180" s="43"/>
      <c r="G180" s="43">
        <v>0</v>
      </c>
      <c r="H180" s="43">
        <v>6523.53514</v>
      </c>
      <c r="I180" s="43">
        <v>0</v>
      </c>
      <c r="J180" s="43">
        <v>3903.8740900000003</v>
      </c>
      <c r="K180" s="44">
        <v>16294.814690000001</v>
      </c>
    </row>
    <row r="181" spans="1:11" ht="12.75" customHeight="1" x14ac:dyDescent="0.25">
      <c r="A181" s="42">
        <v>2017</v>
      </c>
      <c r="B181" s="42" t="s">
        <v>8</v>
      </c>
      <c r="C181" s="43">
        <v>5460.6459299999997</v>
      </c>
      <c r="D181" s="43">
        <v>0</v>
      </c>
      <c r="E181" s="43">
        <v>0</v>
      </c>
      <c r="F181" s="43"/>
      <c r="G181" s="43">
        <v>0</v>
      </c>
      <c r="H181" s="43">
        <v>4728.3644599999998</v>
      </c>
      <c r="I181" s="43">
        <v>0</v>
      </c>
      <c r="J181" s="43">
        <v>4122.8991900000001</v>
      </c>
      <c r="K181" s="44">
        <v>14311.909580000001</v>
      </c>
    </row>
    <row r="182" spans="1:11" ht="12.75" customHeight="1" x14ac:dyDescent="0.25">
      <c r="A182" s="42">
        <v>2017</v>
      </c>
      <c r="B182" s="42" t="s">
        <v>9</v>
      </c>
      <c r="C182" s="43">
        <v>4776.1754900000005</v>
      </c>
      <c r="D182" s="43">
        <v>0</v>
      </c>
      <c r="E182" s="43">
        <v>0</v>
      </c>
      <c r="F182" s="43"/>
      <c r="G182" s="43">
        <v>0</v>
      </c>
      <c r="H182" s="43">
        <v>4827.0322400000005</v>
      </c>
      <c r="I182" s="43">
        <v>0</v>
      </c>
      <c r="J182" s="43">
        <v>4437.1844599999995</v>
      </c>
      <c r="K182" s="44">
        <v>14040.39219</v>
      </c>
    </row>
    <row r="183" spans="1:11" ht="12.75" customHeight="1" x14ac:dyDescent="0.25">
      <c r="A183" s="42">
        <v>2017</v>
      </c>
      <c r="B183" s="42" t="s">
        <v>10</v>
      </c>
      <c r="C183" s="43">
        <v>4278.2321300000003</v>
      </c>
      <c r="D183" s="43">
        <v>0</v>
      </c>
      <c r="E183" s="43">
        <v>0</v>
      </c>
      <c r="F183" s="43"/>
      <c r="G183" s="43">
        <v>0</v>
      </c>
      <c r="H183" s="43">
        <v>3719.8407000000002</v>
      </c>
      <c r="I183" s="43">
        <v>0</v>
      </c>
      <c r="J183" s="43">
        <v>4417.3236699999998</v>
      </c>
      <c r="K183" s="44">
        <v>12415.396499999999</v>
      </c>
    </row>
    <row r="184" spans="1:11" ht="12.75" customHeight="1" x14ac:dyDescent="0.25">
      <c r="A184" s="42">
        <v>2017</v>
      </c>
      <c r="B184" s="42" t="s">
        <v>11</v>
      </c>
      <c r="C184" s="43">
        <v>4695.28766</v>
      </c>
      <c r="D184" s="43">
        <v>0</v>
      </c>
      <c r="E184" s="43">
        <v>0</v>
      </c>
      <c r="F184" s="43"/>
      <c r="G184" s="43">
        <v>0</v>
      </c>
      <c r="H184" s="43">
        <v>6725.2757000000001</v>
      </c>
      <c r="I184" s="43">
        <v>0</v>
      </c>
      <c r="J184" s="43">
        <v>3574.7778999999996</v>
      </c>
      <c r="K184" s="44">
        <v>14995.341260000001</v>
      </c>
    </row>
    <row r="185" spans="1:11" ht="12.75" customHeight="1" x14ac:dyDescent="0.25">
      <c r="A185" s="42">
        <v>2017</v>
      </c>
      <c r="B185" s="42" t="s">
        <v>12</v>
      </c>
      <c r="C185" s="43">
        <v>6818.2913099999996</v>
      </c>
      <c r="D185" s="43">
        <v>0</v>
      </c>
      <c r="E185" s="43">
        <v>0</v>
      </c>
      <c r="F185" s="43"/>
      <c r="G185" s="43">
        <v>0</v>
      </c>
      <c r="H185" s="43">
        <v>9662.3072400000001</v>
      </c>
      <c r="I185" s="43">
        <v>0</v>
      </c>
      <c r="J185" s="43">
        <v>4210.3667799999994</v>
      </c>
      <c r="K185" s="44">
        <v>20690.965330000003</v>
      </c>
    </row>
    <row r="186" spans="1:11" ht="12.75" customHeight="1" x14ac:dyDescent="0.25">
      <c r="A186" s="42">
        <v>2017</v>
      </c>
      <c r="B186" s="42" t="s">
        <v>13</v>
      </c>
      <c r="C186" s="43">
        <v>6805.6892199999993</v>
      </c>
      <c r="D186" s="43">
        <v>0</v>
      </c>
      <c r="E186" s="43">
        <v>0</v>
      </c>
      <c r="F186" s="43"/>
      <c r="G186" s="43">
        <v>0</v>
      </c>
      <c r="H186" s="43">
        <v>9355.2985100000005</v>
      </c>
      <c r="I186" s="43">
        <v>0</v>
      </c>
      <c r="J186" s="43">
        <v>2978.9736899999998</v>
      </c>
      <c r="K186" s="44">
        <v>19139.96142</v>
      </c>
    </row>
    <row r="187" spans="1:11" ht="12.75" customHeight="1" x14ac:dyDescent="0.25">
      <c r="A187" s="42">
        <v>2017</v>
      </c>
      <c r="B187" s="42" t="s">
        <v>14</v>
      </c>
      <c r="C187" s="43">
        <v>7036.0185099999999</v>
      </c>
      <c r="D187" s="43">
        <v>0</v>
      </c>
      <c r="E187" s="43">
        <v>0</v>
      </c>
      <c r="F187" s="43"/>
      <c r="G187" s="43">
        <v>0</v>
      </c>
      <c r="H187" s="43">
        <v>9689.5084600000009</v>
      </c>
      <c r="I187" s="43">
        <v>0</v>
      </c>
      <c r="J187" s="43">
        <v>3695.5813199999998</v>
      </c>
      <c r="K187" s="44">
        <v>20421.10829</v>
      </c>
    </row>
    <row r="188" spans="1:11" ht="12.75" customHeight="1" x14ac:dyDescent="0.25">
      <c r="A188" s="42">
        <v>2017</v>
      </c>
      <c r="B188" s="42" t="s">
        <v>15</v>
      </c>
      <c r="C188" s="43">
        <v>74745.450049999999</v>
      </c>
      <c r="D188" s="43">
        <v>0</v>
      </c>
      <c r="E188" s="43">
        <v>0</v>
      </c>
      <c r="F188" s="43"/>
      <c r="G188" s="43">
        <v>0</v>
      </c>
      <c r="H188" s="43">
        <v>86497.40694999999</v>
      </c>
      <c r="I188" s="43">
        <v>14.858690000000001</v>
      </c>
      <c r="J188" s="43">
        <v>44085.403859999991</v>
      </c>
      <c r="K188" s="44">
        <v>205343.11955000003</v>
      </c>
    </row>
    <row r="189" spans="1:11" ht="12.75" customHeight="1" x14ac:dyDescent="0.25">
      <c r="A189" s="42">
        <v>2018</v>
      </c>
      <c r="B189" s="42" t="s">
        <v>3</v>
      </c>
      <c r="C189" s="43">
        <v>6733.4045699999997</v>
      </c>
      <c r="D189" s="43">
        <v>0</v>
      </c>
      <c r="E189" s="43">
        <v>0</v>
      </c>
      <c r="F189" s="43"/>
      <c r="G189" s="43">
        <v>0</v>
      </c>
      <c r="H189" s="43">
        <v>11471.899079999999</v>
      </c>
      <c r="I189" s="43">
        <v>0</v>
      </c>
      <c r="J189" s="43">
        <v>3810.93523</v>
      </c>
      <c r="K189" s="44">
        <v>22016.238879999997</v>
      </c>
    </row>
    <row r="190" spans="1:11" ht="12.75" customHeight="1" x14ac:dyDescent="0.25">
      <c r="A190" s="42">
        <v>2018</v>
      </c>
      <c r="B190" s="42" t="s">
        <v>4</v>
      </c>
      <c r="C190" s="43">
        <v>6214.8616300000003</v>
      </c>
      <c r="D190" s="43">
        <v>0</v>
      </c>
      <c r="E190" s="43">
        <v>0</v>
      </c>
      <c r="F190" s="43"/>
      <c r="G190" s="43">
        <v>0</v>
      </c>
      <c r="H190" s="43">
        <v>10554.750620000001</v>
      </c>
      <c r="I190" s="43">
        <v>10.026</v>
      </c>
      <c r="J190" s="43">
        <v>3979.7013199999997</v>
      </c>
      <c r="K190" s="44">
        <v>20759.339570000004</v>
      </c>
    </row>
    <row r="191" spans="1:11" ht="12.75" customHeight="1" x14ac:dyDescent="0.25">
      <c r="A191" s="42">
        <v>2018</v>
      </c>
      <c r="B191" s="42" t="s">
        <v>5</v>
      </c>
      <c r="C191" s="43">
        <v>6867.7813399999995</v>
      </c>
      <c r="D191" s="43">
        <v>0</v>
      </c>
      <c r="E191" s="43">
        <v>0</v>
      </c>
      <c r="F191" s="43"/>
      <c r="G191" s="43">
        <v>0</v>
      </c>
      <c r="H191" s="43">
        <v>11236.19908</v>
      </c>
      <c r="I191" s="43">
        <v>0</v>
      </c>
      <c r="J191" s="43">
        <v>3501.8418900000001</v>
      </c>
      <c r="K191" s="44">
        <v>21605.82231</v>
      </c>
    </row>
    <row r="192" spans="1:11" ht="12.75" customHeight="1" x14ac:dyDescent="0.25">
      <c r="A192" s="42">
        <v>2018</v>
      </c>
      <c r="B192" s="42" t="s">
        <v>6</v>
      </c>
      <c r="C192" s="43">
        <v>5777.2343200000005</v>
      </c>
      <c r="D192" s="43">
        <v>0</v>
      </c>
      <c r="E192" s="43">
        <v>0</v>
      </c>
      <c r="F192" s="43"/>
      <c r="G192" s="43">
        <v>0</v>
      </c>
      <c r="H192" s="43">
        <v>10847.13459</v>
      </c>
      <c r="I192" s="43">
        <v>17.0442</v>
      </c>
      <c r="J192" s="43">
        <v>2146.5304100000003</v>
      </c>
      <c r="K192" s="44">
        <v>18787.943520000001</v>
      </c>
    </row>
    <row r="193" spans="1:11" ht="12.75" customHeight="1" x14ac:dyDescent="0.25">
      <c r="A193" s="42">
        <v>2018</v>
      </c>
      <c r="B193" s="42" t="s">
        <v>7</v>
      </c>
      <c r="C193" s="43">
        <v>5468.363510000001</v>
      </c>
      <c r="D193" s="43">
        <v>0</v>
      </c>
      <c r="E193" s="43">
        <v>0</v>
      </c>
      <c r="F193" s="43"/>
      <c r="G193" s="43">
        <v>0</v>
      </c>
      <c r="H193" s="43">
        <v>10449.09908</v>
      </c>
      <c r="I193" s="43">
        <v>0</v>
      </c>
      <c r="J193" s="43">
        <v>2146.4991100000002</v>
      </c>
      <c r="K193" s="44">
        <v>18063.9617</v>
      </c>
    </row>
    <row r="194" spans="1:11" ht="12.75" customHeight="1" x14ac:dyDescent="0.25">
      <c r="A194" s="42">
        <v>2018</v>
      </c>
      <c r="B194" s="42" t="s">
        <v>8</v>
      </c>
      <c r="C194" s="43">
        <v>5504.0493100000003</v>
      </c>
      <c r="D194" s="43">
        <v>0</v>
      </c>
      <c r="E194" s="43">
        <v>0</v>
      </c>
      <c r="F194" s="43"/>
      <c r="G194" s="43">
        <v>0</v>
      </c>
      <c r="H194" s="43">
        <v>10492.434590000001</v>
      </c>
      <c r="I194" s="43">
        <v>0</v>
      </c>
      <c r="J194" s="43">
        <v>2069.9176899999998</v>
      </c>
      <c r="K194" s="44">
        <v>18066.401590000001</v>
      </c>
    </row>
    <row r="195" spans="1:11" ht="12.75" customHeight="1" x14ac:dyDescent="0.25">
      <c r="A195" s="42">
        <v>2018</v>
      </c>
      <c r="B195" s="42" t="s">
        <v>9</v>
      </c>
      <c r="C195" s="43">
        <v>7089.8904600000005</v>
      </c>
      <c r="D195" s="43">
        <v>0</v>
      </c>
      <c r="E195" s="43">
        <v>0</v>
      </c>
      <c r="F195" s="43"/>
      <c r="G195" s="43">
        <v>0</v>
      </c>
      <c r="H195" s="43">
        <v>6411.0769900000005</v>
      </c>
      <c r="I195" s="43">
        <v>19.049409999999998</v>
      </c>
      <c r="J195" s="43">
        <v>2204.4133400000001</v>
      </c>
      <c r="K195" s="44">
        <v>15724.430200000003</v>
      </c>
    </row>
    <row r="196" spans="1:11" ht="12.75" customHeight="1" x14ac:dyDescent="0.25">
      <c r="A196" s="42">
        <v>2018</v>
      </c>
      <c r="B196" s="42" t="s">
        <v>10</v>
      </c>
      <c r="C196" s="43">
        <v>7512.6409200000007</v>
      </c>
      <c r="D196" s="43">
        <v>0</v>
      </c>
      <c r="E196" s="43">
        <v>0</v>
      </c>
      <c r="F196" s="43"/>
      <c r="G196" s="43">
        <v>0</v>
      </c>
      <c r="H196" s="43">
        <v>6285.1655899999996</v>
      </c>
      <c r="I196" s="43">
        <v>0</v>
      </c>
      <c r="J196" s="43">
        <v>2293.87815</v>
      </c>
      <c r="K196" s="44">
        <v>16091.684660000001</v>
      </c>
    </row>
    <row r="197" spans="1:11" ht="12.75" customHeight="1" x14ac:dyDescent="0.25">
      <c r="A197" s="42">
        <v>2018</v>
      </c>
      <c r="B197" s="42" t="s">
        <v>11</v>
      </c>
      <c r="C197" s="43">
        <v>6260.4407300000003</v>
      </c>
      <c r="D197" s="43">
        <v>0</v>
      </c>
      <c r="E197" s="43">
        <v>0</v>
      </c>
      <c r="F197" s="43"/>
      <c r="G197" s="43">
        <v>0</v>
      </c>
      <c r="H197" s="43">
        <v>7502.8416699999998</v>
      </c>
      <c r="I197" s="43">
        <v>0</v>
      </c>
      <c r="J197" s="43">
        <v>3372.9318400000002</v>
      </c>
      <c r="K197" s="44">
        <v>17136.214240000001</v>
      </c>
    </row>
    <row r="198" spans="1:11" ht="12.75" customHeight="1" x14ac:dyDescent="0.25">
      <c r="A198" s="42">
        <v>2018</v>
      </c>
      <c r="B198" s="42" t="s">
        <v>12</v>
      </c>
      <c r="C198" s="43">
        <v>7159.5737800000006</v>
      </c>
      <c r="D198" s="43">
        <v>0</v>
      </c>
      <c r="E198" s="43">
        <v>0</v>
      </c>
      <c r="F198" s="43"/>
      <c r="G198" s="43">
        <v>0</v>
      </c>
      <c r="H198" s="43">
        <v>5243.8932000000004</v>
      </c>
      <c r="I198" s="43">
        <v>47.639040000000001</v>
      </c>
      <c r="J198" s="43">
        <v>4391.8654600000054</v>
      </c>
      <c r="K198" s="44">
        <v>16842.971480000007</v>
      </c>
    </row>
    <row r="199" spans="1:11" ht="12.75" customHeight="1" x14ac:dyDescent="0.25">
      <c r="A199" s="42">
        <v>2018</v>
      </c>
      <c r="B199" s="42" t="s">
        <v>13</v>
      </c>
      <c r="C199" s="43">
        <v>7415.0565999999999</v>
      </c>
      <c r="D199" s="43">
        <v>0</v>
      </c>
      <c r="E199" s="43">
        <v>0</v>
      </c>
      <c r="F199" s="43"/>
      <c r="G199" s="43">
        <v>0</v>
      </c>
      <c r="H199" s="43">
        <v>6916.8766400000004</v>
      </c>
      <c r="I199" s="43">
        <v>12.0312</v>
      </c>
      <c r="J199" s="43">
        <v>4897.3383099999992</v>
      </c>
      <c r="K199" s="44">
        <v>19241.302749999999</v>
      </c>
    </row>
    <row r="200" spans="1:11" ht="12.75" customHeight="1" x14ac:dyDescent="0.25">
      <c r="A200" s="42">
        <v>2018</v>
      </c>
      <c r="B200" s="42" t="s">
        <v>14</v>
      </c>
      <c r="C200" s="43">
        <v>7289.3149000000003</v>
      </c>
      <c r="D200" s="43">
        <v>0</v>
      </c>
      <c r="E200" s="43">
        <v>0</v>
      </c>
      <c r="F200" s="43"/>
      <c r="G200" s="43">
        <v>0</v>
      </c>
      <c r="H200" s="43">
        <v>7394.9554500000004</v>
      </c>
      <c r="I200" s="43">
        <v>0</v>
      </c>
      <c r="J200" s="43">
        <v>5402.6314999999986</v>
      </c>
      <c r="K200" s="44">
        <v>20086.901850000002</v>
      </c>
    </row>
    <row r="201" spans="1:11" ht="12.75" customHeight="1" x14ac:dyDescent="0.25">
      <c r="A201" s="42">
        <v>2018</v>
      </c>
      <c r="B201" s="42" t="s">
        <v>15</v>
      </c>
      <c r="C201" s="43">
        <v>79292.612070000003</v>
      </c>
      <c r="D201" s="43">
        <v>0</v>
      </c>
      <c r="E201" s="43">
        <v>0</v>
      </c>
      <c r="F201" s="43"/>
      <c r="G201" s="43">
        <v>0</v>
      </c>
      <c r="H201" s="43">
        <v>104806.32658000001</v>
      </c>
      <c r="I201" s="43">
        <v>105.78984999999999</v>
      </c>
      <c r="J201" s="43">
        <v>40218.484250000001</v>
      </c>
      <c r="K201" s="44">
        <v>224423.21275000001</v>
      </c>
    </row>
    <row r="202" spans="1:11" ht="12.75" customHeight="1" x14ac:dyDescent="0.25">
      <c r="A202" s="42">
        <v>2019</v>
      </c>
      <c r="B202" s="42" t="s">
        <v>3</v>
      </c>
      <c r="C202" s="43">
        <v>7828.8282600000002</v>
      </c>
      <c r="D202" s="43">
        <v>0</v>
      </c>
      <c r="E202" s="43">
        <v>0</v>
      </c>
      <c r="F202" s="43"/>
      <c r="G202" s="43">
        <v>0</v>
      </c>
      <c r="H202" s="43">
        <v>8418.1</v>
      </c>
      <c r="I202" s="43">
        <v>397.84109999999998</v>
      </c>
      <c r="J202" s="43">
        <v>6242.5330699999995</v>
      </c>
      <c r="K202" s="44">
        <v>22887.302430000003</v>
      </c>
    </row>
    <row r="203" spans="1:11" ht="12.75" customHeight="1" x14ac:dyDescent="0.25">
      <c r="A203" s="42">
        <v>2019</v>
      </c>
      <c r="B203" s="42" t="s">
        <v>4</v>
      </c>
      <c r="C203" s="43">
        <v>5696.1236899999994</v>
      </c>
      <c r="D203" s="43">
        <v>0</v>
      </c>
      <c r="E203" s="43">
        <v>0</v>
      </c>
      <c r="F203" s="43"/>
      <c r="G203" s="43">
        <v>0</v>
      </c>
      <c r="H203" s="43">
        <v>5073.4260000000004</v>
      </c>
      <c r="I203" s="43">
        <v>490.29861000000005</v>
      </c>
      <c r="J203" s="43">
        <v>5603.3294399999995</v>
      </c>
      <c r="K203" s="44">
        <v>16863.177739999999</v>
      </c>
    </row>
    <row r="204" spans="1:11" ht="12.75" customHeight="1" x14ac:dyDescent="0.25">
      <c r="A204" s="42">
        <v>2019</v>
      </c>
      <c r="B204" s="42" t="s">
        <v>5</v>
      </c>
      <c r="C204" s="43">
        <v>4427.2221100000006</v>
      </c>
      <c r="D204" s="43">
        <v>0</v>
      </c>
      <c r="E204" s="43">
        <v>0</v>
      </c>
      <c r="F204" s="43"/>
      <c r="G204" s="43">
        <v>0</v>
      </c>
      <c r="H204" s="43">
        <v>2525.5022000000004</v>
      </c>
      <c r="I204" s="43">
        <v>373.33878000000004</v>
      </c>
      <c r="J204" s="43">
        <v>6157.4374900000003</v>
      </c>
      <c r="K204" s="44">
        <v>13483.50058</v>
      </c>
    </row>
    <row r="205" spans="1:11" ht="12.75" customHeight="1" x14ac:dyDescent="0.25">
      <c r="A205" s="42">
        <v>2019</v>
      </c>
      <c r="B205" s="42" t="s">
        <v>6</v>
      </c>
      <c r="C205" s="43">
        <v>5527.6505199999992</v>
      </c>
      <c r="D205" s="43">
        <v>0</v>
      </c>
      <c r="E205" s="43">
        <v>0</v>
      </c>
      <c r="F205" s="43"/>
      <c r="G205" s="43">
        <v>0</v>
      </c>
      <c r="H205" s="43">
        <v>3265.3845000000001</v>
      </c>
      <c r="I205" s="43">
        <v>214.18929</v>
      </c>
      <c r="J205" s="43">
        <v>4358.2450500000004</v>
      </c>
      <c r="K205" s="44">
        <v>13365.469359999999</v>
      </c>
    </row>
    <row r="206" spans="1:11" ht="12.75" customHeight="1" x14ac:dyDescent="0.25">
      <c r="A206" s="42">
        <v>2019</v>
      </c>
      <c r="B206" s="42" t="s">
        <v>7</v>
      </c>
      <c r="C206" s="43">
        <v>5470.5777199999993</v>
      </c>
      <c r="D206" s="43">
        <v>0</v>
      </c>
      <c r="E206" s="43">
        <v>0</v>
      </c>
      <c r="F206" s="43"/>
      <c r="G206" s="43">
        <v>0</v>
      </c>
      <c r="H206" s="43">
        <v>3869.8881499999998</v>
      </c>
      <c r="I206" s="43">
        <v>49.973959999999998</v>
      </c>
      <c r="J206" s="43">
        <v>3972.6655600000004</v>
      </c>
      <c r="K206" s="44">
        <v>13363.105389999997</v>
      </c>
    </row>
    <row r="207" spans="1:11" ht="12.75" customHeight="1" x14ac:dyDescent="0.25">
      <c r="A207" s="42">
        <v>2019</v>
      </c>
      <c r="B207" s="42" t="s">
        <v>8</v>
      </c>
      <c r="C207" s="43">
        <v>5275.4554700000008</v>
      </c>
      <c r="D207" s="43">
        <v>0</v>
      </c>
      <c r="E207" s="43">
        <v>0</v>
      </c>
      <c r="F207" s="43"/>
      <c r="G207" s="43">
        <v>0</v>
      </c>
      <c r="H207" s="43">
        <v>2766.7150000000001</v>
      </c>
      <c r="I207" s="43">
        <v>135.97193999999999</v>
      </c>
      <c r="J207" s="43">
        <v>3170.36742</v>
      </c>
      <c r="K207" s="44">
        <v>11348.509829999999</v>
      </c>
    </row>
    <row r="208" spans="1:11" ht="12.75" customHeight="1" x14ac:dyDescent="0.25">
      <c r="A208" s="42">
        <v>2019</v>
      </c>
      <c r="B208" s="42" t="s">
        <v>9</v>
      </c>
      <c r="C208" s="43">
        <v>4653.8287599999994</v>
      </c>
      <c r="D208" s="43">
        <v>0</v>
      </c>
      <c r="E208" s="43">
        <v>0</v>
      </c>
      <c r="F208" s="43"/>
      <c r="G208" s="43">
        <v>0</v>
      </c>
      <c r="H208" s="43">
        <v>3796.355</v>
      </c>
      <c r="I208" s="43">
        <v>0</v>
      </c>
      <c r="J208" s="43">
        <v>3816.7300499999997</v>
      </c>
      <c r="K208" s="44">
        <v>12266.913809999998</v>
      </c>
    </row>
    <row r="209" spans="1:11" ht="12.75" customHeight="1" x14ac:dyDescent="0.25">
      <c r="A209" s="42">
        <v>2019</v>
      </c>
      <c r="B209" s="42" t="s">
        <v>10</v>
      </c>
      <c r="C209" s="43">
        <v>4559.1648800000003</v>
      </c>
      <c r="D209" s="43">
        <v>0</v>
      </c>
      <c r="E209" s="43">
        <v>0</v>
      </c>
      <c r="F209" s="43"/>
      <c r="G209" s="43">
        <v>0</v>
      </c>
      <c r="H209" s="43">
        <v>2836.5923700000003</v>
      </c>
      <c r="I209" s="43">
        <v>0</v>
      </c>
      <c r="J209" s="43">
        <v>4503.0829200000026</v>
      </c>
      <c r="K209" s="44">
        <v>11898.840170000003</v>
      </c>
    </row>
    <row r="210" spans="1:11" ht="12.75" customHeight="1" x14ac:dyDescent="0.25">
      <c r="A210" s="42">
        <v>2019</v>
      </c>
      <c r="B210" s="42" t="s">
        <v>11</v>
      </c>
      <c r="C210" s="43">
        <v>3205.6355999999996</v>
      </c>
      <c r="D210" s="43">
        <v>0</v>
      </c>
      <c r="E210" s="43">
        <v>0</v>
      </c>
      <c r="F210" s="43"/>
      <c r="G210" s="43">
        <v>0</v>
      </c>
      <c r="H210" s="43">
        <v>3569.8054999999999</v>
      </c>
      <c r="I210" s="43">
        <v>0</v>
      </c>
      <c r="J210" s="43">
        <v>4153.2429100000018</v>
      </c>
      <c r="K210" s="44">
        <v>10928.684010000001</v>
      </c>
    </row>
    <row r="211" spans="1:11" ht="12.75" customHeight="1" x14ac:dyDescent="0.25">
      <c r="A211" s="42">
        <v>2019</v>
      </c>
      <c r="B211" s="42" t="s">
        <v>12</v>
      </c>
      <c r="C211" s="43">
        <v>6685.5153499999997</v>
      </c>
      <c r="D211" s="43">
        <v>0</v>
      </c>
      <c r="E211" s="43">
        <v>0</v>
      </c>
      <c r="F211" s="43"/>
      <c r="G211" s="43">
        <v>0</v>
      </c>
      <c r="H211" s="43">
        <v>6338.5710399999998</v>
      </c>
      <c r="I211" s="43">
        <v>0</v>
      </c>
      <c r="J211" s="43">
        <v>5111.3107900000014</v>
      </c>
      <c r="K211" s="44">
        <v>18135.39718</v>
      </c>
    </row>
    <row r="212" spans="1:11" ht="12.75" customHeight="1" x14ac:dyDescent="0.25">
      <c r="A212" s="42">
        <v>2019</v>
      </c>
      <c r="B212" s="42" t="s">
        <v>13</v>
      </c>
      <c r="C212" s="43">
        <v>7535.4235399999998</v>
      </c>
      <c r="D212" s="43">
        <v>0</v>
      </c>
      <c r="E212" s="43">
        <v>0</v>
      </c>
      <c r="F212" s="43"/>
      <c r="G212" s="43">
        <v>0</v>
      </c>
      <c r="H212" s="43">
        <v>7186.45</v>
      </c>
      <c r="I212" s="43">
        <v>95.079039999999992</v>
      </c>
      <c r="J212" s="43">
        <v>1451.3587199999999</v>
      </c>
      <c r="K212" s="44">
        <v>16268.311300000001</v>
      </c>
    </row>
    <row r="213" spans="1:11" ht="12.75" customHeight="1" x14ac:dyDescent="0.25">
      <c r="A213" s="42">
        <v>2019</v>
      </c>
      <c r="B213" s="42" t="s">
        <v>14</v>
      </c>
      <c r="C213" s="43">
        <v>7790.85653</v>
      </c>
      <c r="D213" s="43">
        <v>0</v>
      </c>
      <c r="E213" s="43">
        <v>0</v>
      </c>
      <c r="F213" s="43"/>
      <c r="G213" s="43">
        <v>0</v>
      </c>
      <c r="H213" s="43">
        <v>8013.3180000000002</v>
      </c>
      <c r="I213" s="43">
        <v>178.81214000000003</v>
      </c>
      <c r="J213" s="43">
        <v>670.98212000000001</v>
      </c>
      <c r="K213" s="44">
        <v>16653.968789999999</v>
      </c>
    </row>
    <row r="214" spans="1:11" ht="12.75" customHeight="1" x14ac:dyDescent="0.25">
      <c r="A214" s="42">
        <v>2019</v>
      </c>
      <c r="B214" s="42" t="s">
        <v>15</v>
      </c>
      <c r="C214" s="43">
        <v>68656.282429999992</v>
      </c>
      <c r="D214" s="43">
        <v>0</v>
      </c>
      <c r="E214" s="43">
        <v>0</v>
      </c>
      <c r="F214" s="43"/>
      <c r="G214" s="43">
        <v>0</v>
      </c>
      <c r="H214" s="43">
        <v>57660.107759999999</v>
      </c>
      <c r="I214" s="43">
        <v>1935.50486</v>
      </c>
      <c r="J214" s="43">
        <v>49211.285540000004</v>
      </c>
      <c r="K214" s="44">
        <v>177463.18059</v>
      </c>
    </row>
    <row r="215" spans="1:11" ht="12.75" customHeight="1" x14ac:dyDescent="0.25">
      <c r="A215" s="42">
        <v>2020</v>
      </c>
      <c r="B215" s="42" t="s">
        <v>3</v>
      </c>
      <c r="C215" s="43">
        <v>5121.0717299999997</v>
      </c>
      <c r="D215" s="43">
        <v>0</v>
      </c>
      <c r="E215" s="43">
        <v>0</v>
      </c>
      <c r="F215" s="43"/>
      <c r="G215" s="43">
        <v>0</v>
      </c>
      <c r="H215" s="43">
        <v>2492.83619</v>
      </c>
      <c r="I215" s="43">
        <v>378.20240000000001</v>
      </c>
      <c r="J215" s="43">
        <v>3114.1813299999999</v>
      </c>
      <c r="K215" s="44">
        <v>11106.291649999999</v>
      </c>
    </row>
    <row r="216" spans="1:11" ht="12.75" customHeight="1" x14ac:dyDescent="0.25">
      <c r="A216" s="42">
        <v>2020</v>
      </c>
      <c r="B216" s="42" t="s">
        <v>4</v>
      </c>
      <c r="C216" s="43">
        <v>4793.9101300000011</v>
      </c>
      <c r="D216" s="43">
        <v>0</v>
      </c>
      <c r="E216" s="43">
        <v>0</v>
      </c>
      <c r="F216" s="43"/>
      <c r="G216" s="43">
        <v>0</v>
      </c>
      <c r="H216" s="43">
        <v>1837.1855800000001</v>
      </c>
      <c r="I216" s="43">
        <v>228.65655999999998</v>
      </c>
      <c r="J216" s="43">
        <v>3161.9828299999999</v>
      </c>
      <c r="K216" s="44">
        <v>10021.735100000002</v>
      </c>
    </row>
    <row r="217" spans="1:11" ht="12.75" customHeight="1" x14ac:dyDescent="0.25">
      <c r="A217" s="42">
        <v>2020</v>
      </c>
      <c r="B217" s="42" t="s">
        <v>5</v>
      </c>
      <c r="C217" s="43">
        <v>3663.7433900000001</v>
      </c>
      <c r="D217" s="43">
        <v>0</v>
      </c>
      <c r="E217" s="43">
        <v>0</v>
      </c>
      <c r="F217" s="43"/>
      <c r="G217" s="43">
        <v>0</v>
      </c>
      <c r="H217" s="43">
        <v>1349.6229599999999</v>
      </c>
      <c r="I217" s="43">
        <v>59.915999999999997</v>
      </c>
      <c r="J217" s="43">
        <v>2098.8819100000001</v>
      </c>
      <c r="K217" s="44">
        <v>7172.1642600000005</v>
      </c>
    </row>
    <row r="218" spans="1:11" ht="12.75" customHeight="1" x14ac:dyDescent="0.25">
      <c r="A218" s="42">
        <v>2020</v>
      </c>
      <c r="B218" s="42" t="s">
        <v>6</v>
      </c>
      <c r="C218" s="43">
        <v>3379.0738999999999</v>
      </c>
      <c r="D218" s="43">
        <v>0</v>
      </c>
      <c r="E218" s="43">
        <v>0</v>
      </c>
      <c r="F218" s="43"/>
      <c r="G218" s="43">
        <v>0</v>
      </c>
      <c r="H218" s="43">
        <v>1421.53738</v>
      </c>
      <c r="I218" s="43">
        <v>595.8501</v>
      </c>
      <c r="J218" s="43">
        <v>2200.7981100000002</v>
      </c>
      <c r="K218" s="44">
        <v>7597.2594900000004</v>
      </c>
    </row>
    <row r="219" spans="1:11" ht="12.75" customHeight="1" x14ac:dyDescent="0.25">
      <c r="A219" s="42">
        <v>2020</v>
      </c>
      <c r="B219" s="42" t="s">
        <v>7</v>
      </c>
      <c r="C219" s="43">
        <v>3699.9219199999998</v>
      </c>
      <c r="D219" s="43">
        <v>0</v>
      </c>
      <c r="E219" s="43">
        <v>0</v>
      </c>
      <c r="F219" s="43"/>
      <c r="G219" s="43">
        <v>0</v>
      </c>
      <c r="H219" s="43">
        <v>1325.4890500000001</v>
      </c>
      <c r="I219" s="43">
        <v>128.25650999999999</v>
      </c>
      <c r="J219" s="43">
        <v>2442.8630100000005</v>
      </c>
      <c r="K219" s="44">
        <v>7596.530490000001</v>
      </c>
    </row>
    <row r="220" spans="1:11" ht="12.75" customHeight="1" x14ac:dyDescent="0.25">
      <c r="A220" s="42">
        <v>2020</v>
      </c>
      <c r="B220" s="42" t="s">
        <v>8</v>
      </c>
      <c r="C220" s="43">
        <v>3584.2970499999997</v>
      </c>
      <c r="D220" s="43">
        <v>0</v>
      </c>
      <c r="E220" s="43">
        <v>0</v>
      </c>
      <c r="F220" s="43"/>
      <c r="G220" s="43">
        <v>0</v>
      </c>
      <c r="H220" s="43">
        <v>1252.7671499999999</v>
      </c>
      <c r="I220" s="43">
        <v>64.175640000000001</v>
      </c>
      <c r="J220" s="43">
        <v>3295.8071300000001</v>
      </c>
      <c r="K220" s="44">
        <v>8197.0469699999994</v>
      </c>
    </row>
    <row r="221" spans="1:11" ht="12.75" customHeight="1" x14ac:dyDescent="0.25">
      <c r="A221" s="42">
        <v>2020</v>
      </c>
      <c r="B221" s="42" t="s">
        <v>9</v>
      </c>
      <c r="C221" s="43">
        <v>4819.0351700000001</v>
      </c>
      <c r="D221" s="43">
        <v>0</v>
      </c>
      <c r="E221" s="43">
        <v>0</v>
      </c>
      <c r="F221" s="43"/>
      <c r="G221" s="43">
        <v>0</v>
      </c>
      <c r="H221" s="43">
        <v>2698.5519100000001</v>
      </c>
      <c r="I221" s="43">
        <v>0</v>
      </c>
      <c r="J221" s="43">
        <v>3993.2023100000001</v>
      </c>
      <c r="K221" s="44">
        <v>11510.789390000002</v>
      </c>
    </row>
    <row r="222" spans="1:11" ht="12.75" customHeight="1" x14ac:dyDescent="0.25">
      <c r="A222" s="42">
        <v>2020</v>
      </c>
      <c r="B222" s="42" t="s">
        <v>10</v>
      </c>
      <c r="C222" s="43">
        <v>4834.9804599999998</v>
      </c>
      <c r="D222" s="43">
        <v>0</v>
      </c>
      <c r="E222" s="43">
        <v>0</v>
      </c>
      <c r="F222" s="43"/>
      <c r="G222" s="43">
        <v>0</v>
      </c>
      <c r="H222" s="43">
        <v>2357.99656</v>
      </c>
      <c r="I222" s="43">
        <v>12.024049999999999</v>
      </c>
      <c r="J222" s="43">
        <v>4208.8121799999999</v>
      </c>
      <c r="K222" s="44">
        <v>11413.813249999999</v>
      </c>
    </row>
    <row r="223" spans="1:11" ht="12.75" customHeight="1" x14ac:dyDescent="0.25">
      <c r="A223" s="42">
        <v>2020</v>
      </c>
      <c r="B223" s="42" t="s">
        <v>11</v>
      </c>
      <c r="C223" s="43">
        <v>4559.6313499999997</v>
      </c>
      <c r="D223" s="43">
        <v>0</v>
      </c>
      <c r="E223" s="43">
        <v>0</v>
      </c>
      <c r="F223" s="43"/>
      <c r="G223" s="43">
        <v>0</v>
      </c>
      <c r="H223" s="43">
        <v>5476.5673299999999</v>
      </c>
      <c r="I223" s="43">
        <v>28.252500000000001</v>
      </c>
      <c r="J223" s="43">
        <v>2293.2466700000004</v>
      </c>
      <c r="K223" s="44">
        <v>12357.69785</v>
      </c>
    </row>
    <row r="224" spans="1:11" ht="12.75" customHeight="1" x14ac:dyDescent="0.25">
      <c r="A224" s="42">
        <v>2020</v>
      </c>
      <c r="B224" s="42" t="s">
        <v>12</v>
      </c>
      <c r="C224" s="43">
        <v>7501.3642499999996</v>
      </c>
      <c r="D224" s="43">
        <v>0</v>
      </c>
      <c r="E224" s="43">
        <v>0</v>
      </c>
      <c r="F224" s="43"/>
      <c r="G224" s="43">
        <v>0</v>
      </c>
      <c r="H224" s="43">
        <v>7253.9093000000012</v>
      </c>
      <c r="I224" s="43">
        <v>0</v>
      </c>
      <c r="J224" s="43">
        <v>725.32934999999998</v>
      </c>
      <c r="K224" s="44">
        <v>15480.602900000002</v>
      </c>
    </row>
    <row r="225" spans="1:11" ht="12.75" customHeight="1" x14ac:dyDescent="0.25">
      <c r="A225" s="42">
        <v>2020</v>
      </c>
      <c r="B225" s="42" t="s">
        <v>13</v>
      </c>
      <c r="C225" s="43">
        <v>7195.1501600000001</v>
      </c>
      <c r="D225" s="43">
        <v>0</v>
      </c>
      <c r="E225" s="43">
        <v>0</v>
      </c>
      <c r="F225" s="43"/>
      <c r="G225" s="43">
        <v>0</v>
      </c>
      <c r="H225" s="43">
        <v>7082.4177599999994</v>
      </c>
      <c r="I225" s="43">
        <v>43.58717</v>
      </c>
      <c r="J225" s="43">
        <v>1860.6652300000001</v>
      </c>
      <c r="K225" s="44">
        <v>16181.820320000001</v>
      </c>
    </row>
    <row r="226" spans="1:11" ht="12.75" customHeight="1" x14ac:dyDescent="0.25">
      <c r="A226" s="42">
        <v>2020</v>
      </c>
      <c r="B226" s="42" t="s">
        <v>14</v>
      </c>
      <c r="C226" s="43">
        <v>6694.5362000000005</v>
      </c>
      <c r="D226" s="43">
        <v>0</v>
      </c>
      <c r="E226" s="43">
        <v>0</v>
      </c>
      <c r="F226" s="43"/>
      <c r="G226" s="43">
        <v>0</v>
      </c>
      <c r="H226" s="43">
        <v>6235.8960700000007</v>
      </c>
      <c r="I226" s="43">
        <v>317.87945999999994</v>
      </c>
      <c r="J226" s="43">
        <v>4382.8681699999997</v>
      </c>
      <c r="K226" s="44">
        <v>17631.179899999999</v>
      </c>
    </row>
    <row r="227" spans="1:11" ht="12.75" customHeight="1" x14ac:dyDescent="0.25">
      <c r="A227" s="42">
        <v>2020</v>
      </c>
      <c r="B227" s="42" t="s">
        <v>15</v>
      </c>
      <c r="C227" s="43">
        <v>59846.715709999997</v>
      </c>
      <c r="D227" s="43">
        <v>0</v>
      </c>
      <c r="E227" s="43">
        <v>0</v>
      </c>
      <c r="F227" s="43"/>
      <c r="G227" s="43">
        <v>0</v>
      </c>
      <c r="H227" s="43">
        <v>40784.777239999996</v>
      </c>
      <c r="I227" s="43">
        <v>1856.8003899999997</v>
      </c>
      <c r="J227" s="43">
        <v>33778.638230000004</v>
      </c>
      <c r="K227" s="44">
        <v>136266.93156999999</v>
      </c>
    </row>
    <row r="228" spans="1:11" ht="12.75" customHeight="1" x14ac:dyDescent="0.25">
      <c r="A228" s="42">
        <v>2021</v>
      </c>
      <c r="B228" s="42" t="s">
        <v>3</v>
      </c>
      <c r="C228" s="43">
        <v>6409.12003</v>
      </c>
      <c r="D228" s="43">
        <v>0</v>
      </c>
      <c r="E228" s="43">
        <v>0</v>
      </c>
      <c r="F228" s="43"/>
      <c r="G228" s="43">
        <v>0</v>
      </c>
      <c r="H228" s="43">
        <v>6056.7002400000001</v>
      </c>
      <c r="I228" s="43">
        <v>357.72209000000004</v>
      </c>
      <c r="J228" s="43">
        <v>6091.0170400000043</v>
      </c>
      <c r="K228" s="44">
        <v>18914.559400000002</v>
      </c>
    </row>
    <row r="229" spans="1:11" ht="12.75" customHeight="1" x14ac:dyDescent="0.25">
      <c r="A229" s="42">
        <v>2021</v>
      </c>
      <c r="B229" s="42" t="s">
        <v>4</v>
      </c>
      <c r="C229" s="43">
        <v>7089.9826299999995</v>
      </c>
      <c r="D229" s="43">
        <v>0</v>
      </c>
      <c r="E229" s="43">
        <v>0</v>
      </c>
      <c r="F229" s="43"/>
      <c r="G229" s="43">
        <v>0</v>
      </c>
      <c r="H229" s="43">
        <v>6828.67</v>
      </c>
      <c r="I229" s="43">
        <v>209.29938000000001</v>
      </c>
      <c r="J229" s="43">
        <v>663.78156000000001</v>
      </c>
      <c r="K229" s="44">
        <v>14791.73357</v>
      </c>
    </row>
    <row r="230" spans="1:11" ht="12.75" customHeight="1" x14ac:dyDescent="0.25">
      <c r="A230" s="42">
        <v>2021</v>
      </c>
      <c r="B230" s="42" t="s">
        <v>5</v>
      </c>
      <c r="C230" s="46">
        <v>7774.7518600000003</v>
      </c>
      <c r="D230" s="46">
        <v>0</v>
      </c>
      <c r="E230" s="46">
        <v>0</v>
      </c>
      <c r="F230" s="46"/>
      <c r="G230" s="46">
        <v>0</v>
      </c>
      <c r="H230" s="46">
        <v>7696.9449999999997</v>
      </c>
      <c r="I230" s="46">
        <v>968.63284999999996</v>
      </c>
      <c r="J230" s="46">
        <v>740.65044</v>
      </c>
      <c r="K230" s="47">
        <v>17180.980150000003</v>
      </c>
    </row>
    <row r="231" spans="1:11" ht="12.75" customHeight="1" x14ac:dyDescent="0.25">
      <c r="A231" s="42">
        <v>2021</v>
      </c>
      <c r="B231" s="42" t="s">
        <v>6</v>
      </c>
      <c r="C231" s="46">
        <v>6268.7162200000002</v>
      </c>
      <c r="D231" s="46">
        <v>0</v>
      </c>
      <c r="E231" s="46">
        <v>0</v>
      </c>
      <c r="F231" s="46"/>
      <c r="G231" s="46">
        <v>0</v>
      </c>
      <c r="H231" s="46">
        <v>7046.4754999999996</v>
      </c>
      <c r="I231" s="46">
        <v>280.51643999999999</v>
      </c>
      <c r="J231" s="46">
        <v>2187.7752500000001</v>
      </c>
      <c r="K231" s="47">
        <v>15783.483409999999</v>
      </c>
    </row>
    <row r="232" spans="1:11" ht="12.75" customHeight="1" x14ac:dyDescent="0.25">
      <c r="A232" s="42">
        <v>2021</v>
      </c>
      <c r="B232" s="42" t="s">
        <v>7</v>
      </c>
      <c r="C232" s="46">
        <v>7976.8610799999997</v>
      </c>
      <c r="D232" s="46">
        <v>0</v>
      </c>
      <c r="E232" s="46">
        <v>0</v>
      </c>
      <c r="F232" s="46"/>
      <c r="G232" s="46">
        <v>0</v>
      </c>
      <c r="H232" s="46">
        <v>7657.8291899999995</v>
      </c>
      <c r="I232" s="46">
        <v>134.69215</v>
      </c>
      <c r="J232" s="46">
        <v>1076.1070199999999</v>
      </c>
      <c r="K232" s="47">
        <v>16845.489440000001</v>
      </c>
    </row>
    <row r="233" spans="1:11" ht="12.75" customHeight="1" x14ac:dyDescent="0.25">
      <c r="A233" s="42">
        <v>2021</v>
      </c>
      <c r="B233" s="42" t="s">
        <v>8</v>
      </c>
      <c r="C233" s="46">
        <v>7711.10826</v>
      </c>
      <c r="D233" s="46">
        <v>0</v>
      </c>
      <c r="E233" s="46">
        <v>0</v>
      </c>
      <c r="F233" s="46"/>
      <c r="G233" s="46">
        <v>0</v>
      </c>
      <c r="H233" s="46">
        <v>7304.1418100000001</v>
      </c>
      <c r="I233" s="46">
        <v>0</v>
      </c>
      <c r="J233" s="46">
        <v>958.12557000000004</v>
      </c>
      <c r="K233" s="47">
        <v>15973.375640000002</v>
      </c>
    </row>
    <row r="234" spans="1:11" ht="12.75" customHeight="1" x14ac:dyDescent="0.25">
      <c r="A234" s="42">
        <v>2021</v>
      </c>
      <c r="B234" s="42" t="s">
        <v>9</v>
      </c>
      <c r="C234" s="46">
        <v>7349.78737</v>
      </c>
      <c r="D234" s="46">
        <v>0</v>
      </c>
      <c r="E234" s="46">
        <v>0</v>
      </c>
      <c r="F234" s="46"/>
      <c r="G234" s="46">
        <v>0</v>
      </c>
      <c r="H234" s="46">
        <v>6154.9974399999992</v>
      </c>
      <c r="I234" s="46">
        <v>44.258519999999997</v>
      </c>
      <c r="J234" s="46">
        <v>2920.0068300000003</v>
      </c>
      <c r="K234" s="47">
        <v>16469.050159999999</v>
      </c>
    </row>
    <row r="235" spans="1:11" ht="12.75" customHeight="1" x14ac:dyDescent="0.25">
      <c r="A235" s="42">
        <v>2021</v>
      </c>
      <c r="B235" s="42" t="s">
        <v>10</v>
      </c>
      <c r="C235" s="46">
        <v>6631.0934600000001</v>
      </c>
      <c r="D235" s="46">
        <v>0</v>
      </c>
      <c r="E235" s="46">
        <v>0</v>
      </c>
      <c r="F235" s="46"/>
      <c r="G235" s="46">
        <v>0</v>
      </c>
      <c r="H235" s="46">
        <v>5800.6459500000001</v>
      </c>
      <c r="I235" s="46">
        <v>446.86908</v>
      </c>
      <c r="J235" s="46">
        <v>2397.6687200000001</v>
      </c>
      <c r="K235" s="47">
        <v>15276.27721</v>
      </c>
    </row>
    <row r="236" spans="1:11" ht="12.75" customHeight="1" x14ac:dyDescent="0.25">
      <c r="A236" s="42">
        <v>2021</v>
      </c>
      <c r="B236" s="42" t="s">
        <v>11</v>
      </c>
      <c r="C236" s="46">
        <v>7848.5851699999994</v>
      </c>
      <c r="D236" s="46">
        <v>0</v>
      </c>
      <c r="E236" s="46">
        <v>0</v>
      </c>
      <c r="F236" s="46"/>
      <c r="G236" s="46">
        <v>0</v>
      </c>
      <c r="H236" s="46">
        <v>7016.1145099999994</v>
      </c>
      <c r="I236" s="46">
        <v>528.93333999999993</v>
      </c>
      <c r="J236" s="46">
        <v>3014.1816800000001</v>
      </c>
      <c r="K236" s="47">
        <v>18407.814699999999</v>
      </c>
    </row>
    <row r="237" spans="1:11" ht="12.75" customHeight="1" x14ac:dyDescent="0.25">
      <c r="A237" s="42">
        <v>2021</v>
      </c>
      <c r="B237" s="42" t="s">
        <v>12</v>
      </c>
      <c r="C237" s="46">
        <v>7236.34076</v>
      </c>
      <c r="D237" s="46">
        <v>0</v>
      </c>
      <c r="E237" s="46">
        <v>0</v>
      </c>
      <c r="F237" s="46"/>
      <c r="G237" s="46">
        <v>0</v>
      </c>
      <c r="H237" s="46">
        <v>4314.8455899999999</v>
      </c>
      <c r="I237" s="46">
        <v>72.144289999999998</v>
      </c>
      <c r="J237" s="46">
        <v>2846.5214199999991</v>
      </c>
      <c r="K237" s="47">
        <v>14469.852060000001</v>
      </c>
    </row>
    <row r="238" spans="1:11" ht="12.75" customHeight="1" x14ac:dyDescent="0.25">
      <c r="A238" s="42">
        <v>2021</v>
      </c>
      <c r="B238" s="42" t="s">
        <v>13</v>
      </c>
      <c r="C238" s="46">
        <v>8131.6169199999995</v>
      </c>
      <c r="D238" s="46">
        <v>0</v>
      </c>
      <c r="E238" s="46">
        <v>0</v>
      </c>
      <c r="F238" s="46"/>
      <c r="G238" s="46">
        <v>0</v>
      </c>
      <c r="H238" s="46">
        <v>0</v>
      </c>
      <c r="I238" s="46">
        <v>330.30065000000002</v>
      </c>
      <c r="J238" s="46">
        <v>4377.7659199999989</v>
      </c>
      <c r="K238" s="47">
        <v>12839.683489999998</v>
      </c>
    </row>
    <row r="239" spans="1:11" ht="12.75" customHeight="1" x14ac:dyDescent="0.25">
      <c r="A239" s="42">
        <v>2021</v>
      </c>
      <c r="B239" s="42" t="s">
        <v>14</v>
      </c>
      <c r="C239" s="46">
        <v>8259.9508900000001</v>
      </c>
      <c r="D239" s="46">
        <v>0</v>
      </c>
      <c r="E239" s="46">
        <v>0</v>
      </c>
      <c r="F239" s="46"/>
      <c r="G239" s="46">
        <v>0</v>
      </c>
      <c r="H239" s="46">
        <v>0</v>
      </c>
      <c r="I239" s="46">
        <v>186.98244999999997</v>
      </c>
      <c r="J239" s="46">
        <v>3655.1582900000003</v>
      </c>
      <c r="K239" s="47">
        <v>12102.091629999999</v>
      </c>
    </row>
    <row r="240" spans="1:11" ht="12.75" customHeight="1" x14ac:dyDescent="0.25">
      <c r="A240" s="42">
        <v>2021</v>
      </c>
      <c r="B240" s="42" t="s">
        <v>15</v>
      </c>
      <c r="C240" s="46">
        <v>88687.914649999992</v>
      </c>
      <c r="D240" s="46">
        <v>0</v>
      </c>
      <c r="E240" s="46">
        <v>0</v>
      </c>
      <c r="F240" s="46"/>
      <c r="G240" s="46">
        <v>0</v>
      </c>
      <c r="H240" s="46">
        <v>65877.365229999996</v>
      </c>
      <c r="I240" s="46">
        <v>3560.3512400000004</v>
      </c>
      <c r="J240" s="46">
        <v>30928.759740000001</v>
      </c>
      <c r="K240" s="47">
        <v>189054.39085999998</v>
      </c>
    </row>
    <row r="241" spans="1:11" ht="12.75" customHeight="1" x14ac:dyDescent="0.25">
      <c r="A241" s="51">
        <v>2022</v>
      </c>
      <c r="B241" s="48" t="s">
        <v>3</v>
      </c>
      <c r="C241" s="46">
        <v>9620.0411200000017</v>
      </c>
      <c r="D241" s="46">
        <v>0</v>
      </c>
      <c r="E241" s="46">
        <v>0</v>
      </c>
      <c r="F241" s="46"/>
      <c r="G241" s="46">
        <v>0</v>
      </c>
      <c r="H241" s="46">
        <v>0</v>
      </c>
      <c r="I241" s="46">
        <v>338.04694999999998</v>
      </c>
      <c r="J241" s="46">
        <v>1851.6387200000001</v>
      </c>
      <c r="K241" s="49">
        <v>11809.726790000001</v>
      </c>
    </row>
    <row r="242" spans="1:11" ht="12.75" customHeight="1" x14ac:dyDescent="0.25">
      <c r="A242" s="51">
        <v>2022</v>
      </c>
      <c r="B242" s="48" t="s">
        <v>4</v>
      </c>
      <c r="C242" s="46">
        <v>8801.4779399999989</v>
      </c>
      <c r="D242" s="46">
        <v>0</v>
      </c>
      <c r="E242" s="46">
        <v>0</v>
      </c>
      <c r="F242" s="46"/>
      <c r="G242" s="46">
        <v>0</v>
      </c>
      <c r="H242" s="46">
        <v>0</v>
      </c>
      <c r="I242" s="46">
        <v>707.64332000000002</v>
      </c>
      <c r="J242" s="46">
        <v>1904.4220600000003</v>
      </c>
      <c r="K242" s="49">
        <v>11413.543319999999</v>
      </c>
    </row>
    <row r="243" spans="1:11" ht="12.75" customHeight="1" x14ac:dyDescent="0.25">
      <c r="A243" s="51">
        <v>2022</v>
      </c>
      <c r="B243" s="48" t="s">
        <v>5</v>
      </c>
      <c r="C243" s="46">
        <v>9665.8234400000019</v>
      </c>
      <c r="D243" s="46">
        <v>0</v>
      </c>
      <c r="E243" s="46">
        <v>0</v>
      </c>
      <c r="F243" s="46"/>
      <c r="G243" s="46">
        <v>0</v>
      </c>
      <c r="H243" s="46">
        <v>0</v>
      </c>
      <c r="I243" s="46">
        <v>514.40778999999998</v>
      </c>
      <c r="J243" s="46">
        <v>711.9122000000001</v>
      </c>
      <c r="K243" s="49">
        <v>10892.143430000002</v>
      </c>
    </row>
    <row r="244" spans="1:11" ht="12.75" customHeight="1" x14ac:dyDescent="0.25">
      <c r="A244" s="51">
        <v>2022</v>
      </c>
      <c r="B244" s="48" t="s">
        <v>6</v>
      </c>
      <c r="C244" s="46">
        <v>9049.1690899999994</v>
      </c>
      <c r="D244" s="46">
        <v>0</v>
      </c>
      <c r="E244" s="46">
        <v>0</v>
      </c>
      <c r="F244" s="46"/>
      <c r="G244" s="46">
        <v>0</v>
      </c>
      <c r="H244" s="46">
        <v>0</v>
      </c>
      <c r="I244" s="46">
        <v>613.78904999999997</v>
      </c>
      <c r="J244" s="46">
        <v>464.03035999999997</v>
      </c>
      <c r="K244" s="49">
        <v>10126.988499999999</v>
      </c>
    </row>
    <row r="245" spans="1:11" ht="12.75" customHeight="1" x14ac:dyDescent="0.25">
      <c r="A245" s="51">
        <v>2022</v>
      </c>
      <c r="B245" s="48" t="s">
        <v>7</v>
      </c>
      <c r="C245" s="46">
        <v>7002.7974899999999</v>
      </c>
      <c r="D245" s="46">
        <v>0</v>
      </c>
      <c r="E245" s="46">
        <v>0</v>
      </c>
      <c r="F245" s="46"/>
      <c r="G245" s="46">
        <v>0</v>
      </c>
      <c r="H245" s="46">
        <v>0</v>
      </c>
      <c r="I245" s="46">
        <v>880.98448999999994</v>
      </c>
      <c r="J245" s="46">
        <v>330.69991000000005</v>
      </c>
      <c r="K245" s="49">
        <v>8214.4818899999991</v>
      </c>
    </row>
    <row r="246" spans="1:11" ht="12.75" customHeight="1" x14ac:dyDescent="0.25">
      <c r="A246" s="51">
        <v>2022</v>
      </c>
      <c r="B246" s="48" t="s">
        <v>8</v>
      </c>
      <c r="C246" s="46">
        <v>7344.6515899999995</v>
      </c>
      <c r="D246" s="46">
        <v>0</v>
      </c>
      <c r="E246" s="46">
        <v>0</v>
      </c>
      <c r="F246" s="46"/>
      <c r="G246" s="46">
        <v>0</v>
      </c>
      <c r="H246" s="46">
        <v>0</v>
      </c>
      <c r="I246" s="46">
        <v>203.11583000000002</v>
      </c>
      <c r="J246" s="46">
        <v>721.76414</v>
      </c>
      <c r="K246" s="49">
        <v>8269.5315599999994</v>
      </c>
    </row>
    <row r="247" spans="1:11" ht="12.75" customHeight="1" x14ac:dyDescent="0.25">
      <c r="A247" s="51">
        <v>2022</v>
      </c>
      <c r="B247" s="48" t="s">
        <v>9</v>
      </c>
      <c r="C247" s="46">
        <v>8572.4521100000002</v>
      </c>
      <c r="D247" s="46">
        <v>0</v>
      </c>
      <c r="E247" s="46">
        <v>0</v>
      </c>
      <c r="F247" s="46"/>
      <c r="G247" s="46">
        <v>0</v>
      </c>
      <c r="H247" s="46">
        <v>0</v>
      </c>
      <c r="I247" s="46">
        <v>125.95830000000001</v>
      </c>
      <c r="J247" s="46">
        <v>1561.77899</v>
      </c>
      <c r="K247" s="49">
        <v>10260.189400000001</v>
      </c>
    </row>
    <row r="248" spans="1:11" ht="12.75" customHeight="1" x14ac:dyDescent="0.25">
      <c r="A248" s="51">
        <v>2022</v>
      </c>
      <c r="B248" s="48" t="s">
        <v>10</v>
      </c>
      <c r="C248" s="46">
        <v>9127.2620799999986</v>
      </c>
      <c r="D248" s="46">
        <v>0</v>
      </c>
      <c r="E248" s="46">
        <v>0</v>
      </c>
      <c r="F248" s="46"/>
      <c r="G248" s="46">
        <v>0</v>
      </c>
      <c r="H248" s="46">
        <v>0</v>
      </c>
      <c r="I248" s="46">
        <v>140.73116999999999</v>
      </c>
      <c r="J248" s="46">
        <v>4688.3194099999992</v>
      </c>
      <c r="K248" s="49">
        <v>13956.312659999998</v>
      </c>
    </row>
    <row r="249" spans="1:11" ht="12.75" customHeight="1" x14ac:dyDescent="0.25">
      <c r="A249" s="51">
        <v>2022</v>
      </c>
      <c r="B249" s="48" t="s">
        <v>11</v>
      </c>
      <c r="C249" s="46">
        <v>7962.4274000000005</v>
      </c>
      <c r="D249" s="46">
        <v>0</v>
      </c>
      <c r="E249" s="46">
        <v>0</v>
      </c>
      <c r="F249" s="46"/>
      <c r="G249" s="46">
        <v>0</v>
      </c>
      <c r="H249" s="46">
        <v>0</v>
      </c>
      <c r="I249" s="46">
        <v>74.502949999999998</v>
      </c>
      <c r="J249" s="46">
        <v>2617.3459899999957</v>
      </c>
      <c r="K249" s="49">
        <v>10654.276339999997</v>
      </c>
    </row>
    <row r="250" spans="1:11" ht="12.75" customHeight="1" x14ac:dyDescent="0.25">
      <c r="A250" s="51">
        <v>2022</v>
      </c>
      <c r="B250" s="48" t="s">
        <v>12</v>
      </c>
      <c r="C250" s="46">
        <v>7806.3252499999999</v>
      </c>
      <c r="D250" s="46">
        <v>0</v>
      </c>
      <c r="E250" s="46">
        <v>0</v>
      </c>
      <c r="F250" s="46"/>
      <c r="G250" s="46">
        <v>0</v>
      </c>
      <c r="H250" s="46">
        <v>0</v>
      </c>
      <c r="I250" s="46">
        <v>21.268349999999998</v>
      </c>
      <c r="J250" s="46">
        <v>5328.1859999999988</v>
      </c>
      <c r="K250" s="49">
        <v>13155.779599999998</v>
      </c>
    </row>
    <row r="251" spans="1:11" ht="12.75" customHeight="1" x14ac:dyDescent="0.25">
      <c r="A251" s="51">
        <v>2022</v>
      </c>
      <c r="B251" s="48" t="s">
        <v>13</v>
      </c>
      <c r="C251" s="46">
        <v>6392.9568199999994</v>
      </c>
      <c r="D251" s="46">
        <v>0</v>
      </c>
      <c r="E251" s="46">
        <v>0</v>
      </c>
      <c r="F251" s="46"/>
      <c r="G251" s="46">
        <v>0</v>
      </c>
      <c r="H251" s="46">
        <v>0</v>
      </c>
      <c r="I251" s="46">
        <v>664.65138999999999</v>
      </c>
      <c r="J251" s="46">
        <v>1091.7190400000002</v>
      </c>
      <c r="K251" s="49">
        <v>8149.3272499999994</v>
      </c>
    </row>
    <row r="252" spans="1:11" ht="12.75" customHeight="1" x14ac:dyDescent="0.25">
      <c r="A252" s="51">
        <v>2022</v>
      </c>
      <c r="B252" s="48" t="s">
        <v>14</v>
      </c>
      <c r="C252" s="46">
        <v>9606.1323099999991</v>
      </c>
      <c r="D252" s="46">
        <v>0</v>
      </c>
      <c r="E252" s="46">
        <v>0</v>
      </c>
      <c r="F252" s="46"/>
      <c r="G252" s="46">
        <v>0</v>
      </c>
      <c r="H252" s="46">
        <v>0</v>
      </c>
      <c r="I252" s="46">
        <v>400.31133999999997</v>
      </c>
      <c r="J252" s="46">
        <v>264.56691000000001</v>
      </c>
      <c r="K252" s="49">
        <v>10271.010559999999</v>
      </c>
    </row>
    <row r="253" spans="1:11" ht="12.75" customHeight="1" x14ac:dyDescent="0.25">
      <c r="A253" s="51">
        <v>2022</v>
      </c>
      <c r="B253" s="48" t="s">
        <v>15</v>
      </c>
      <c r="C253" s="46">
        <v>100951.51663999997</v>
      </c>
      <c r="D253" s="46">
        <v>0</v>
      </c>
      <c r="E253" s="46">
        <v>0</v>
      </c>
      <c r="F253" s="46"/>
      <c r="G253" s="46">
        <v>0</v>
      </c>
      <c r="H253" s="46">
        <v>0</v>
      </c>
      <c r="I253" s="46">
        <v>4685.41093</v>
      </c>
      <c r="J253" s="46">
        <v>21536.383729999998</v>
      </c>
      <c r="K253" s="49">
        <v>127173.31129999999</v>
      </c>
    </row>
    <row r="254" spans="1:11" ht="12.75" customHeight="1" x14ac:dyDescent="0.25">
      <c r="A254" s="42">
        <v>2023</v>
      </c>
      <c r="B254" s="42" t="s">
        <v>3</v>
      </c>
      <c r="C254" s="46">
        <v>8544.9362899999996</v>
      </c>
      <c r="D254" s="46">
        <v>0</v>
      </c>
      <c r="E254" s="46">
        <v>0</v>
      </c>
      <c r="F254" s="46"/>
      <c r="G254" s="46">
        <v>0</v>
      </c>
      <c r="H254" s="46">
        <v>0</v>
      </c>
      <c r="I254" s="46">
        <v>1087.5185100000001</v>
      </c>
      <c r="J254" s="46">
        <v>1264.6860699999997</v>
      </c>
      <c r="K254" s="47">
        <v>10897.140869999999</v>
      </c>
    </row>
    <row r="255" spans="1:11" ht="12.75" customHeight="1" x14ac:dyDescent="0.25">
      <c r="A255" s="42">
        <v>2023</v>
      </c>
      <c r="B255" s="42" t="s">
        <v>4</v>
      </c>
      <c r="C255" s="46">
        <v>7406.1105399999988</v>
      </c>
      <c r="D255" s="46">
        <v>0</v>
      </c>
      <c r="E255" s="46">
        <v>0</v>
      </c>
      <c r="F255" s="46"/>
      <c r="G255" s="46">
        <v>0</v>
      </c>
      <c r="H255" s="46">
        <v>0</v>
      </c>
      <c r="I255" s="46">
        <v>364.40760999999998</v>
      </c>
      <c r="J255" s="46">
        <v>2575.2431200000001</v>
      </c>
      <c r="K255" s="47">
        <v>10345.761269999999</v>
      </c>
    </row>
    <row r="256" spans="1:11" ht="12.75" customHeight="1" x14ac:dyDescent="0.25">
      <c r="A256" s="42">
        <v>2023</v>
      </c>
      <c r="B256" s="42" t="s">
        <v>5</v>
      </c>
      <c r="C256" s="46">
        <v>6402.5545999999995</v>
      </c>
      <c r="D256" s="46">
        <v>0</v>
      </c>
      <c r="E256" s="46">
        <v>0</v>
      </c>
      <c r="F256" s="46"/>
      <c r="G256" s="46">
        <v>0</v>
      </c>
      <c r="H256" s="46">
        <v>0</v>
      </c>
      <c r="I256" s="46">
        <v>469.55129999999997</v>
      </c>
      <c r="J256" s="46">
        <v>1045.56585</v>
      </c>
      <c r="K256" s="47">
        <v>7917.6717499999995</v>
      </c>
    </row>
    <row r="257" spans="1:11" ht="12.75" customHeight="1" x14ac:dyDescent="0.25">
      <c r="A257" s="42">
        <v>2023</v>
      </c>
      <c r="B257" s="42" t="s">
        <v>6</v>
      </c>
      <c r="C257" s="46">
        <v>6958.2933200000007</v>
      </c>
      <c r="D257" s="46">
        <v>0</v>
      </c>
      <c r="E257" s="46">
        <v>0</v>
      </c>
      <c r="F257" s="46"/>
      <c r="G257" s="46">
        <v>0</v>
      </c>
      <c r="H257" s="46">
        <v>0</v>
      </c>
      <c r="I257" s="46">
        <v>1273.6368399999999</v>
      </c>
      <c r="J257" s="46">
        <v>203.95508999999998</v>
      </c>
      <c r="K257" s="47">
        <v>8435.8852499999994</v>
      </c>
    </row>
    <row r="258" spans="1:11" ht="12.75" customHeight="1" x14ac:dyDescent="0.25">
      <c r="A258" s="42">
        <v>2023</v>
      </c>
      <c r="B258" s="42" t="s">
        <v>7</v>
      </c>
      <c r="C258" s="46">
        <v>7853.0722900000001</v>
      </c>
      <c r="D258" s="46">
        <v>0</v>
      </c>
      <c r="E258" s="46">
        <v>0</v>
      </c>
      <c r="F258" s="46"/>
      <c r="G258" s="46">
        <v>0</v>
      </c>
      <c r="H258" s="46">
        <v>0</v>
      </c>
      <c r="I258" s="46">
        <v>1795.3572900000001</v>
      </c>
      <c r="J258" s="46">
        <v>259.71949000000001</v>
      </c>
      <c r="K258" s="47">
        <v>9908.1490699999995</v>
      </c>
    </row>
    <row r="259" spans="1:11" ht="12.75" customHeight="1" x14ac:dyDescent="0.25">
      <c r="A259" s="42">
        <v>2023</v>
      </c>
      <c r="B259" s="42" t="s">
        <v>8</v>
      </c>
      <c r="C259" s="46">
        <v>5039.4262600000002</v>
      </c>
      <c r="D259" s="46">
        <v>0</v>
      </c>
      <c r="E259" s="46">
        <v>0</v>
      </c>
      <c r="F259" s="46"/>
      <c r="G259" s="46">
        <v>0</v>
      </c>
      <c r="H259" s="46">
        <v>0</v>
      </c>
      <c r="I259" s="46">
        <v>1193.6795099999999</v>
      </c>
      <c r="J259" s="46">
        <v>1000.27055</v>
      </c>
      <c r="K259" s="47">
        <v>7233.3763200000003</v>
      </c>
    </row>
    <row r="260" spans="1:11" ht="12.75" customHeight="1" x14ac:dyDescent="0.25">
      <c r="A260" s="42">
        <v>2023</v>
      </c>
      <c r="B260" s="42" t="s">
        <v>9</v>
      </c>
      <c r="C260" s="46">
        <v>8612.5745299999999</v>
      </c>
      <c r="D260" s="46">
        <v>0</v>
      </c>
      <c r="E260" s="46">
        <v>0</v>
      </c>
      <c r="F260" s="46"/>
      <c r="G260" s="46">
        <v>0</v>
      </c>
      <c r="H260" s="46">
        <v>0</v>
      </c>
      <c r="I260" s="46">
        <v>866.2781500000001</v>
      </c>
      <c r="J260" s="46">
        <v>1703.12617</v>
      </c>
      <c r="K260" s="47">
        <v>11181.97885</v>
      </c>
    </row>
    <row r="261" spans="1:11" ht="12.75" customHeight="1" x14ac:dyDescent="0.25">
      <c r="A261" s="42">
        <v>2023</v>
      </c>
      <c r="B261" s="42" t="s">
        <v>10</v>
      </c>
      <c r="C261" s="46">
        <v>7799.7343499999997</v>
      </c>
      <c r="D261" s="46">
        <v>0</v>
      </c>
      <c r="E261" s="46">
        <v>0</v>
      </c>
      <c r="F261" s="46"/>
      <c r="G261" s="46">
        <v>0</v>
      </c>
      <c r="H261" s="46">
        <v>0</v>
      </c>
      <c r="I261" s="46">
        <v>582.21103000000005</v>
      </c>
      <c r="J261" s="46">
        <v>2038.0543299999999</v>
      </c>
      <c r="K261" s="47">
        <v>10419.99971</v>
      </c>
    </row>
    <row r="262" spans="1:11" ht="12.75" customHeight="1" x14ac:dyDescent="0.25">
      <c r="A262" s="42">
        <v>2023</v>
      </c>
      <c r="B262" s="42" t="s">
        <v>11</v>
      </c>
      <c r="C262" s="46">
        <v>8009.4802199999995</v>
      </c>
      <c r="D262" s="46">
        <v>0</v>
      </c>
      <c r="E262" s="46">
        <v>0</v>
      </c>
      <c r="F262" s="46"/>
      <c r="G262" s="46">
        <v>0</v>
      </c>
      <c r="H262" s="46">
        <v>0</v>
      </c>
      <c r="I262" s="46">
        <v>541.09225000000004</v>
      </c>
      <c r="J262" s="46">
        <v>1942.4257600000001</v>
      </c>
      <c r="K262" s="47">
        <v>10492.998229999999</v>
      </c>
    </row>
    <row r="263" spans="1:11" ht="12.75" customHeight="1" x14ac:dyDescent="0.25">
      <c r="A263" s="42">
        <v>2023</v>
      </c>
      <c r="B263" s="42" t="s">
        <v>12</v>
      </c>
      <c r="C263" s="46">
        <v>9701.3110800000013</v>
      </c>
      <c r="D263" s="46">
        <v>0</v>
      </c>
      <c r="E263" s="46">
        <v>0</v>
      </c>
      <c r="F263" s="46"/>
      <c r="G263" s="46">
        <v>0</v>
      </c>
      <c r="H263" s="46">
        <v>0</v>
      </c>
      <c r="I263" s="46">
        <v>514.92079999999999</v>
      </c>
      <c r="J263" s="46">
        <v>689.21167999999989</v>
      </c>
      <c r="K263" s="47">
        <v>10905.443560000002</v>
      </c>
    </row>
    <row r="264" spans="1:11" ht="12.75" customHeight="1" x14ac:dyDescent="0.25">
      <c r="A264" s="42">
        <v>2023</v>
      </c>
      <c r="B264" s="42" t="s">
        <v>13</v>
      </c>
      <c r="C264" s="46">
        <v>9322.4424899999995</v>
      </c>
      <c r="D264" s="46">
        <v>0</v>
      </c>
      <c r="E264" s="46">
        <v>0</v>
      </c>
      <c r="F264" s="46"/>
      <c r="G264" s="46">
        <v>0</v>
      </c>
      <c r="H264" s="46">
        <v>0</v>
      </c>
      <c r="I264" s="46">
        <v>696.26294000000007</v>
      </c>
      <c r="J264" s="46">
        <v>508.08567999999997</v>
      </c>
      <c r="K264" s="47">
        <v>10526.79111</v>
      </c>
    </row>
    <row r="265" spans="1:11" ht="12.75" customHeight="1" x14ac:dyDescent="0.25">
      <c r="A265" s="42">
        <v>2023</v>
      </c>
      <c r="B265" s="42" t="s">
        <v>14</v>
      </c>
      <c r="C265" s="46">
        <v>9192.0771299999997</v>
      </c>
      <c r="D265" s="46">
        <v>0</v>
      </c>
      <c r="E265" s="46">
        <v>0</v>
      </c>
      <c r="F265" s="46"/>
      <c r="G265" s="46">
        <v>0</v>
      </c>
      <c r="H265" s="46">
        <v>0</v>
      </c>
      <c r="I265" s="46">
        <v>673.09212000000002</v>
      </c>
      <c r="J265" s="46">
        <v>1225.9658599999996</v>
      </c>
      <c r="K265" s="47">
        <v>11091.135109999999</v>
      </c>
    </row>
    <row r="266" spans="1:11" ht="12.75" customHeight="1" x14ac:dyDescent="0.25">
      <c r="A266" s="42">
        <v>2023</v>
      </c>
      <c r="B266" s="42" t="s">
        <v>15</v>
      </c>
      <c r="C266" s="46">
        <v>94842.013100000011</v>
      </c>
      <c r="D266" s="46">
        <v>0</v>
      </c>
      <c r="E266" s="46">
        <v>0</v>
      </c>
      <c r="F266" s="46"/>
      <c r="G266" s="46">
        <v>0</v>
      </c>
      <c r="H266" s="46">
        <v>0</v>
      </c>
      <c r="I266" s="46">
        <v>10058.00835</v>
      </c>
      <c r="J266" s="46">
        <v>14456.309650000001</v>
      </c>
      <c r="K266" s="47">
        <v>119356.33110000001</v>
      </c>
    </row>
    <row r="267" spans="1:11" ht="12.75" customHeight="1" x14ac:dyDescent="0.25">
      <c r="A267" s="51">
        <v>2024</v>
      </c>
      <c r="B267" s="48" t="s">
        <v>3</v>
      </c>
      <c r="C267" s="46">
        <v>8982.0627599999989</v>
      </c>
      <c r="D267" s="46">
        <v>0</v>
      </c>
      <c r="E267" s="46">
        <v>0</v>
      </c>
      <c r="F267" s="46"/>
      <c r="G267" s="46">
        <v>0</v>
      </c>
      <c r="H267" s="46">
        <v>0</v>
      </c>
      <c r="I267" s="46">
        <v>574.63936000000001</v>
      </c>
      <c r="J267" s="46">
        <v>1590.5409299999999</v>
      </c>
      <c r="K267" s="49">
        <v>11147.243049999997</v>
      </c>
    </row>
    <row r="268" spans="1:11" ht="12.75" customHeight="1" x14ac:dyDescent="0.25">
      <c r="A268" s="51">
        <v>2024</v>
      </c>
      <c r="B268" s="48" t="s">
        <v>4</v>
      </c>
      <c r="C268" s="46">
        <v>8108.1376600000003</v>
      </c>
      <c r="D268" s="46">
        <v>0</v>
      </c>
      <c r="E268" s="46">
        <v>0</v>
      </c>
      <c r="F268" s="46"/>
      <c r="G268" s="46">
        <v>0</v>
      </c>
      <c r="H268" s="46">
        <v>0</v>
      </c>
      <c r="I268" s="46">
        <v>1017.87737</v>
      </c>
      <c r="J268" s="46">
        <v>963.23812999999996</v>
      </c>
      <c r="K268" s="49">
        <v>10089.25316</v>
      </c>
    </row>
    <row r="269" spans="1:11" ht="12.75" customHeight="1" x14ac:dyDescent="0.25">
      <c r="A269" s="51">
        <v>2024</v>
      </c>
      <c r="B269" s="48" t="s">
        <v>5</v>
      </c>
      <c r="C269" s="46">
        <v>8708.4388500000005</v>
      </c>
      <c r="D269" s="46">
        <v>0</v>
      </c>
      <c r="E269" s="46">
        <v>0</v>
      </c>
      <c r="F269" s="46"/>
      <c r="G269" s="46">
        <v>0</v>
      </c>
      <c r="H269" s="46">
        <v>0</v>
      </c>
      <c r="I269" s="46">
        <v>548.22838000000002</v>
      </c>
      <c r="J269" s="46">
        <v>751.58321000000001</v>
      </c>
      <c r="K269" s="49">
        <v>10008.250440000002</v>
      </c>
    </row>
    <row r="270" spans="1:11" ht="12.75" customHeight="1" x14ac:dyDescent="0.25">
      <c r="A270" s="51">
        <v>2024</v>
      </c>
      <c r="B270" s="48" t="s">
        <v>6</v>
      </c>
      <c r="C270" s="46">
        <v>8418.220589999999</v>
      </c>
      <c r="D270" s="46">
        <v>0</v>
      </c>
      <c r="E270" s="46">
        <v>0</v>
      </c>
      <c r="F270" s="46"/>
      <c r="G270" s="46">
        <v>0</v>
      </c>
      <c r="H270" s="46">
        <v>0</v>
      </c>
      <c r="I270" s="46">
        <v>1046.4230500000001</v>
      </c>
      <c r="J270" s="46">
        <v>1165.5892999999999</v>
      </c>
      <c r="K270" s="49">
        <v>10630.232939999998</v>
      </c>
    </row>
    <row r="271" spans="1:11" ht="12.75" customHeight="1" x14ac:dyDescent="0.25">
      <c r="A271" s="51">
        <v>2024</v>
      </c>
      <c r="B271" s="48" t="s">
        <v>7</v>
      </c>
      <c r="C271" s="46">
        <v>8790.5292299999983</v>
      </c>
      <c r="D271" s="46">
        <v>0</v>
      </c>
      <c r="E271" s="46">
        <v>0</v>
      </c>
      <c r="F271" s="46"/>
      <c r="G271" s="46">
        <v>0</v>
      </c>
      <c r="H271" s="46">
        <v>0</v>
      </c>
      <c r="I271" s="46">
        <v>742.95623999999987</v>
      </c>
      <c r="J271" s="46">
        <v>1410.1573799999985</v>
      </c>
      <c r="K271" s="49">
        <v>10943.642849999997</v>
      </c>
    </row>
    <row r="272" spans="1:11" ht="12.75" customHeight="1" x14ac:dyDescent="0.25">
      <c r="A272" s="51">
        <v>2024</v>
      </c>
      <c r="B272" s="48" t="s">
        <v>8</v>
      </c>
      <c r="C272" s="46">
        <v>8646.1387200000008</v>
      </c>
      <c r="D272" s="46">
        <v>0</v>
      </c>
      <c r="E272" s="46">
        <v>0</v>
      </c>
      <c r="F272" s="46"/>
      <c r="G272" s="46">
        <v>0</v>
      </c>
      <c r="H272" s="46">
        <v>0</v>
      </c>
      <c r="I272" s="46">
        <v>1725.61319</v>
      </c>
      <c r="J272" s="46">
        <v>1041.53018</v>
      </c>
      <c r="K272" s="49">
        <v>11413.282090000001</v>
      </c>
    </row>
    <row r="273" spans="1:11" ht="12.75" customHeight="1" x14ac:dyDescent="0.25">
      <c r="A273" s="51">
        <v>2024</v>
      </c>
      <c r="B273" s="48" t="s">
        <v>9</v>
      </c>
      <c r="C273" s="46">
        <v>8561.3345000000008</v>
      </c>
      <c r="D273" s="46">
        <v>0</v>
      </c>
      <c r="E273" s="46">
        <v>0</v>
      </c>
      <c r="F273" s="46"/>
      <c r="G273" s="46">
        <v>0</v>
      </c>
      <c r="H273" s="46">
        <v>0</v>
      </c>
      <c r="I273" s="46">
        <v>1632.1897300000001</v>
      </c>
      <c r="J273" s="46">
        <v>1733.1751499999998</v>
      </c>
      <c r="K273" s="49">
        <v>11926.69938</v>
      </c>
    </row>
    <row r="274" spans="1:11" ht="12.75" customHeight="1" x14ac:dyDescent="0.25">
      <c r="A274" s="51">
        <v>2024</v>
      </c>
      <c r="B274" s="48" t="s">
        <v>10</v>
      </c>
      <c r="C274" s="46">
        <v>8865.2239000000009</v>
      </c>
      <c r="D274" s="46">
        <v>0</v>
      </c>
      <c r="E274" s="46">
        <v>0</v>
      </c>
      <c r="F274" s="46"/>
      <c r="G274" s="46">
        <v>0</v>
      </c>
      <c r="H274" s="46">
        <v>0</v>
      </c>
      <c r="I274" s="46">
        <v>1233.4716000000001</v>
      </c>
      <c r="J274" s="46">
        <v>2068.6161400000001</v>
      </c>
      <c r="K274" s="49">
        <v>12167.311640000002</v>
      </c>
    </row>
    <row r="275" spans="1:11" ht="12.75" customHeight="1" x14ac:dyDescent="0.25">
      <c r="A275" s="51">
        <v>2024</v>
      </c>
      <c r="B275" s="48" t="s">
        <v>11</v>
      </c>
      <c r="C275" s="46">
        <v>6779.4009499999993</v>
      </c>
      <c r="D275" s="46">
        <v>0</v>
      </c>
      <c r="E275" s="46">
        <v>0</v>
      </c>
      <c r="F275" s="46"/>
      <c r="G275" s="46">
        <v>0</v>
      </c>
      <c r="H275" s="46">
        <v>0</v>
      </c>
      <c r="I275" s="46">
        <v>1609.15365</v>
      </c>
      <c r="J275" s="46">
        <v>2212.5951099999997</v>
      </c>
      <c r="K275" s="49">
        <v>10601.14971</v>
      </c>
    </row>
    <row r="276" spans="1:11" ht="12.75" customHeight="1" x14ac:dyDescent="0.25">
      <c r="A276" s="51">
        <v>2024</v>
      </c>
      <c r="B276" s="48" t="s">
        <v>12</v>
      </c>
      <c r="C276" s="46">
        <v>10296.308790000001</v>
      </c>
      <c r="D276" s="46">
        <v>0</v>
      </c>
      <c r="E276" s="46">
        <v>0</v>
      </c>
      <c r="F276" s="46"/>
      <c r="G276" s="46">
        <v>0</v>
      </c>
      <c r="H276" s="46">
        <v>0</v>
      </c>
      <c r="I276" s="46">
        <v>660.03667000000007</v>
      </c>
      <c r="J276" s="46">
        <v>604.7717200000003</v>
      </c>
      <c r="K276" s="49">
        <v>11561.117180000001</v>
      </c>
    </row>
    <row r="277" spans="1:11" ht="12.75" customHeight="1" x14ac:dyDescent="0.25">
      <c r="A277" s="51">
        <v>2024</v>
      </c>
      <c r="B277" s="48" t="s">
        <v>13</v>
      </c>
      <c r="C277" s="46">
        <v>9970.7199000000001</v>
      </c>
      <c r="D277" s="46">
        <v>0</v>
      </c>
      <c r="E277" s="46">
        <v>0</v>
      </c>
      <c r="F277" s="46"/>
      <c r="G277" s="46">
        <v>0</v>
      </c>
      <c r="H277" s="46">
        <v>0</v>
      </c>
      <c r="I277" s="46">
        <v>875.45695999999998</v>
      </c>
      <c r="J277" s="46">
        <v>744.06983000000002</v>
      </c>
      <c r="K277" s="49">
        <v>11590.24669</v>
      </c>
    </row>
    <row r="278" spans="1:11" ht="12.75" customHeight="1" x14ac:dyDescent="0.25">
      <c r="A278" s="51">
        <v>2024</v>
      </c>
      <c r="B278" s="48" t="s">
        <v>14</v>
      </c>
      <c r="C278" s="46">
        <v>9764.3110399999987</v>
      </c>
      <c r="D278" s="46">
        <v>0</v>
      </c>
      <c r="E278" s="46">
        <v>0</v>
      </c>
      <c r="F278" s="46"/>
      <c r="G278" s="46">
        <v>0</v>
      </c>
      <c r="H278" s="46">
        <v>0</v>
      </c>
      <c r="I278" s="46">
        <v>637.17290000000003</v>
      </c>
      <c r="J278" s="46">
        <v>1778.7465599999966</v>
      </c>
      <c r="K278" s="49">
        <v>12180.230499999994</v>
      </c>
    </row>
    <row r="279" spans="1:11" ht="12.75" customHeight="1" x14ac:dyDescent="0.25">
      <c r="A279" s="51">
        <v>2024</v>
      </c>
      <c r="B279" s="48" t="s">
        <v>15</v>
      </c>
      <c r="C279" s="46">
        <v>105890.82688999998</v>
      </c>
      <c r="D279" s="46">
        <v>0</v>
      </c>
      <c r="E279" s="46">
        <v>0</v>
      </c>
      <c r="F279" s="46"/>
      <c r="G279" s="46">
        <v>0</v>
      </c>
      <c r="H279" s="46">
        <v>0</v>
      </c>
      <c r="I279" s="46">
        <v>12303.2191</v>
      </c>
      <c r="J279" s="46">
        <v>16064.613639999994</v>
      </c>
      <c r="K279" s="49">
        <v>134258.65963000001</v>
      </c>
    </row>
    <row r="280" spans="1:11" ht="12.75" customHeight="1" x14ac:dyDescent="0.25">
      <c r="A280" s="42">
        <v>2025</v>
      </c>
      <c r="B280" s="42" t="s">
        <v>3</v>
      </c>
      <c r="C280" s="46">
        <v>10119.332779999999</v>
      </c>
      <c r="D280" s="46">
        <v>0</v>
      </c>
      <c r="E280" s="46">
        <v>0</v>
      </c>
      <c r="F280" s="46"/>
      <c r="G280" s="46">
        <v>0</v>
      </c>
      <c r="H280" s="46">
        <v>0</v>
      </c>
      <c r="I280" s="46">
        <v>690.99894000000006</v>
      </c>
      <c r="J280" s="46">
        <v>710.8289299999991</v>
      </c>
      <c r="K280" s="47">
        <v>11521.160649999998</v>
      </c>
    </row>
    <row r="281" spans="1:11" ht="12.75" customHeight="1" x14ac:dyDescent="0.25">
      <c r="A281" s="42">
        <v>2025</v>
      </c>
      <c r="B281" s="42" t="s">
        <v>4</v>
      </c>
      <c r="C281" s="46">
        <v>9188.0476900000012</v>
      </c>
      <c r="D281" s="46">
        <v>0</v>
      </c>
      <c r="E281" s="46">
        <v>0</v>
      </c>
      <c r="F281" s="46"/>
      <c r="G281" s="46">
        <v>0</v>
      </c>
      <c r="H281" s="46">
        <v>0</v>
      </c>
      <c r="I281" s="46">
        <v>509.35975000000002</v>
      </c>
      <c r="J281" s="46">
        <v>233.77789999999999</v>
      </c>
      <c r="K281" s="47">
        <v>9931.18534</v>
      </c>
    </row>
    <row r="282" spans="1:11" ht="12.75" customHeight="1" x14ac:dyDescent="0.25">
      <c r="A282" s="42">
        <v>2025</v>
      </c>
      <c r="B282" s="42" t="s">
        <v>5</v>
      </c>
      <c r="C282" s="46">
        <v>9509.296339999999</v>
      </c>
      <c r="D282" s="46">
        <v>0</v>
      </c>
      <c r="E282" s="46">
        <v>0</v>
      </c>
      <c r="F282" s="46"/>
      <c r="G282" s="46">
        <v>0</v>
      </c>
      <c r="H282" s="46">
        <v>0</v>
      </c>
      <c r="I282" s="46">
        <v>329.04199</v>
      </c>
      <c r="J282" s="46">
        <v>371.22836000000024</v>
      </c>
      <c r="K282" s="47">
        <v>10209.56669</v>
      </c>
    </row>
    <row r="283" spans="1:11" ht="12.75" customHeight="1" x14ac:dyDescent="0.25">
      <c r="A283" s="42">
        <v>2025</v>
      </c>
      <c r="B283" s="42" t="s">
        <v>6</v>
      </c>
      <c r="C283" s="46">
        <v>7817.3068499999999</v>
      </c>
      <c r="D283" s="46">
        <v>0</v>
      </c>
      <c r="E283" s="46">
        <v>0</v>
      </c>
      <c r="F283" s="46"/>
      <c r="G283" s="46">
        <v>0</v>
      </c>
      <c r="H283" s="46">
        <v>0</v>
      </c>
      <c r="I283" s="46">
        <v>1411.3266299999998</v>
      </c>
      <c r="J283" s="46">
        <v>103.10802</v>
      </c>
      <c r="K283" s="47">
        <v>9331.7415000000001</v>
      </c>
    </row>
    <row r="284" spans="1:11" ht="12.75" customHeight="1" x14ac:dyDescent="0.25">
      <c r="A284" s="42">
        <v>2025</v>
      </c>
      <c r="B284" s="42" t="s">
        <v>7</v>
      </c>
      <c r="C284" s="46">
        <v>8140.6637000000001</v>
      </c>
      <c r="D284" s="46">
        <v>0</v>
      </c>
      <c r="E284" s="46">
        <v>0</v>
      </c>
      <c r="F284" s="46"/>
      <c r="G284" s="46">
        <v>0</v>
      </c>
      <c r="H284" s="46">
        <v>0</v>
      </c>
      <c r="I284" s="46">
        <v>756.35961999999995</v>
      </c>
      <c r="J284" s="46">
        <v>272.58769999999998</v>
      </c>
      <c r="K284" s="47">
        <v>9169.6110200000003</v>
      </c>
    </row>
    <row r="285" spans="1:11" ht="12.75" customHeight="1" x14ac:dyDescent="0.25">
      <c r="A285" s="42">
        <v>2025</v>
      </c>
      <c r="B285" s="42" t="s">
        <v>8</v>
      </c>
      <c r="C285" s="46">
        <v>7890.1388199999992</v>
      </c>
      <c r="D285" s="46">
        <v>0</v>
      </c>
      <c r="E285" s="46">
        <v>0</v>
      </c>
      <c r="F285" s="46"/>
      <c r="G285" s="46">
        <v>0</v>
      </c>
      <c r="H285" s="46">
        <v>0</v>
      </c>
      <c r="I285" s="46">
        <v>143.38491999999999</v>
      </c>
      <c r="J285" s="46">
        <v>600.3788400000002</v>
      </c>
      <c r="K285" s="47">
        <v>8633.9025799999999</v>
      </c>
    </row>
    <row r="286" spans="1:11" ht="12.75" customHeight="1" x14ac:dyDescent="0.25">
      <c r="A286" s="42">
        <v>2025</v>
      </c>
      <c r="B286" s="42" t="s">
        <v>9</v>
      </c>
      <c r="C286" s="46">
        <v>9329.601560000001</v>
      </c>
      <c r="D286" s="46">
        <v>0</v>
      </c>
      <c r="E286" s="46">
        <v>0</v>
      </c>
      <c r="F286" s="46"/>
      <c r="G286" s="46">
        <v>0</v>
      </c>
      <c r="H286" s="46">
        <v>0</v>
      </c>
      <c r="I286" s="46">
        <v>520.75828000000001</v>
      </c>
      <c r="J286" s="46">
        <v>1594.8113700000004</v>
      </c>
      <c r="K286" s="47">
        <v>11445.17121</v>
      </c>
    </row>
    <row r="287" spans="1:11" ht="12.75" customHeight="1" x14ac:dyDescent="0.25">
      <c r="A287" s="42">
        <v>2025</v>
      </c>
      <c r="B287" s="42" t="s">
        <v>10</v>
      </c>
      <c r="C287" s="46">
        <v>9122.6955799999978</v>
      </c>
      <c r="D287" s="46">
        <v>0</v>
      </c>
      <c r="E287" s="46">
        <v>0</v>
      </c>
      <c r="F287" s="46"/>
      <c r="G287" s="46">
        <v>0</v>
      </c>
      <c r="H287" s="46">
        <v>0</v>
      </c>
      <c r="I287" s="46">
        <v>701.91727000000003</v>
      </c>
      <c r="J287" s="46">
        <v>1537.5003700000004</v>
      </c>
      <c r="K287" s="47">
        <v>11362.113219999997</v>
      </c>
    </row>
    <row r="288" spans="1:11" ht="12.75" customHeight="1" x14ac:dyDescent="0.25">
      <c r="A288" s="42">
        <v>2025</v>
      </c>
      <c r="B288" s="42" t="s">
        <v>11</v>
      </c>
      <c r="C288" s="46">
        <v>7340.06934</v>
      </c>
      <c r="D288" s="46">
        <v>0</v>
      </c>
      <c r="E288" s="46">
        <v>0</v>
      </c>
      <c r="F288" s="46"/>
      <c r="G288" s="46">
        <v>0</v>
      </c>
      <c r="H288" s="46">
        <v>0</v>
      </c>
      <c r="I288" s="46">
        <v>546.56534999999997</v>
      </c>
      <c r="J288" s="46">
        <v>1105.5804300000004</v>
      </c>
      <c r="K288" s="47">
        <v>8992.2151200000008</v>
      </c>
    </row>
    <row r="289" spans="1:11" ht="12.75" customHeight="1" x14ac:dyDescent="0.25">
      <c r="A289" s="42">
        <v>2025</v>
      </c>
      <c r="B289" s="42" t="s">
        <v>12</v>
      </c>
      <c r="C289" s="46">
        <v>10056.749980000001</v>
      </c>
      <c r="D289" s="46">
        <v>0</v>
      </c>
      <c r="E289" s="46">
        <v>0</v>
      </c>
      <c r="F289" s="46"/>
      <c r="G289" s="46">
        <v>0</v>
      </c>
      <c r="H289" s="46">
        <v>0</v>
      </c>
      <c r="I289" s="46">
        <v>1.7162500000000001</v>
      </c>
      <c r="J289" s="46">
        <v>306.75893999999937</v>
      </c>
      <c r="K289" s="47">
        <v>10365.22517</v>
      </c>
    </row>
    <row r="290" spans="1:11" ht="12.75" customHeight="1" x14ac:dyDescent="0.25">
      <c r="A290" s="42">
        <v>2025</v>
      </c>
      <c r="B290" s="42" t="s">
        <v>13</v>
      </c>
      <c r="C290" s="46">
        <v>9671.0261100000007</v>
      </c>
      <c r="D290" s="46">
        <v>0</v>
      </c>
      <c r="E290" s="46">
        <v>0</v>
      </c>
      <c r="F290" s="46"/>
      <c r="G290" s="46">
        <v>0</v>
      </c>
      <c r="H290" s="46">
        <v>0</v>
      </c>
      <c r="I290" s="46">
        <v>265.83138000000002</v>
      </c>
      <c r="J290" s="46">
        <v>1041.0543800000007</v>
      </c>
      <c r="K290" s="47">
        <v>10977.911870000002</v>
      </c>
    </row>
    <row r="291" spans="1:11" ht="12.75" customHeight="1" x14ac:dyDescent="0.25">
      <c r="A291" s="42">
        <v>2025</v>
      </c>
      <c r="B291" s="42" t="s">
        <v>14</v>
      </c>
      <c r="C291" s="46">
        <v>8993.8577699999987</v>
      </c>
      <c r="D291" s="46">
        <v>0</v>
      </c>
      <c r="E291" s="46">
        <v>0</v>
      </c>
      <c r="F291" s="46"/>
      <c r="G291" s="46">
        <v>0</v>
      </c>
      <c r="H291" s="46">
        <v>0</v>
      </c>
      <c r="I291" s="46">
        <v>491.94903000000005</v>
      </c>
      <c r="J291" s="46">
        <v>2177.6590199999955</v>
      </c>
      <c r="K291" s="47">
        <v>11663.465819999994</v>
      </c>
    </row>
    <row r="292" spans="1:11" ht="12.75" customHeight="1" x14ac:dyDescent="0.25">
      <c r="A292" s="42">
        <v>2025</v>
      </c>
      <c r="B292" s="42" t="s">
        <v>15</v>
      </c>
      <c r="C292" s="46">
        <v>107178.78651999999</v>
      </c>
      <c r="D292" s="46">
        <v>0</v>
      </c>
      <c r="E292" s="46">
        <v>0</v>
      </c>
      <c r="F292" s="46"/>
      <c r="G292" s="46">
        <v>0</v>
      </c>
      <c r="H292" s="46">
        <v>0</v>
      </c>
      <c r="I292" s="46">
        <v>6369.2094099999995</v>
      </c>
      <c r="J292" s="46">
        <v>10055.274259999995</v>
      </c>
      <c r="K292" s="47">
        <v>123603.27019</v>
      </c>
    </row>
    <row r="293" spans="1:11" ht="12.75" customHeight="1" x14ac:dyDescent="0.25">
      <c r="A293" s="51">
        <v>2026</v>
      </c>
      <c r="B293" s="48" t="s">
        <v>3</v>
      </c>
      <c r="C293" s="46">
        <v>10092.385219999998</v>
      </c>
      <c r="D293" s="46">
        <v>0</v>
      </c>
      <c r="E293" s="46">
        <v>0</v>
      </c>
      <c r="F293" s="46"/>
      <c r="G293" s="46">
        <v>0</v>
      </c>
      <c r="H293" s="46">
        <v>0</v>
      </c>
      <c r="I293" s="46">
        <v>308.79505000000006</v>
      </c>
      <c r="J293" s="46">
        <v>2448.0125899999998</v>
      </c>
      <c r="K293" s="49">
        <v>12849.192859999999</v>
      </c>
    </row>
    <row r="294" spans="1:11" ht="12.75" customHeight="1" x14ac:dyDescent="0.25">
      <c r="A294" s="51">
        <v>2026</v>
      </c>
      <c r="B294" s="48" t="s">
        <v>4</v>
      </c>
      <c r="C294" s="46">
        <v>9150.5642599999992</v>
      </c>
      <c r="D294" s="46">
        <v>0</v>
      </c>
      <c r="E294" s="46">
        <v>0</v>
      </c>
      <c r="F294" s="46"/>
      <c r="G294" s="46">
        <v>0</v>
      </c>
      <c r="H294" s="46">
        <v>0</v>
      </c>
      <c r="I294" s="46">
        <v>377.92268000000001</v>
      </c>
      <c r="J294" s="46">
        <v>202.79962000000023</v>
      </c>
      <c r="K294" s="49">
        <v>9731.2865599999986</v>
      </c>
    </row>
    <row r="295" spans="1:11" ht="12.75" customHeight="1" x14ac:dyDescent="0.25">
      <c r="A295" s="51">
        <v>2026</v>
      </c>
      <c r="B295" s="48" t="s">
        <v>5</v>
      </c>
      <c r="C295" s="46">
        <v>10261.843949999999</v>
      </c>
      <c r="D295" s="46">
        <v>0</v>
      </c>
      <c r="E295" s="46">
        <v>0</v>
      </c>
      <c r="F295" s="46"/>
      <c r="G295" s="46">
        <v>1.5249600000000001</v>
      </c>
      <c r="H295" s="46">
        <v>0</v>
      </c>
      <c r="I295" s="46">
        <v>30.77882</v>
      </c>
      <c r="J295" s="46">
        <v>189.447</v>
      </c>
      <c r="K295" s="49">
        <v>10483.594729999999</v>
      </c>
    </row>
    <row r="296" spans="1:11" ht="12.75" customHeight="1" x14ac:dyDescent="0.25">
      <c r="A296" s="51">
        <v>2026</v>
      </c>
      <c r="B296" s="48" t="s">
        <v>6</v>
      </c>
      <c r="C296" s="46">
        <v>9786.8744700000007</v>
      </c>
      <c r="D296" s="46">
        <v>0</v>
      </c>
      <c r="E296" s="46">
        <v>0</v>
      </c>
      <c r="F296" s="46"/>
      <c r="G296" s="46">
        <v>0</v>
      </c>
      <c r="H296" s="46">
        <v>0</v>
      </c>
      <c r="I296" s="46">
        <v>1033.9299799999999</v>
      </c>
      <c r="J296" s="46">
        <v>128.43491999999998</v>
      </c>
      <c r="K296" s="65">
        <v>10949.239369999999</v>
      </c>
    </row>
    <row r="297" spans="1:11" ht="12.75" customHeight="1" x14ac:dyDescent="0.25">
      <c r="A297" s="51">
        <v>2026</v>
      </c>
      <c r="B297" s="48" t="s">
        <v>7</v>
      </c>
      <c r="C297" s="46">
        <v>10365.410179999999</v>
      </c>
      <c r="D297" s="46">
        <v>0</v>
      </c>
      <c r="E297" s="46">
        <v>0</v>
      </c>
      <c r="F297" s="46"/>
      <c r="G297" s="46">
        <v>0</v>
      </c>
      <c r="H297" s="46">
        <v>0</v>
      </c>
      <c r="I297" s="46">
        <v>1142.7238400000001</v>
      </c>
      <c r="J297" s="46">
        <v>172.21909000000005</v>
      </c>
      <c r="K297" s="49">
        <v>11680.35311</v>
      </c>
    </row>
    <row r="298" spans="1:11" ht="12.75" customHeight="1" x14ac:dyDescent="0.25">
      <c r="A298" s="51">
        <v>2026</v>
      </c>
      <c r="B298" s="48" t="s">
        <v>8</v>
      </c>
      <c r="C298" s="46">
        <v>9977.8156200000012</v>
      </c>
      <c r="D298" s="46">
        <v>0</v>
      </c>
      <c r="E298" s="46">
        <v>0</v>
      </c>
      <c r="F298" s="46"/>
      <c r="G298" s="46">
        <v>0</v>
      </c>
      <c r="H298" s="46">
        <v>0</v>
      </c>
      <c r="I298" s="46">
        <v>2216.4018599999999</v>
      </c>
      <c r="J298" s="46">
        <v>517.81524000000002</v>
      </c>
      <c r="K298" s="49">
        <v>12712.032720000001</v>
      </c>
    </row>
    <row r="299" spans="1:11" ht="12.75" customHeight="1" x14ac:dyDescent="0.25">
      <c r="A299" s="51" t="s">
        <v>39</v>
      </c>
      <c r="B299" s="48" t="s">
        <v>39</v>
      </c>
      <c r="C299" s="46">
        <v>0</v>
      </c>
      <c r="D299" s="46">
        <v>0</v>
      </c>
      <c r="E299" s="46">
        <v>0</v>
      </c>
      <c r="F299" s="46"/>
      <c r="G299" s="46">
        <v>0</v>
      </c>
      <c r="H299" s="46">
        <v>0</v>
      </c>
      <c r="I299" s="46">
        <v>0</v>
      </c>
      <c r="J299" s="46">
        <v>0</v>
      </c>
      <c r="K299" s="49">
        <v>0</v>
      </c>
    </row>
    <row r="300" spans="1:11" ht="12.75" customHeight="1" x14ac:dyDescent="0.25">
      <c r="A300" s="51" t="s">
        <v>39</v>
      </c>
      <c r="B300" s="48" t="s">
        <v>39</v>
      </c>
      <c r="C300" s="46">
        <v>0</v>
      </c>
      <c r="D300" s="46">
        <v>0</v>
      </c>
      <c r="E300" s="46">
        <v>0</v>
      </c>
      <c r="F300" s="46"/>
      <c r="G300" s="46">
        <v>0</v>
      </c>
      <c r="H300" s="46">
        <v>0</v>
      </c>
      <c r="I300" s="46">
        <v>0</v>
      </c>
      <c r="J300" s="46">
        <v>0</v>
      </c>
      <c r="K300" s="49">
        <v>0</v>
      </c>
    </row>
    <row r="301" spans="1:11" ht="12.75" customHeight="1" x14ac:dyDescent="0.25">
      <c r="A301" s="51" t="s">
        <v>39</v>
      </c>
      <c r="B301" s="48" t="s">
        <v>39</v>
      </c>
      <c r="C301" s="46">
        <v>0</v>
      </c>
      <c r="D301" s="46">
        <v>0</v>
      </c>
      <c r="E301" s="46">
        <v>0</v>
      </c>
      <c r="F301" s="46"/>
      <c r="G301" s="46">
        <v>0</v>
      </c>
      <c r="H301" s="46">
        <v>0</v>
      </c>
      <c r="I301" s="46">
        <v>0</v>
      </c>
      <c r="J301" s="46">
        <v>0</v>
      </c>
      <c r="K301" s="49">
        <v>0</v>
      </c>
    </row>
    <row r="302" spans="1:11" ht="12.75" customHeight="1" x14ac:dyDescent="0.25">
      <c r="A302" s="51" t="s">
        <v>39</v>
      </c>
      <c r="B302" s="48" t="s">
        <v>39</v>
      </c>
      <c r="C302" s="46">
        <v>0</v>
      </c>
      <c r="D302" s="46">
        <v>0</v>
      </c>
      <c r="E302" s="46">
        <v>0</v>
      </c>
      <c r="F302" s="46"/>
      <c r="G302" s="46">
        <v>0</v>
      </c>
      <c r="H302" s="46">
        <v>0</v>
      </c>
      <c r="I302" s="46">
        <v>0</v>
      </c>
      <c r="J302" s="46">
        <v>0</v>
      </c>
      <c r="K302" s="49">
        <v>0</v>
      </c>
    </row>
    <row r="303" spans="1:11" ht="12.75" customHeight="1" x14ac:dyDescent="0.25">
      <c r="A303" s="51" t="s">
        <v>39</v>
      </c>
      <c r="B303" s="48" t="s">
        <v>39</v>
      </c>
      <c r="C303" s="46">
        <v>0</v>
      </c>
      <c r="D303" s="46">
        <v>0</v>
      </c>
      <c r="E303" s="46">
        <v>0</v>
      </c>
      <c r="F303" s="46"/>
      <c r="G303" s="46">
        <v>0</v>
      </c>
      <c r="H303" s="46">
        <v>0</v>
      </c>
      <c r="I303" s="46">
        <v>0</v>
      </c>
      <c r="J303" s="46">
        <v>0</v>
      </c>
      <c r="K303" s="49">
        <v>0</v>
      </c>
    </row>
    <row r="304" spans="1:11" ht="12.75" customHeight="1" x14ac:dyDescent="0.25">
      <c r="A304" s="51" t="s">
        <v>39</v>
      </c>
      <c r="B304" s="48" t="s">
        <v>39</v>
      </c>
      <c r="C304" s="46">
        <v>0</v>
      </c>
      <c r="D304" s="46">
        <v>0</v>
      </c>
      <c r="E304" s="46">
        <v>0</v>
      </c>
      <c r="F304" s="46"/>
      <c r="G304" s="46">
        <v>0</v>
      </c>
      <c r="H304" s="46">
        <v>0</v>
      </c>
      <c r="I304" s="46">
        <v>0</v>
      </c>
      <c r="J304" s="46">
        <v>0</v>
      </c>
      <c r="K304" s="49">
        <v>0</v>
      </c>
    </row>
    <row r="305" spans="1:11" ht="12.75" customHeight="1" x14ac:dyDescent="0.25">
      <c r="A305" s="51"/>
      <c r="B305" s="48"/>
      <c r="C305" s="46"/>
      <c r="D305" s="46"/>
      <c r="E305" s="46"/>
      <c r="F305" s="46"/>
      <c r="G305" s="46"/>
      <c r="H305" s="46"/>
      <c r="I305" s="46"/>
      <c r="J305" s="46"/>
      <c r="K305" s="49"/>
    </row>
    <row r="306" spans="1:11" ht="12.75" customHeight="1" x14ac:dyDescent="0.25">
      <c r="A306" s="42"/>
      <c r="B306" s="42" t="s">
        <v>39</v>
      </c>
      <c r="C306" s="46">
        <v>0</v>
      </c>
      <c r="D306" s="46">
        <v>0</v>
      </c>
      <c r="E306" s="46">
        <v>0</v>
      </c>
      <c r="F306" s="46">
        <v>0</v>
      </c>
      <c r="G306" s="46">
        <v>0</v>
      </c>
      <c r="H306" s="46">
        <v>0</v>
      </c>
      <c r="I306" s="46">
        <v>0</v>
      </c>
      <c r="J306" s="46">
        <v>0</v>
      </c>
      <c r="K306" s="47">
        <v>0</v>
      </c>
    </row>
    <row r="307" spans="1:11" ht="12.75" customHeight="1" x14ac:dyDescent="0.25">
      <c r="A307" s="42"/>
      <c r="B307" s="42" t="s">
        <v>39</v>
      </c>
      <c r="C307" s="46">
        <v>0</v>
      </c>
      <c r="D307" s="46">
        <v>0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0</v>
      </c>
      <c r="K307" s="47">
        <v>0</v>
      </c>
    </row>
    <row r="308" spans="1:11" ht="12.75" customHeight="1" x14ac:dyDescent="0.25">
      <c r="A308" s="42"/>
      <c r="B308" s="42" t="s">
        <v>39</v>
      </c>
      <c r="C308" s="46">
        <v>0</v>
      </c>
      <c r="D308" s="46">
        <v>0</v>
      </c>
      <c r="E308" s="46">
        <v>0</v>
      </c>
      <c r="F308" s="46">
        <v>0</v>
      </c>
      <c r="G308" s="46">
        <v>0</v>
      </c>
      <c r="H308" s="46">
        <v>0</v>
      </c>
      <c r="I308" s="46">
        <v>0</v>
      </c>
      <c r="J308" s="46">
        <v>0</v>
      </c>
      <c r="K308" s="47">
        <v>0</v>
      </c>
    </row>
    <row r="309" spans="1:11" ht="12.75" customHeight="1" x14ac:dyDescent="0.25">
      <c r="A309" s="42"/>
      <c r="B309" s="42" t="s">
        <v>39</v>
      </c>
      <c r="C309" s="46">
        <v>0</v>
      </c>
      <c r="D309" s="46">
        <v>0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7">
        <v>0</v>
      </c>
    </row>
    <row r="310" spans="1:11" ht="12.75" customHeight="1" x14ac:dyDescent="0.25">
      <c r="A310" s="42"/>
      <c r="B310" s="42" t="s">
        <v>39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7">
        <v>0</v>
      </c>
    </row>
    <row r="311" spans="1:11" ht="12.75" customHeight="1" x14ac:dyDescent="0.25">
      <c r="A311" s="42"/>
      <c r="B311" s="42" t="s">
        <v>39</v>
      </c>
      <c r="C311" s="46">
        <v>0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7">
        <v>0</v>
      </c>
    </row>
    <row r="312" spans="1:11" ht="12.75" customHeight="1" x14ac:dyDescent="0.25">
      <c r="A312" s="42"/>
      <c r="B312" s="42" t="s">
        <v>39</v>
      </c>
      <c r="C312" s="46">
        <v>0</v>
      </c>
      <c r="D312" s="46">
        <v>0</v>
      </c>
      <c r="E312" s="46">
        <v>0</v>
      </c>
      <c r="F312" s="46">
        <v>0</v>
      </c>
      <c r="G312" s="46">
        <v>0</v>
      </c>
      <c r="H312" s="46">
        <v>0</v>
      </c>
      <c r="I312" s="46">
        <v>0</v>
      </c>
      <c r="J312" s="46">
        <v>0</v>
      </c>
      <c r="K312" s="47">
        <v>0</v>
      </c>
    </row>
    <row r="313" spans="1:11" ht="12.75" customHeight="1" x14ac:dyDescent="0.25">
      <c r="A313" s="42"/>
      <c r="B313" s="42" t="s">
        <v>39</v>
      </c>
      <c r="C313" s="46">
        <v>0</v>
      </c>
      <c r="D313" s="46">
        <v>0</v>
      </c>
      <c r="E313" s="46">
        <v>0</v>
      </c>
      <c r="F313" s="46">
        <v>0</v>
      </c>
      <c r="G313" s="46">
        <v>0</v>
      </c>
      <c r="H313" s="46">
        <v>0</v>
      </c>
      <c r="I313" s="46">
        <v>0</v>
      </c>
      <c r="J313" s="46">
        <v>0</v>
      </c>
      <c r="K313" s="47">
        <v>0</v>
      </c>
    </row>
    <row r="314" spans="1:11" ht="12.75" customHeight="1" x14ac:dyDescent="0.25">
      <c r="A314" s="42"/>
      <c r="B314" s="42" t="s">
        <v>39</v>
      </c>
      <c r="C314" s="46">
        <v>0</v>
      </c>
      <c r="D314" s="46">
        <v>0</v>
      </c>
      <c r="E314" s="46">
        <v>0</v>
      </c>
      <c r="F314" s="46">
        <v>0</v>
      </c>
      <c r="G314" s="46">
        <v>0</v>
      </c>
      <c r="H314" s="46">
        <v>0</v>
      </c>
      <c r="I314" s="46">
        <v>0</v>
      </c>
      <c r="J314" s="46">
        <v>0</v>
      </c>
      <c r="K314" s="47">
        <v>0</v>
      </c>
    </row>
    <row r="315" spans="1:11" ht="12.75" customHeight="1" x14ac:dyDescent="0.25">
      <c r="A315" s="42"/>
      <c r="B315" s="42" t="s">
        <v>39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7">
        <v>0</v>
      </c>
    </row>
    <row r="316" spans="1:11" ht="12.75" customHeight="1" x14ac:dyDescent="0.25">
      <c r="A316" s="42"/>
      <c r="B316" s="42" t="s">
        <v>39</v>
      </c>
      <c r="C316" s="46">
        <v>0</v>
      </c>
      <c r="D316" s="46">
        <v>0</v>
      </c>
      <c r="E316" s="46">
        <v>0</v>
      </c>
      <c r="F316" s="46">
        <v>0</v>
      </c>
      <c r="G316" s="46">
        <v>0</v>
      </c>
      <c r="H316" s="46">
        <v>0</v>
      </c>
      <c r="I316" s="46">
        <v>0</v>
      </c>
      <c r="J316" s="46">
        <v>0</v>
      </c>
      <c r="K316" s="47">
        <v>0</v>
      </c>
    </row>
    <row r="317" spans="1:11" ht="12.75" customHeight="1" x14ac:dyDescent="0.25">
      <c r="A317" s="42"/>
      <c r="B317" s="42" t="s">
        <v>39</v>
      </c>
      <c r="C317" s="46">
        <v>0</v>
      </c>
      <c r="D317" s="46">
        <v>0</v>
      </c>
      <c r="E317" s="46">
        <v>0</v>
      </c>
      <c r="F317" s="46">
        <v>0</v>
      </c>
      <c r="G317" s="46">
        <v>0</v>
      </c>
      <c r="H317" s="46">
        <v>0</v>
      </c>
      <c r="I317" s="46">
        <v>0</v>
      </c>
      <c r="J317" s="46">
        <v>0</v>
      </c>
      <c r="K317" s="47">
        <v>0</v>
      </c>
    </row>
    <row r="318" spans="1:11" ht="12.75" customHeight="1" x14ac:dyDescent="0.25">
      <c r="A318" s="42"/>
      <c r="B318" s="42" t="s">
        <v>39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7">
        <v>0</v>
      </c>
    </row>
    <row r="319" spans="1:11" ht="12.75" customHeight="1" x14ac:dyDescent="0.25">
      <c r="A319" s="42"/>
      <c r="B319" s="42" t="s">
        <v>39</v>
      </c>
      <c r="C319" s="46">
        <v>0</v>
      </c>
      <c r="D319" s="46">
        <v>0</v>
      </c>
      <c r="E319" s="46">
        <v>0</v>
      </c>
      <c r="F319" s="46">
        <v>0</v>
      </c>
      <c r="G319" s="46">
        <v>0</v>
      </c>
      <c r="H319" s="46">
        <v>0</v>
      </c>
      <c r="I319" s="46">
        <v>0</v>
      </c>
      <c r="J319" s="46">
        <v>0</v>
      </c>
      <c r="K319" s="47">
        <v>0</v>
      </c>
    </row>
    <row r="320" spans="1:11" ht="12.75" customHeight="1" x14ac:dyDescent="0.25">
      <c r="A320" s="42"/>
      <c r="B320" s="42" t="s">
        <v>39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  <c r="H320" s="46">
        <v>0</v>
      </c>
      <c r="I320" s="46">
        <v>0</v>
      </c>
      <c r="J320" s="46">
        <v>0</v>
      </c>
      <c r="K320" s="47">
        <v>0</v>
      </c>
    </row>
    <row r="321" spans="1:11" ht="12.75" customHeight="1" x14ac:dyDescent="0.25">
      <c r="A321" s="42"/>
      <c r="B321" s="42" t="s">
        <v>39</v>
      </c>
      <c r="C321" s="46">
        <v>0</v>
      </c>
      <c r="D321" s="46">
        <v>0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0</v>
      </c>
      <c r="K321" s="47">
        <v>0</v>
      </c>
    </row>
    <row r="322" spans="1:11" ht="12.75" customHeight="1" x14ac:dyDescent="0.25">
      <c r="A322" s="42"/>
      <c r="B322" s="42" t="s">
        <v>39</v>
      </c>
      <c r="C322" s="46">
        <v>0</v>
      </c>
      <c r="D322" s="46">
        <v>0</v>
      </c>
      <c r="E322" s="46">
        <v>0</v>
      </c>
      <c r="F322" s="46">
        <v>0</v>
      </c>
      <c r="G322" s="46">
        <v>0</v>
      </c>
      <c r="H322" s="46">
        <v>0</v>
      </c>
      <c r="I322" s="46">
        <v>0</v>
      </c>
      <c r="J322" s="46">
        <v>0</v>
      </c>
      <c r="K322" s="47">
        <v>0</v>
      </c>
    </row>
    <row r="323" spans="1:11" ht="12.75" customHeight="1" x14ac:dyDescent="0.25">
      <c r="A323" s="42"/>
      <c r="B323" s="42" t="s">
        <v>39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  <c r="K323" s="47">
        <v>0</v>
      </c>
    </row>
    <row r="324" spans="1:11" ht="12.75" customHeight="1" x14ac:dyDescent="0.25">
      <c r="A324" s="42"/>
      <c r="B324" s="42" t="s">
        <v>39</v>
      </c>
      <c r="C324" s="46">
        <v>0</v>
      </c>
      <c r="D324" s="46">
        <v>0</v>
      </c>
      <c r="E324" s="46">
        <v>0</v>
      </c>
      <c r="F324" s="46">
        <v>0</v>
      </c>
      <c r="G324" s="46">
        <v>0</v>
      </c>
      <c r="H324" s="46">
        <v>0</v>
      </c>
      <c r="I324" s="46">
        <v>0</v>
      </c>
      <c r="J324" s="46">
        <v>0</v>
      </c>
      <c r="K324" s="47">
        <v>0</v>
      </c>
    </row>
    <row r="325" spans="1:11" ht="12.75" customHeight="1" x14ac:dyDescent="0.25">
      <c r="A325" s="42"/>
      <c r="B325" s="42" t="s">
        <v>39</v>
      </c>
      <c r="C325" s="46">
        <v>0</v>
      </c>
      <c r="D325" s="46">
        <v>0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7">
        <v>0</v>
      </c>
    </row>
    <row r="326" spans="1:11" ht="12.75" customHeight="1" x14ac:dyDescent="0.25">
      <c r="A326" s="42"/>
      <c r="B326" s="42" t="s">
        <v>39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7">
        <v>0</v>
      </c>
    </row>
    <row r="327" spans="1:11" ht="12.75" customHeight="1" x14ac:dyDescent="0.25">
      <c r="A327" s="42"/>
      <c r="B327" s="42" t="s">
        <v>39</v>
      </c>
      <c r="C327" s="46">
        <v>0</v>
      </c>
      <c r="D327" s="46">
        <v>0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7">
        <v>0</v>
      </c>
    </row>
    <row r="328" spans="1:11" ht="12.75" customHeight="1" x14ac:dyDescent="0.25">
      <c r="A328" s="42"/>
      <c r="B328" s="42" t="s">
        <v>39</v>
      </c>
      <c r="C328" s="46">
        <v>0</v>
      </c>
      <c r="D328" s="46">
        <v>0</v>
      </c>
      <c r="E328" s="46">
        <v>0</v>
      </c>
      <c r="F328" s="46">
        <v>0</v>
      </c>
      <c r="G328" s="46">
        <v>0</v>
      </c>
      <c r="H328" s="46">
        <v>0</v>
      </c>
      <c r="I328" s="46">
        <v>0</v>
      </c>
      <c r="J328" s="46">
        <v>0</v>
      </c>
      <c r="K328" s="47">
        <v>0</v>
      </c>
    </row>
    <row r="329" spans="1:11" ht="12.75" customHeight="1" x14ac:dyDescent="0.25">
      <c r="A329" s="42"/>
      <c r="B329" s="42" t="s">
        <v>39</v>
      </c>
      <c r="C329" s="46">
        <v>0</v>
      </c>
      <c r="D329" s="46">
        <v>0</v>
      </c>
      <c r="E329" s="46">
        <v>0</v>
      </c>
      <c r="F329" s="46">
        <v>0</v>
      </c>
      <c r="G329" s="46">
        <v>0</v>
      </c>
      <c r="H329" s="46">
        <v>0</v>
      </c>
      <c r="I329" s="46">
        <v>0</v>
      </c>
      <c r="J329" s="46">
        <v>0</v>
      </c>
      <c r="K329" s="47">
        <v>0</v>
      </c>
    </row>
    <row r="330" spans="1:11" ht="12.75" customHeight="1" x14ac:dyDescent="0.25">
      <c r="A330" s="42"/>
      <c r="B330" s="42" t="s">
        <v>39</v>
      </c>
      <c r="C330" s="46">
        <v>0</v>
      </c>
      <c r="D330" s="46">
        <v>0</v>
      </c>
      <c r="E330" s="46">
        <v>0</v>
      </c>
      <c r="F330" s="46">
        <v>0</v>
      </c>
      <c r="G330" s="46">
        <v>0</v>
      </c>
      <c r="H330" s="46">
        <v>0</v>
      </c>
      <c r="I330" s="46">
        <v>0</v>
      </c>
      <c r="J330" s="46">
        <v>0</v>
      </c>
      <c r="K330" s="47">
        <v>0</v>
      </c>
    </row>
    <row r="331" spans="1:11" ht="12.75" customHeight="1" x14ac:dyDescent="0.25">
      <c r="A331" s="42"/>
      <c r="B331" s="42" t="s">
        <v>39</v>
      </c>
      <c r="C331" s="46">
        <v>0</v>
      </c>
      <c r="D331" s="46">
        <v>0</v>
      </c>
      <c r="E331" s="46">
        <v>0</v>
      </c>
      <c r="F331" s="46">
        <v>0</v>
      </c>
      <c r="G331" s="46">
        <v>0</v>
      </c>
      <c r="H331" s="46">
        <v>0</v>
      </c>
      <c r="I331" s="46">
        <v>0</v>
      </c>
      <c r="J331" s="46">
        <v>0</v>
      </c>
      <c r="K331" s="47">
        <v>0</v>
      </c>
    </row>
    <row r="332" spans="1:11" ht="12.75" customHeight="1" x14ac:dyDescent="0.25">
      <c r="A332" s="42"/>
      <c r="B332" s="42" t="s">
        <v>39</v>
      </c>
      <c r="C332" s="46">
        <v>0</v>
      </c>
      <c r="D332" s="46">
        <v>0</v>
      </c>
      <c r="E332" s="46">
        <v>0</v>
      </c>
      <c r="F332" s="46">
        <v>0</v>
      </c>
      <c r="G332" s="46">
        <v>0</v>
      </c>
      <c r="H332" s="46">
        <v>0</v>
      </c>
      <c r="I332" s="46">
        <v>0</v>
      </c>
      <c r="J332" s="46">
        <v>0</v>
      </c>
      <c r="K332" s="47">
        <v>0</v>
      </c>
    </row>
    <row r="333" spans="1:11" ht="12.75" customHeight="1" x14ac:dyDescent="0.25">
      <c r="A333" s="42"/>
      <c r="B333" s="42" t="s">
        <v>39</v>
      </c>
      <c r="C333" s="46">
        <v>0</v>
      </c>
      <c r="D333" s="46">
        <v>0</v>
      </c>
      <c r="E333" s="46">
        <v>0</v>
      </c>
      <c r="F333" s="46">
        <v>0</v>
      </c>
      <c r="G333" s="46">
        <v>0</v>
      </c>
      <c r="H333" s="46">
        <v>0</v>
      </c>
      <c r="I333" s="46">
        <v>0</v>
      </c>
      <c r="J333" s="46">
        <v>0</v>
      </c>
      <c r="K333" s="47">
        <v>0</v>
      </c>
    </row>
    <row r="334" spans="1:11" ht="12.75" customHeight="1" x14ac:dyDescent="0.25">
      <c r="A334" s="42"/>
      <c r="B334" s="42" t="s">
        <v>39</v>
      </c>
      <c r="C334" s="46">
        <v>0</v>
      </c>
      <c r="D334" s="46">
        <v>0</v>
      </c>
      <c r="E334" s="46">
        <v>0</v>
      </c>
      <c r="F334" s="46">
        <v>0</v>
      </c>
      <c r="G334" s="46">
        <v>0</v>
      </c>
      <c r="H334" s="46">
        <v>0</v>
      </c>
      <c r="I334" s="46">
        <v>0</v>
      </c>
      <c r="J334" s="46">
        <v>0</v>
      </c>
      <c r="K334" s="47">
        <v>0</v>
      </c>
    </row>
    <row r="335" spans="1:11" ht="12.75" customHeight="1" x14ac:dyDescent="0.25">
      <c r="A335" s="42"/>
      <c r="B335" s="42" t="s">
        <v>39</v>
      </c>
      <c r="C335" s="46">
        <v>0</v>
      </c>
      <c r="D335" s="46">
        <v>0</v>
      </c>
      <c r="E335" s="46">
        <v>0</v>
      </c>
      <c r="F335" s="46">
        <v>0</v>
      </c>
      <c r="G335" s="46">
        <v>0</v>
      </c>
      <c r="H335" s="46">
        <v>0</v>
      </c>
      <c r="I335" s="46">
        <v>0</v>
      </c>
      <c r="J335" s="46">
        <v>0</v>
      </c>
      <c r="K335" s="47">
        <v>0</v>
      </c>
    </row>
    <row r="336" spans="1:11" ht="12.75" customHeight="1" x14ac:dyDescent="0.25">
      <c r="A336" s="42"/>
      <c r="B336" s="42" t="s">
        <v>39</v>
      </c>
      <c r="C336" s="46">
        <v>0</v>
      </c>
      <c r="D336" s="46">
        <v>0</v>
      </c>
      <c r="E336" s="46">
        <v>0</v>
      </c>
      <c r="F336" s="46">
        <v>0</v>
      </c>
      <c r="G336" s="46">
        <v>0</v>
      </c>
      <c r="H336" s="46">
        <v>0</v>
      </c>
      <c r="I336" s="46">
        <v>0</v>
      </c>
      <c r="J336" s="46">
        <v>0</v>
      </c>
      <c r="K336" s="47">
        <v>0</v>
      </c>
    </row>
    <row r="337" spans="1:11" ht="12.75" customHeight="1" x14ac:dyDescent="0.25">
      <c r="A337" s="42"/>
      <c r="B337" s="42" t="s">
        <v>39</v>
      </c>
      <c r="C337" s="46">
        <v>0</v>
      </c>
      <c r="D337" s="46">
        <v>0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  <c r="K337" s="47">
        <v>0</v>
      </c>
    </row>
    <row r="338" spans="1:11" ht="12.75" customHeight="1" x14ac:dyDescent="0.25">
      <c r="A338" s="42"/>
      <c r="B338" s="42" t="s">
        <v>39</v>
      </c>
      <c r="C338" s="46">
        <v>0</v>
      </c>
      <c r="D338" s="46">
        <v>0</v>
      </c>
      <c r="E338" s="46">
        <v>0</v>
      </c>
      <c r="F338" s="46">
        <v>0</v>
      </c>
      <c r="G338" s="46">
        <v>0</v>
      </c>
      <c r="H338" s="46">
        <v>0</v>
      </c>
      <c r="I338" s="46">
        <v>0</v>
      </c>
      <c r="J338" s="46">
        <v>0</v>
      </c>
      <c r="K338" s="47">
        <v>0</v>
      </c>
    </row>
    <row r="339" spans="1:11" ht="12.75" customHeight="1" x14ac:dyDescent="0.25">
      <c r="A339" s="42"/>
      <c r="B339" s="42" t="s">
        <v>39</v>
      </c>
      <c r="C339" s="46">
        <v>0</v>
      </c>
      <c r="D339" s="46">
        <v>0</v>
      </c>
      <c r="E339" s="46">
        <v>0</v>
      </c>
      <c r="F339" s="46">
        <v>0</v>
      </c>
      <c r="G339" s="46">
        <v>0</v>
      </c>
      <c r="H339" s="46">
        <v>0</v>
      </c>
      <c r="I339" s="46">
        <v>0</v>
      </c>
      <c r="J339" s="46">
        <v>0</v>
      </c>
      <c r="K339" s="47">
        <v>0</v>
      </c>
    </row>
    <row r="340" spans="1:11" ht="12.75" customHeight="1" x14ac:dyDescent="0.25">
      <c r="A340" s="42"/>
      <c r="B340" s="42" t="s">
        <v>39</v>
      </c>
      <c r="C340" s="46">
        <v>0</v>
      </c>
      <c r="D340" s="46">
        <v>0</v>
      </c>
      <c r="E340" s="46">
        <v>0</v>
      </c>
      <c r="F340" s="46">
        <v>0</v>
      </c>
      <c r="G340" s="46">
        <v>0</v>
      </c>
      <c r="H340" s="46">
        <v>0</v>
      </c>
      <c r="I340" s="46">
        <v>0</v>
      </c>
      <c r="J340" s="46">
        <v>0</v>
      </c>
      <c r="K340" s="47">
        <v>0</v>
      </c>
    </row>
    <row r="341" spans="1:11" ht="12.75" customHeight="1" x14ac:dyDescent="0.25">
      <c r="A341" s="42"/>
      <c r="B341" s="42" t="s">
        <v>39</v>
      </c>
      <c r="C341" s="46">
        <v>0</v>
      </c>
      <c r="D341" s="46">
        <v>0</v>
      </c>
      <c r="E341" s="46">
        <v>0</v>
      </c>
      <c r="F341" s="46">
        <v>0</v>
      </c>
      <c r="G341" s="46">
        <v>0</v>
      </c>
      <c r="H341" s="46">
        <v>0</v>
      </c>
      <c r="I341" s="46">
        <v>0</v>
      </c>
      <c r="J341" s="46">
        <v>0</v>
      </c>
      <c r="K341" s="47">
        <v>0</v>
      </c>
    </row>
    <row r="342" spans="1:11" ht="12.75" customHeight="1" x14ac:dyDescent="0.25">
      <c r="A342" s="42"/>
      <c r="B342" s="42" t="s">
        <v>39</v>
      </c>
      <c r="C342" s="46">
        <v>0</v>
      </c>
      <c r="D342" s="46">
        <v>0</v>
      </c>
      <c r="E342" s="46">
        <v>0</v>
      </c>
      <c r="F342" s="46">
        <v>0</v>
      </c>
      <c r="G342" s="46">
        <v>0</v>
      </c>
      <c r="H342" s="46">
        <v>0</v>
      </c>
      <c r="I342" s="46">
        <v>0</v>
      </c>
      <c r="J342" s="46">
        <v>0</v>
      </c>
      <c r="K342" s="47">
        <v>0</v>
      </c>
    </row>
    <row r="343" spans="1:11" ht="12.75" customHeight="1" x14ac:dyDescent="0.25">
      <c r="A343" s="42"/>
      <c r="B343" s="42" t="s">
        <v>39</v>
      </c>
      <c r="C343" s="46">
        <v>0</v>
      </c>
      <c r="D343" s="46">
        <v>0</v>
      </c>
      <c r="E343" s="46">
        <v>0</v>
      </c>
      <c r="F343" s="46">
        <v>0</v>
      </c>
      <c r="G343" s="46">
        <v>0</v>
      </c>
      <c r="H343" s="46">
        <v>0</v>
      </c>
      <c r="I343" s="46">
        <v>0</v>
      </c>
      <c r="J343" s="46">
        <v>0</v>
      </c>
      <c r="K343" s="47">
        <v>0</v>
      </c>
    </row>
    <row r="344" spans="1:11" ht="12.75" customHeight="1" x14ac:dyDescent="0.25">
      <c r="A344" s="42"/>
      <c r="B344" s="42" t="s">
        <v>39</v>
      </c>
      <c r="C344" s="46">
        <v>0</v>
      </c>
      <c r="D344" s="46">
        <v>0</v>
      </c>
      <c r="E344" s="46">
        <v>0</v>
      </c>
      <c r="F344" s="46">
        <v>0</v>
      </c>
      <c r="G344" s="46">
        <v>0</v>
      </c>
      <c r="H344" s="46">
        <v>0</v>
      </c>
      <c r="I344" s="46">
        <v>0</v>
      </c>
      <c r="J344" s="46">
        <v>0</v>
      </c>
      <c r="K344" s="47">
        <v>0</v>
      </c>
    </row>
    <row r="345" spans="1:11" ht="12.75" customHeight="1" x14ac:dyDescent="0.25">
      <c r="A345" s="42"/>
      <c r="B345" s="42" t="s">
        <v>39</v>
      </c>
      <c r="C345" s="46">
        <v>0</v>
      </c>
      <c r="D345" s="46">
        <v>0</v>
      </c>
      <c r="E345" s="46">
        <v>0</v>
      </c>
      <c r="F345" s="46">
        <v>0</v>
      </c>
      <c r="G345" s="46">
        <v>0</v>
      </c>
      <c r="H345" s="46">
        <v>0</v>
      </c>
      <c r="I345" s="46">
        <v>0</v>
      </c>
      <c r="J345" s="46">
        <v>0</v>
      </c>
      <c r="K345" s="47">
        <v>0</v>
      </c>
    </row>
    <row r="346" spans="1:11" ht="12.75" customHeight="1" x14ac:dyDescent="0.25">
      <c r="A346" s="42"/>
      <c r="B346" s="42" t="s">
        <v>39</v>
      </c>
      <c r="C346" s="46">
        <v>0</v>
      </c>
      <c r="D346" s="46">
        <v>0</v>
      </c>
      <c r="E346" s="46">
        <v>0</v>
      </c>
      <c r="F346" s="46">
        <v>0</v>
      </c>
      <c r="G346" s="46">
        <v>0</v>
      </c>
      <c r="H346" s="46">
        <v>0</v>
      </c>
      <c r="I346" s="46">
        <v>0</v>
      </c>
      <c r="J346" s="46">
        <v>0</v>
      </c>
      <c r="K346" s="47">
        <v>0</v>
      </c>
    </row>
    <row r="347" spans="1:11" ht="12.75" customHeight="1" x14ac:dyDescent="0.25">
      <c r="A347" s="42"/>
      <c r="B347" s="42" t="s">
        <v>39</v>
      </c>
      <c r="C347" s="46">
        <v>0</v>
      </c>
      <c r="D347" s="46">
        <v>0</v>
      </c>
      <c r="E347" s="46">
        <v>0</v>
      </c>
      <c r="F347" s="46">
        <v>0</v>
      </c>
      <c r="G347" s="46">
        <v>0</v>
      </c>
      <c r="H347" s="46">
        <v>0</v>
      </c>
      <c r="I347" s="46">
        <v>0</v>
      </c>
      <c r="J347" s="46">
        <v>0</v>
      </c>
      <c r="K347" s="47">
        <v>0</v>
      </c>
    </row>
    <row r="348" spans="1:11" ht="12.75" customHeight="1" x14ac:dyDescent="0.25">
      <c r="A348" s="42"/>
      <c r="B348" s="42" t="s">
        <v>39</v>
      </c>
      <c r="C348" s="46">
        <v>0</v>
      </c>
      <c r="D348" s="46">
        <v>0</v>
      </c>
      <c r="E348" s="46">
        <v>0</v>
      </c>
      <c r="F348" s="46">
        <v>0</v>
      </c>
      <c r="G348" s="46">
        <v>0</v>
      </c>
      <c r="H348" s="46">
        <v>0</v>
      </c>
      <c r="I348" s="46">
        <v>0</v>
      </c>
      <c r="J348" s="46">
        <v>0</v>
      </c>
      <c r="K348" s="47">
        <v>0</v>
      </c>
    </row>
    <row r="349" spans="1:11" ht="12.75" customHeight="1" x14ac:dyDescent="0.25">
      <c r="A349" s="42"/>
      <c r="B349" s="42" t="s">
        <v>39</v>
      </c>
      <c r="C349" s="46">
        <v>0</v>
      </c>
      <c r="D349" s="46">
        <v>0</v>
      </c>
      <c r="E349" s="46">
        <v>0</v>
      </c>
      <c r="F349" s="46">
        <v>0</v>
      </c>
      <c r="G349" s="46">
        <v>0</v>
      </c>
      <c r="H349" s="46">
        <v>0</v>
      </c>
      <c r="I349" s="46">
        <v>0</v>
      </c>
      <c r="J349" s="46">
        <v>0</v>
      </c>
      <c r="K349" s="47">
        <v>0</v>
      </c>
    </row>
    <row r="350" spans="1:11" ht="12.75" customHeight="1" x14ac:dyDescent="0.25">
      <c r="A350" s="42"/>
      <c r="B350" s="42" t="s">
        <v>39</v>
      </c>
      <c r="C350" s="46">
        <v>0</v>
      </c>
      <c r="D350" s="46">
        <v>0</v>
      </c>
      <c r="E350" s="46">
        <v>0</v>
      </c>
      <c r="F350" s="46">
        <v>0</v>
      </c>
      <c r="G350" s="46">
        <v>0</v>
      </c>
      <c r="H350" s="46">
        <v>0</v>
      </c>
      <c r="I350" s="46">
        <v>0</v>
      </c>
      <c r="J350" s="46">
        <v>0</v>
      </c>
      <c r="K350" s="47">
        <v>0</v>
      </c>
    </row>
    <row r="351" spans="1:11" ht="12.75" customHeight="1" x14ac:dyDescent="0.25">
      <c r="A351" s="42"/>
      <c r="B351" s="42" t="s">
        <v>39</v>
      </c>
      <c r="C351" s="46">
        <v>0</v>
      </c>
      <c r="D351" s="46">
        <v>0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0</v>
      </c>
      <c r="K351" s="47">
        <v>0</v>
      </c>
    </row>
    <row r="352" spans="1:11" ht="12.75" customHeight="1" x14ac:dyDescent="0.25">
      <c r="A352" s="42"/>
      <c r="B352" s="42" t="s">
        <v>39</v>
      </c>
      <c r="C352" s="46">
        <v>0</v>
      </c>
      <c r="D352" s="46">
        <v>0</v>
      </c>
      <c r="E352" s="46">
        <v>0</v>
      </c>
      <c r="F352" s="46">
        <v>0</v>
      </c>
      <c r="G352" s="46">
        <v>0</v>
      </c>
      <c r="H352" s="46">
        <v>0</v>
      </c>
      <c r="I352" s="46">
        <v>0</v>
      </c>
      <c r="J352" s="46">
        <v>0</v>
      </c>
      <c r="K352" s="47">
        <v>0</v>
      </c>
    </row>
    <row r="353" spans="1:11" ht="12.75" customHeight="1" x14ac:dyDescent="0.25">
      <c r="A353" s="42"/>
      <c r="B353" s="42" t="s">
        <v>39</v>
      </c>
      <c r="C353" s="46">
        <v>0</v>
      </c>
      <c r="D353" s="46">
        <v>0</v>
      </c>
      <c r="E353" s="46">
        <v>0</v>
      </c>
      <c r="F353" s="46">
        <v>0</v>
      </c>
      <c r="G353" s="46">
        <v>0</v>
      </c>
      <c r="H353" s="46">
        <v>0</v>
      </c>
      <c r="I353" s="46">
        <v>0</v>
      </c>
      <c r="J353" s="46">
        <v>0</v>
      </c>
      <c r="K353" s="47">
        <v>0</v>
      </c>
    </row>
    <row r="354" spans="1:11" ht="12.75" customHeight="1" x14ac:dyDescent="0.25">
      <c r="A354" s="42"/>
      <c r="B354" s="42" t="s">
        <v>39</v>
      </c>
      <c r="C354" s="46">
        <v>0</v>
      </c>
      <c r="D354" s="46">
        <v>0</v>
      </c>
      <c r="E354" s="46">
        <v>0</v>
      </c>
      <c r="F354" s="46">
        <v>0</v>
      </c>
      <c r="G354" s="46">
        <v>0</v>
      </c>
      <c r="H354" s="46">
        <v>0</v>
      </c>
      <c r="I354" s="46">
        <v>0</v>
      </c>
      <c r="J354" s="46">
        <v>0</v>
      </c>
      <c r="K354" s="47">
        <v>0</v>
      </c>
    </row>
    <row r="355" spans="1:11" ht="12.75" customHeight="1" x14ac:dyDescent="0.25">
      <c r="A355" s="42"/>
      <c r="B355" s="42" t="s">
        <v>39</v>
      </c>
      <c r="C355" s="46">
        <v>0</v>
      </c>
      <c r="D355" s="46">
        <v>0</v>
      </c>
      <c r="E355" s="46">
        <v>0</v>
      </c>
      <c r="F355" s="46">
        <v>0</v>
      </c>
      <c r="G355" s="46">
        <v>0</v>
      </c>
      <c r="H355" s="46">
        <v>0</v>
      </c>
      <c r="I355" s="46">
        <v>0</v>
      </c>
      <c r="J355" s="46">
        <v>0</v>
      </c>
      <c r="K355" s="47">
        <v>0</v>
      </c>
    </row>
    <row r="356" spans="1:11" ht="12.75" customHeight="1" x14ac:dyDescent="0.25">
      <c r="A356" s="42"/>
      <c r="B356" s="42" t="s">
        <v>39</v>
      </c>
      <c r="C356" s="46">
        <v>0</v>
      </c>
      <c r="D356" s="46">
        <v>0</v>
      </c>
      <c r="E356" s="46">
        <v>0</v>
      </c>
      <c r="F356" s="46">
        <v>0</v>
      </c>
      <c r="G356" s="46">
        <v>0</v>
      </c>
      <c r="H356" s="46">
        <v>0</v>
      </c>
      <c r="I356" s="46">
        <v>0</v>
      </c>
      <c r="J356" s="46">
        <v>0</v>
      </c>
      <c r="K356" s="47">
        <v>0</v>
      </c>
    </row>
    <row r="357" spans="1:11" ht="12.75" customHeight="1" x14ac:dyDescent="0.25">
      <c r="A357" s="42"/>
      <c r="B357" s="42" t="s">
        <v>39</v>
      </c>
      <c r="C357" s="46">
        <v>0</v>
      </c>
      <c r="D357" s="46">
        <v>0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7">
        <v>0</v>
      </c>
    </row>
    <row r="358" spans="1:11" ht="12.75" customHeight="1" x14ac:dyDescent="0.25">
      <c r="A358" s="42"/>
      <c r="B358" s="42" t="s">
        <v>39</v>
      </c>
      <c r="C358" s="46">
        <v>0</v>
      </c>
      <c r="D358" s="46">
        <v>0</v>
      </c>
      <c r="E358" s="46">
        <v>0</v>
      </c>
      <c r="F358" s="46">
        <v>0</v>
      </c>
      <c r="G358" s="46">
        <v>0</v>
      </c>
      <c r="H358" s="46">
        <v>0</v>
      </c>
      <c r="I358" s="46">
        <v>0</v>
      </c>
      <c r="J358" s="46">
        <v>0</v>
      </c>
      <c r="K358" s="47">
        <v>0</v>
      </c>
    </row>
    <row r="359" spans="1:11" ht="12.75" customHeight="1" x14ac:dyDescent="0.25">
      <c r="A359" s="42"/>
      <c r="B359" s="42" t="s">
        <v>39</v>
      </c>
      <c r="C359" s="46">
        <v>0</v>
      </c>
      <c r="D359" s="46">
        <v>0</v>
      </c>
      <c r="E359" s="46">
        <v>0</v>
      </c>
      <c r="F359" s="46">
        <v>0</v>
      </c>
      <c r="G359" s="46">
        <v>0</v>
      </c>
      <c r="H359" s="46">
        <v>0</v>
      </c>
      <c r="I359" s="46">
        <v>0</v>
      </c>
      <c r="J359" s="46">
        <v>0</v>
      </c>
      <c r="K359" s="47">
        <v>0</v>
      </c>
    </row>
    <row r="360" spans="1:11" ht="12.75" customHeight="1" x14ac:dyDescent="0.25">
      <c r="A360" s="42"/>
      <c r="B360" s="42" t="s">
        <v>39</v>
      </c>
      <c r="C360" s="46">
        <v>0</v>
      </c>
      <c r="D360" s="46">
        <v>0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7">
        <v>0</v>
      </c>
    </row>
    <row r="361" spans="1:11" ht="12.75" customHeight="1" x14ac:dyDescent="0.25">
      <c r="A361" s="42"/>
      <c r="B361" s="42" t="s">
        <v>39</v>
      </c>
      <c r="C361" s="46">
        <v>0</v>
      </c>
      <c r="D361" s="46">
        <v>0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7">
        <v>0</v>
      </c>
    </row>
    <row r="362" spans="1:11" ht="12.75" customHeight="1" x14ac:dyDescent="0.25">
      <c r="A362" s="42"/>
      <c r="B362" s="42" t="s">
        <v>39</v>
      </c>
      <c r="C362" s="46">
        <v>0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7">
        <v>0</v>
      </c>
    </row>
    <row r="363" spans="1:11" ht="12.75" customHeight="1" x14ac:dyDescent="0.25">
      <c r="A363" s="42"/>
      <c r="B363" s="42" t="s">
        <v>39</v>
      </c>
      <c r="C363" s="46">
        <v>0</v>
      </c>
      <c r="D363" s="46">
        <v>0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7">
        <v>0</v>
      </c>
    </row>
    <row r="364" spans="1:11" ht="12.75" customHeight="1" x14ac:dyDescent="0.25">
      <c r="A364" s="42"/>
      <c r="B364" s="42" t="s">
        <v>39</v>
      </c>
      <c r="C364" s="46">
        <v>0</v>
      </c>
      <c r="D364" s="46">
        <v>0</v>
      </c>
      <c r="E364" s="46">
        <v>0</v>
      </c>
      <c r="F364" s="46">
        <v>0</v>
      </c>
      <c r="G364" s="46">
        <v>0</v>
      </c>
      <c r="H364" s="46">
        <v>0</v>
      </c>
      <c r="I364" s="46">
        <v>0</v>
      </c>
      <c r="J364" s="46">
        <v>0</v>
      </c>
      <c r="K364" s="47">
        <v>0</v>
      </c>
    </row>
    <row r="365" spans="1:11" ht="12.75" customHeight="1" x14ac:dyDescent="0.25">
      <c r="A365" s="42"/>
      <c r="B365" s="42" t="s">
        <v>39</v>
      </c>
      <c r="C365" s="46">
        <v>0</v>
      </c>
      <c r="D365" s="46">
        <v>0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  <c r="K365" s="47">
        <v>0</v>
      </c>
    </row>
    <row r="366" spans="1:11" ht="12.75" customHeight="1" x14ac:dyDescent="0.25">
      <c r="A366" s="42"/>
      <c r="B366" s="42" t="s">
        <v>39</v>
      </c>
      <c r="C366" s="46">
        <v>0</v>
      </c>
      <c r="D366" s="46">
        <v>0</v>
      </c>
      <c r="E366" s="46">
        <v>0</v>
      </c>
      <c r="F366" s="46">
        <v>0</v>
      </c>
      <c r="G366" s="46">
        <v>0</v>
      </c>
      <c r="H366" s="46">
        <v>0</v>
      </c>
      <c r="I366" s="46">
        <v>0</v>
      </c>
      <c r="J366" s="46">
        <v>0</v>
      </c>
      <c r="K366" s="47">
        <v>0</v>
      </c>
    </row>
    <row r="367" spans="1:11" ht="12.75" customHeight="1" x14ac:dyDescent="0.25">
      <c r="A367" s="42"/>
      <c r="B367" s="42" t="s">
        <v>39</v>
      </c>
      <c r="C367" s="46">
        <v>0</v>
      </c>
      <c r="D367" s="46">
        <v>0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0</v>
      </c>
      <c r="K367" s="47">
        <v>0</v>
      </c>
    </row>
    <row r="368" spans="1:11" ht="12.75" customHeight="1" x14ac:dyDescent="0.25">
      <c r="A368" s="42"/>
      <c r="B368" s="42" t="s">
        <v>39</v>
      </c>
      <c r="C368" s="46">
        <v>0</v>
      </c>
      <c r="D368" s="46">
        <v>0</v>
      </c>
      <c r="E368" s="46">
        <v>0</v>
      </c>
      <c r="F368" s="46">
        <v>0</v>
      </c>
      <c r="G368" s="46">
        <v>0</v>
      </c>
      <c r="H368" s="46">
        <v>0</v>
      </c>
      <c r="I368" s="46">
        <v>0</v>
      </c>
      <c r="J368" s="46">
        <v>0</v>
      </c>
      <c r="K368" s="47">
        <v>0</v>
      </c>
    </row>
    <row r="369" spans="1:11" ht="12.75" customHeight="1" x14ac:dyDescent="0.25">
      <c r="A369" s="42"/>
      <c r="B369" s="42" t="s">
        <v>39</v>
      </c>
      <c r="C369" s="46">
        <v>0</v>
      </c>
      <c r="D369" s="46">
        <v>0</v>
      </c>
      <c r="E369" s="46">
        <v>0</v>
      </c>
      <c r="F369" s="46">
        <v>0</v>
      </c>
      <c r="G369" s="46">
        <v>0</v>
      </c>
      <c r="H369" s="46">
        <v>0</v>
      </c>
      <c r="I369" s="46">
        <v>0</v>
      </c>
      <c r="J369" s="46">
        <v>0</v>
      </c>
      <c r="K369" s="47">
        <v>0</v>
      </c>
    </row>
    <row r="370" spans="1:11" ht="12.75" customHeight="1" x14ac:dyDescent="0.25">
      <c r="A370" s="42"/>
      <c r="B370" s="42" t="s">
        <v>39</v>
      </c>
      <c r="C370" s="46">
        <v>0</v>
      </c>
      <c r="D370" s="46">
        <v>0</v>
      </c>
      <c r="E370" s="46">
        <v>0</v>
      </c>
      <c r="F370" s="46">
        <v>0</v>
      </c>
      <c r="G370" s="46">
        <v>0</v>
      </c>
      <c r="H370" s="46">
        <v>0</v>
      </c>
      <c r="I370" s="46">
        <v>0</v>
      </c>
      <c r="J370" s="46">
        <v>0</v>
      </c>
      <c r="K370" s="47">
        <v>0</v>
      </c>
    </row>
    <row r="371" spans="1:11" ht="12.75" customHeight="1" x14ac:dyDescent="0.25">
      <c r="A371" s="42"/>
      <c r="B371" s="42" t="s">
        <v>39</v>
      </c>
      <c r="C371" s="46">
        <v>0</v>
      </c>
      <c r="D371" s="46">
        <v>0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0</v>
      </c>
      <c r="K371" s="47">
        <v>0</v>
      </c>
    </row>
    <row r="372" spans="1:11" ht="12.75" customHeight="1" x14ac:dyDescent="0.25">
      <c r="A372" s="42"/>
      <c r="B372" s="42" t="s">
        <v>39</v>
      </c>
      <c r="C372" s="46">
        <v>0</v>
      </c>
      <c r="D372" s="46">
        <v>0</v>
      </c>
      <c r="E372" s="46">
        <v>0</v>
      </c>
      <c r="F372" s="46">
        <v>0</v>
      </c>
      <c r="G372" s="46">
        <v>0</v>
      </c>
      <c r="H372" s="46">
        <v>0</v>
      </c>
      <c r="I372" s="46">
        <v>0</v>
      </c>
      <c r="J372" s="46">
        <v>0</v>
      </c>
      <c r="K372" s="47">
        <v>0</v>
      </c>
    </row>
    <row r="373" spans="1:11" ht="12.75" customHeight="1" x14ac:dyDescent="0.25">
      <c r="A373" s="42"/>
      <c r="B373" s="42" t="s">
        <v>39</v>
      </c>
      <c r="C373" s="46">
        <v>0</v>
      </c>
      <c r="D373" s="46">
        <v>0</v>
      </c>
      <c r="E373" s="46">
        <v>0</v>
      </c>
      <c r="F373" s="46">
        <v>0</v>
      </c>
      <c r="G373" s="46">
        <v>0</v>
      </c>
      <c r="H373" s="46">
        <v>0</v>
      </c>
      <c r="I373" s="46">
        <v>0</v>
      </c>
      <c r="J373" s="46">
        <v>0</v>
      </c>
      <c r="K373" s="47">
        <v>0</v>
      </c>
    </row>
    <row r="374" spans="1:11" ht="12.75" customHeight="1" x14ac:dyDescent="0.25">
      <c r="A374" s="42"/>
      <c r="B374" s="42" t="s">
        <v>39</v>
      </c>
      <c r="C374" s="46">
        <v>0</v>
      </c>
      <c r="D374" s="46">
        <v>0</v>
      </c>
      <c r="E374" s="46">
        <v>0</v>
      </c>
      <c r="F374" s="46">
        <v>0</v>
      </c>
      <c r="G374" s="46">
        <v>0</v>
      </c>
      <c r="H374" s="46">
        <v>0</v>
      </c>
      <c r="I374" s="46">
        <v>0</v>
      </c>
      <c r="J374" s="46">
        <v>0</v>
      </c>
      <c r="K374" s="47">
        <v>0</v>
      </c>
    </row>
    <row r="375" spans="1:11" ht="12.75" customHeight="1" x14ac:dyDescent="0.25">
      <c r="A375" s="42"/>
      <c r="B375" s="42" t="s">
        <v>39</v>
      </c>
      <c r="C375" s="46">
        <v>0</v>
      </c>
      <c r="D375" s="46">
        <v>0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7">
        <v>0</v>
      </c>
    </row>
    <row r="376" spans="1:11" ht="12.75" customHeight="1" x14ac:dyDescent="0.25">
      <c r="A376" s="42"/>
      <c r="B376" s="42" t="s">
        <v>39</v>
      </c>
      <c r="C376" s="46">
        <v>0</v>
      </c>
      <c r="D376" s="46">
        <v>0</v>
      </c>
      <c r="E376" s="46">
        <v>0</v>
      </c>
      <c r="F376" s="46">
        <v>0</v>
      </c>
      <c r="G376" s="46">
        <v>0</v>
      </c>
      <c r="H376" s="46">
        <v>0</v>
      </c>
      <c r="I376" s="46">
        <v>0</v>
      </c>
      <c r="J376" s="46">
        <v>0</v>
      </c>
      <c r="K376" s="47">
        <v>0</v>
      </c>
    </row>
    <row r="377" spans="1:11" ht="12.75" customHeight="1" x14ac:dyDescent="0.25">
      <c r="A377" s="42"/>
      <c r="B377" s="42" t="s">
        <v>39</v>
      </c>
      <c r="C377" s="46">
        <v>0</v>
      </c>
      <c r="D377" s="46">
        <v>0</v>
      </c>
      <c r="E377" s="46">
        <v>0</v>
      </c>
      <c r="F377" s="46">
        <v>0</v>
      </c>
      <c r="G377" s="46">
        <v>0</v>
      </c>
      <c r="H377" s="46">
        <v>0</v>
      </c>
      <c r="I377" s="46">
        <v>0</v>
      </c>
      <c r="J377" s="46">
        <v>0</v>
      </c>
      <c r="K377" s="47">
        <v>0</v>
      </c>
    </row>
    <row r="378" spans="1:11" ht="12.75" customHeight="1" x14ac:dyDescent="0.25">
      <c r="A378" s="42"/>
      <c r="B378" s="42" t="s">
        <v>39</v>
      </c>
      <c r="C378" s="46">
        <v>0</v>
      </c>
      <c r="D378" s="46">
        <v>0</v>
      </c>
      <c r="E378" s="46">
        <v>0</v>
      </c>
      <c r="F378" s="46">
        <v>0</v>
      </c>
      <c r="G378" s="46">
        <v>0</v>
      </c>
      <c r="H378" s="46">
        <v>0</v>
      </c>
      <c r="I378" s="46">
        <v>0</v>
      </c>
      <c r="J378" s="46">
        <v>0</v>
      </c>
      <c r="K378" s="47">
        <v>0</v>
      </c>
    </row>
    <row r="379" spans="1:11" ht="12.75" customHeight="1" x14ac:dyDescent="0.25">
      <c r="A379" s="42"/>
      <c r="B379" s="42" t="s">
        <v>39</v>
      </c>
      <c r="C379" s="46">
        <v>0</v>
      </c>
      <c r="D379" s="46">
        <v>0</v>
      </c>
      <c r="E379" s="46">
        <v>0</v>
      </c>
      <c r="F379" s="46">
        <v>0</v>
      </c>
      <c r="G379" s="46">
        <v>0</v>
      </c>
      <c r="H379" s="46">
        <v>0</v>
      </c>
      <c r="I379" s="46">
        <v>0</v>
      </c>
      <c r="J379" s="46">
        <v>0</v>
      </c>
      <c r="K379" s="47">
        <v>0</v>
      </c>
    </row>
    <row r="380" spans="1:11" ht="12.75" customHeight="1" x14ac:dyDescent="0.25">
      <c r="A380" s="42"/>
      <c r="B380" s="42" t="s">
        <v>39</v>
      </c>
      <c r="C380" s="46">
        <v>0</v>
      </c>
      <c r="D380" s="46">
        <v>0</v>
      </c>
      <c r="E380" s="46">
        <v>0</v>
      </c>
      <c r="F380" s="46">
        <v>0</v>
      </c>
      <c r="G380" s="46">
        <v>0</v>
      </c>
      <c r="H380" s="46">
        <v>0</v>
      </c>
      <c r="I380" s="46">
        <v>0</v>
      </c>
      <c r="J380" s="46">
        <v>0</v>
      </c>
      <c r="K380" s="47">
        <v>0</v>
      </c>
    </row>
    <row r="381" spans="1:11" ht="12.75" customHeight="1" x14ac:dyDescent="0.25">
      <c r="A381" s="42"/>
      <c r="B381" s="42" t="s">
        <v>39</v>
      </c>
      <c r="C381" s="46">
        <v>0</v>
      </c>
      <c r="D381" s="46">
        <v>0</v>
      </c>
      <c r="E381" s="46">
        <v>0</v>
      </c>
      <c r="F381" s="46">
        <v>0</v>
      </c>
      <c r="G381" s="46">
        <v>0</v>
      </c>
      <c r="H381" s="46">
        <v>0</v>
      </c>
      <c r="I381" s="46">
        <v>0</v>
      </c>
      <c r="J381" s="46">
        <v>0</v>
      </c>
      <c r="K381" s="47">
        <v>0</v>
      </c>
    </row>
    <row r="382" spans="1:11" ht="12.75" customHeight="1" x14ac:dyDescent="0.25">
      <c r="A382" s="42"/>
      <c r="B382" s="42" t="s">
        <v>39</v>
      </c>
      <c r="C382" s="46">
        <v>0</v>
      </c>
      <c r="D382" s="46">
        <v>0</v>
      </c>
      <c r="E382" s="46">
        <v>0</v>
      </c>
      <c r="F382" s="46">
        <v>0</v>
      </c>
      <c r="G382" s="46">
        <v>0</v>
      </c>
      <c r="H382" s="46">
        <v>0</v>
      </c>
      <c r="I382" s="46">
        <v>0</v>
      </c>
      <c r="J382" s="46">
        <v>0</v>
      </c>
      <c r="K382" s="47">
        <v>0</v>
      </c>
    </row>
    <row r="383" spans="1:11" ht="12.75" customHeight="1" x14ac:dyDescent="0.25">
      <c r="A383" s="42"/>
      <c r="B383" s="42" t="s">
        <v>39</v>
      </c>
      <c r="C383" s="46">
        <v>0</v>
      </c>
      <c r="D383" s="46">
        <v>0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0</v>
      </c>
      <c r="K383" s="47">
        <v>0</v>
      </c>
    </row>
    <row r="384" spans="1:11" ht="12.75" customHeight="1" x14ac:dyDescent="0.25">
      <c r="A384" s="42"/>
      <c r="B384" s="42" t="s">
        <v>39</v>
      </c>
      <c r="C384" s="46">
        <v>0</v>
      </c>
      <c r="D384" s="46">
        <v>0</v>
      </c>
      <c r="E384" s="46">
        <v>0</v>
      </c>
      <c r="F384" s="46">
        <v>0</v>
      </c>
      <c r="G384" s="46">
        <v>0</v>
      </c>
      <c r="H384" s="46">
        <v>0</v>
      </c>
      <c r="I384" s="46">
        <v>0</v>
      </c>
      <c r="J384" s="46">
        <v>0</v>
      </c>
      <c r="K384" s="47">
        <v>0</v>
      </c>
    </row>
    <row r="385" spans="1:11" ht="12.75" customHeight="1" x14ac:dyDescent="0.25">
      <c r="A385" s="42"/>
      <c r="B385" s="42" t="s">
        <v>39</v>
      </c>
      <c r="C385" s="46">
        <v>0</v>
      </c>
      <c r="D385" s="46">
        <v>0</v>
      </c>
      <c r="E385" s="46">
        <v>0</v>
      </c>
      <c r="F385" s="46">
        <v>0</v>
      </c>
      <c r="G385" s="46">
        <v>0</v>
      </c>
      <c r="H385" s="46">
        <v>0</v>
      </c>
      <c r="I385" s="46">
        <v>0</v>
      </c>
      <c r="J385" s="46">
        <v>0</v>
      </c>
      <c r="K385" s="47">
        <v>0</v>
      </c>
    </row>
    <row r="386" spans="1:11" ht="12.75" customHeight="1" x14ac:dyDescent="0.25">
      <c r="A386" s="42"/>
      <c r="B386" s="42" t="s">
        <v>39</v>
      </c>
      <c r="C386" s="46">
        <v>0</v>
      </c>
      <c r="D386" s="46">
        <v>0</v>
      </c>
      <c r="E386" s="46">
        <v>0</v>
      </c>
      <c r="F386" s="46">
        <v>0</v>
      </c>
      <c r="G386" s="46">
        <v>0</v>
      </c>
      <c r="H386" s="46">
        <v>0</v>
      </c>
      <c r="I386" s="46">
        <v>0</v>
      </c>
      <c r="J386" s="46">
        <v>0</v>
      </c>
      <c r="K386" s="47">
        <v>0</v>
      </c>
    </row>
    <row r="387" spans="1:11" ht="12.75" customHeight="1" x14ac:dyDescent="0.25">
      <c r="A387" s="42"/>
      <c r="B387" s="42" t="s">
        <v>39</v>
      </c>
      <c r="C387" s="46">
        <v>0</v>
      </c>
      <c r="D387" s="46">
        <v>0</v>
      </c>
      <c r="E387" s="46">
        <v>0</v>
      </c>
      <c r="F387" s="46">
        <v>0</v>
      </c>
      <c r="G387" s="46">
        <v>0</v>
      </c>
      <c r="H387" s="46">
        <v>0</v>
      </c>
      <c r="I387" s="46">
        <v>0</v>
      </c>
      <c r="J387" s="46">
        <v>0</v>
      </c>
      <c r="K387" s="47">
        <v>0</v>
      </c>
    </row>
    <row r="388" spans="1:11" ht="12.75" customHeight="1" x14ac:dyDescent="0.25">
      <c r="A388" s="42"/>
      <c r="B388" s="42" t="s">
        <v>39</v>
      </c>
      <c r="C388" s="46">
        <v>0</v>
      </c>
      <c r="D388" s="46">
        <v>0</v>
      </c>
      <c r="E388" s="46">
        <v>0</v>
      </c>
      <c r="F388" s="46">
        <v>0</v>
      </c>
      <c r="G388" s="46">
        <v>0</v>
      </c>
      <c r="H388" s="46">
        <v>0</v>
      </c>
      <c r="I388" s="46">
        <v>0</v>
      </c>
      <c r="J388" s="46">
        <v>0</v>
      </c>
      <c r="K388" s="47">
        <v>0</v>
      </c>
    </row>
    <row r="389" spans="1:11" ht="12.75" customHeight="1" x14ac:dyDescent="0.25">
      <c r="A389" s="42"/>
      <c r="B389" s="42" t="s">
        <v>39</v>
      </c>
      <c r="C389" s="46">
        <v>0</v>
      </c>
      <c r="D389" s="46">
        <v>0</v>
      </c>
      <c r="E389" s="46">
        <v>0</v>
      </c>
      <c r="F389" s="46">
        <v>0</v>
      </c>
      <c r="G389" s="46">
        <v>0</v>
      </c>
      <c r="H389" s="46">
        <v>0</v>
      </c>
      <c r="I389" s="46">
        <v>0</v>
      </c>
      <c r="J389" s="46">
        <v>0</v>
      </c>
      <c r="K389" s="47">
        <v>0</v>
      </c>
    </row>
    <row r="390" spans="1:11" ht="12.75" customHeight="1" x14ac:dyDescent="0.25">
      <c r="A390" s="42"/>
      <c r="B390" s="42" t="s">
        <v>39</v>
      </c>
      <c r="C390" s="46">
        <v>0</v>
      </c>
      <c r="D390" s="46">
        <v>0</v>
      </c>
      <c r="E390" s="46">
        <v>0</v>
      </c>
      <c r="F390" s="46">
        <v>0</v>
      </c>
      <c r="G390" s="46">
        <v>0</v>
      </c>
      <c r="H390" s="46">
        <v>0</v>
      </c>
      <c r="I390" s="46">
        <v>0</v>
      </c>
      <c r="J390" s="46">
        <v>0</v>
      </c>
      <c r="K390" s="47">
        <v>0</v>
      </c>
    </row>
    <row r="391" spans="1:11" ht="12.75" customHeight="1" x14ac:dyDescent="0.25">
      <c r="A391" s="42"/>
      <c r="B391" s="42" t="s">
        <v>39</v>
      </c>
      <c r="C391" s="46">
        <v>0</v>
      </c>
      <c r="D391" s="46">
        <v>0</v>
      </c>
      <c r="E391" s="46">
        <v>0</v>
      </c>
      <c r="F391" s="46">
        <v>0</v>
      </c>
      <c r="G391" s="46">
        <v>0</v>
      </c>
      <c r="H391" s="46">
        <v>0</v>
      </c>
      <c r="I391" s="46">
        <v>0</v>
      </c>
      <c r="J391" s="46">
        <v>0</v>
      </c>
      <c r="K391" s="47">
        <v>0</v>
      </c>
    </row>
    <row r="392" spans="1:11" ht="12.75" customHeight="1" x14ac:dyDescent="0.25">
      <c r="A392" s="42"/>
      <c r="B392" s="42" t="s">
        <v>39</v>
      </c>
      <c r="C392" s="46">
        <v>0</v>
      </c>
      <c r="D392" s="46">
        <v>0</v>
      </c>
      <c r="E392" s="46">
        <v>0</v>
      </c>
      <c r="F392" s="46">
        <v>0</v>
      </c>
      <c r="G392" s="46">
        <v>0</v>
      </c>
      <c r="H392" s="46">
        <v>0</v>
      </c>
      <c r="I392" s="46">
        <v>0</v>
      </c>
      <c r="J392" s="46">
        <v>0</v>
      </c>
      <c r="K392" s="47">
        <v>0</v>
      </c>
    </row>
    <row r="393" spans="1:11" ht="12.75" customHeight="1" x14ac:dyDescent="0.25">
      <c r="A393" s="42"/>
      <c r="B393" s="42" t="s">
        <v>39</v>
      </c>
      <c r="C393" s="46">
        <v>0</v>
      </c>
      <c r="D393" s="46">
        <v>0</v>
      </c>
      <c r="E393" s="46">
        <v>0</v>
      </c>
      <c r="F393" s="46">
        <v>0</v>
      </c>
      <c r="G393" s="46">
        <v>0</v>
      </c>
      <c r="H393" s="46">
        <v>0</v>
      </c>
      <c r="I393" s="46">
        <v>0</v>
      </c>
      <c r="J393" s="46">
        <v>0</v>
      </c>
      <c r="K393" s="47">
        <v>0</v>
      </c>
    </row>
    <row r="394" spans="1:11" ht="12.75" customHeight="1" x14ac:dyDescent="0.25">
      <c r="A394" s="42"/>
      <c r="B394" s="42" t="s">
        <v>39</v>
      </c>
      <c r="C394" s="46">
        <v>0</v>
      </c>
      <c r="D394" s="46">
        <v>0</v>
      </c>
      <c r="E394" s="46">
        <v>0</v>
      </c>
      <c r="F394" s="46">
        <v>0</v>
      </c>
      <c r="G394" s="46">
        <v>0</v>
      </c>
      <c r="H394" s="46">
        <v>0</v>
      </c>
      <c r="I394" s="46">
        <v>0</v>
      </c>
      <c r="J394" s="46">
        <v>0</v>
      </c>
      <c r="K394" s="47">
        <v>0</v>
      </c>
    </row>
    <row r="395" spans="1:11" ht="12.75" customHeight="1" x14ac:dyDescent="0.25">
      <c r="A395" s="42"/>
      <c r="B395" s="42" t="s">
        <v>39</v>
      </c>
      <c r="C395" s="46">
        <v>0</v>
      </c>
      <c r="D395" s="46">
        <v>0</v>
      </c>
      <c r="E395" s="46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0</v>
      </c>
      <c r="K395" s="47">
        <v>0</v>
      </c>
    </row>
    <row r="396" spans="1:11" ht="12.75" customHeight="1" x14ac:dyDescent="0.25">
      <c r="A396" s="42"/>
      <c r="B396" s="42" t="s">
        <v>39</v>
      </c>
      <c r="C396" s="46">
        <v>0</v>
      </c>
      <c r="D396" s="46">
        <v>0</v>
      </c>
      <c r="E396" s="46">
        <v>0</v>
      </c>
      <c r="F396" s="46">
        <v>0</v>
      </c>
      <c r="G396" s="46">
        <v>0</v>
      </c>
      <c r="H396" s="46">
        <v>0</v>
      </c>
      <c r="I396" s="46">
        <v>0</v>
      </c>
      <c r="J396" s="46">
        <v>0</v>
      </c>
      <c r="K396" s="47">
        <v>0</v>
      </c>
    </row>
    <row r="397" spans="1:11" ht="12.75" customHeight="1" x14ac:dyDescent="0.25">
      <c r="A397" s="42"/>
      <c r="B397" s="42" t="s">
        <v>39</v>
      </c>
      <c r="C397" s="46">
        <v>0</v>
      </c>
      <c r="D397" s="46">
        <v>0</v>
      </c>
      <c r="E397" s="46">
        <v>0</v>
      </c>
      <c r="F397" s="46">
        <v>0</v>
      </c>
      <c r="G397" s="46">
        <v>0</v>
      </c>
      <c r="H397" s="46">
        <v>0</v>
      </c>
      <c r="I397" s="46">
        <v>0</v>
      </c>
      <c r="J397" s="46">
        <v>0</v>
      </c>
      <c r="K397" s="47">
        <v>0</v>
      </c>
    </row>
    <row r="398" spans="1:11" ht="12.75" customHeight="1" x14ac:dyDescent="0.25">
      <c r="A398" s="42"/>
      <c r="B398" s="42" t="s">
        <v>39</v>
      </c>
      <c r="C398" s="46">
        <v>0</v>
      </c>
      <c r="D398" s="46">
        <v>0</v>
      </c>
      <c r="E398" s="46">
        <v>0</v>
      </c>
      <c r="F398" s="46">
        <v>0</v>
      </c>
      <c r="G398" s="46">
        <v>0</v>
      </c>
      <c r="H398" s="46">
        <v>0</v>
      </c>
      <c r="I398" s="46">
        <v>0</v>
      </c>
      <c r="J398" s="46">
        <v>0</v>
      </c>
      <c r="K398" s="47">
        <v>0</v>
      </c>
    </row>
    <row r="399" spans="1:11" ht="12.75" customHeight="1" x14ac:dyDescent="0.25">
      <c r="A399" s="42"/>
      <c r="B399" s="42" t="s">
        <v>39</v>
      </c>
      <c r="C399" s="46">
        <v>0</v>
      </c>
      <c r="D399" s="46">
        <v>0</v>
      </c>
      <c r="E399" s="46">
        <v>0</v>
      </c>
      <c r="F399" s="46">
        <v>0</v>
      </c>
      <c r="G399" s="46">
        <v>0</v>
      </c>
      <c r="H399" s="46">
        <v>0</v>
      </c>
      <c r="I399" s="46">
        <v>0</v>
      </c>
      <c r="J399" s="46">
        <v>0</v>
      </c>
      <c r="K399" s="47">
        <v>0</v>
      </c>
    </row>
    <row r="400" spans="1:11" ht="12.75" customHeight="1" x14ac:dyDescent="0.25">
      <c r="A400" s="42"/>
      <c r="B400" s="42" t="s">
        <v>39</v>
      </c>
      <c r="C400" s="46">
        <v>0</v>
      </c>
      <c r="D400" s="46">
        <v>0</v>
      </c>
      <c r="E400" s="46">
        <v>0</v>
      </c>
      <c r="F400" s="46">
        <v>0</v>
      </c>
      <c r="G400" s="46">
        <v>0</v>
      </c>
      <c r="H400" s="46">
        <v>0</v>
      </c>
      <c r="I400" s="46">
        <v>0</v>
      </c>
      <c r="J400" s="46">
        <v>0</v>
      </c>
      <c r="K400" s="47">
        <v>0</v>
      </c>
    </row>
    <row r="401" spans="1:11" ht="12.75" customHeight="1" x14ac:dyDescent="0.25">
      <c r="A401" s="42"/>
      <c r="B401" s="42" t="s">
        <v>39</v>
      </c>
      <c r="C401" s="46">
        <v>0</v>
      </c>
      <c r="D401" s="46">
        <v>0</v>
      </c>
      <c r="E401" s="46">
        <v>0</v>
      </c>
      <c r="F401" s="46">
        <v>0</v>
      </c>
      <c r="G401" s="46">
        <v>0</v>
      </c>
      <c r="H401" s="46">
        <v>0</v>
      </c>
      <c r="I401" s="46">
        <v>0</v>
      </c>
      <c r="J401" s="46">
        <v>0</v>
      </c>
      <c r="K401" s="47">
        <v>0</v>
      </c>
    </row>
    <row r="402" spans="1:11" ht="12.75" customHeight="1" x14ac:dyDescent="0.25">
      <c r="A402" s="42"/>
      <c r="B402" s="42" t="s">
        <v>39</v>
      </c>
      <c r="C402" s="46">
        <v>0</v>
      </c>
      <c r="D402" s="46">
        <v>0</v>
      </c>
      <c r="E402" s="46">
        <v>0</v>
      </c>
      <c r="F402" s="46">
        <v>0</v>
      </c>
      <c r="G402" s="46">
        <v>0</v>
      </c>
      <c r="H402" s="46">
        <v>0</v>
      </c>
      <c r="I402" s="46">
        <v>0</v>
      </c>
      <c r="J402" s="46">
        <v>0</v>
      </c>
      <c r="K402" s="47">
        <v>0</v>
      </c>
    </row>
    <row r="403" spans="1:11" ht="12.75" customHeight="1" x14ac:dyDescent="0.25">
      <c r="A403" s="42"/>
      <c r="B403" s="42" t="s">
        <v>39</v>
      </c>
      <c r="C403" s="46">
        <v>0</v>
      </c>
      <c r="D403" s="46">
        <v>0</v>
      </c>
      <c r="E403" s="46">
        <v>0</v>
      </c>
      <c r="F403" s="46">
        <v>0</v>
      </c>
      <c r="G403" s="46">
        <v>0</v>
      </c>
      <c r="H403" s="46">
        <v>0</v>
      </c>
      <c r="I403" s="46">
        <v>0</v>
      </c>
      <c r="J403" s="46">
        <v>0</v>
      </c>
      <c r="K403" s="47">
        <v>0</v>
      </c>
    </row>
    <row r="404" spans="1:11" ht="12.75" customHeight="1" x14ac:dyDescent="0.25">
      <c r="A404" s="42"/>
      <c r="B404" s="42" t="s">
        <v>39</v>
      </c>
      <c r="C404" s="46">
        <v>0</v>
      </c>
      <c r="D404" s="46">
        <v>0</v>
      </c>
      <c r="E404" s="46">
        <v>0</v>
      </c>
      <c r="F404" s="46">
        <v>0</v>
      </c>
      <c r="G404" s="46">
        <v>0</v>
      </c>
      <c r="H404" s="46">
        <v>0</v>
      </c>
      <c r="I404" s="46">
        <v>0</v>
      </c>
      <c r="J404" s="46">
        <v>0</v>
      </c>
      <c r="K404" s="47">
        <v>0</v>
      </c>
    </row>
    <row r="405" spans="1:11" ht="12.75" customHeight="1" x14ac:dyDescent="0.25">
      <c r="A405" s="42"/>
      <c r="B405" s="42" t="s">
        <v>39</v>
      </c>
      <c r="C405" s="46">
        <v>0</v>
      </c>
      <c r="D405" s="46">
        <v>0</v>
      </c>
      <c r="E405" s="46">
        <v>0</v>
      </c>
      <c r="F405" s="46">
        <v>0</v>
      </c>
      <c r="G405" s="46">
        <v>0</v>
      </c>
      <c r="H405" s="46">
        <v>0</v>
      </c>
      <c r="I405" s="46">
        <v>0</v>
      </c>
      <c r="J405" s="46">
        <v>0</v>
      </c>
      <c r="K405" s="47">
        <v>0</v>
      </c>
    </row>
    <row r="406" spans="1:11" ht="12.75" customHeight="1" x14ac:dyDescent="0.25">
      <c r="A406" s="42"/>
      <c r="B406" s="42" t="s">
        <v>39</v>
      </c>
      <c r="C406" s="46">
        <v>0</v>
      </c>
      <c r="D406" s="46">
        <v>0</v>
      </c>
      <c r="E406" s="46">
        <v>0</v>
      </c>
      <c r="F406" s="46">
        <v>0</v>
      </c>
      <c r="G406" s="46">
        <v>0</v>
      </c>
      <c r="H406" s="46">
        <v>0</v>
      </c>
      <c r="I406" s="46">
        <v>0</v>
      </c>
      <c r="J406" s="46">
        <v>0</v>
      </c>
      <c r="K406" s="47">
        <v>0</v>
      </c>
    </row>
    <row r="407" spans="1:11" ht="12.75" customHeight="1" x14ac:dyDescent="0.25">
      <c r="A407" s="42"/>
      <c r="B407" s="42" t="s">
        <v>39</v>
      </c>
      <c r="C407" s="46">
        <v>0</v>
      </c>
      <c r="D407" s="46">
        <v>0</v>
      </c>
      <c r="E407" s="46">
        <v>0</v>
      </c>
      <c r="F407" s="46">
        <v>0</v>
      </c>
      <c r="G407" s="46">
        <v>0</v>
      </c>
      <c r="H407" s="46">
        <v>0</v>
      </c>
      <c r="I407" s="46">
        <v>0</v>
      </c>
      <c r="J407" s="46">
        <v>0</v>
      </c>
      <c r="K407" s="47">
        <v>0</v>
      </c>
    </row>
    <row r="408" spans="1:11" ht="12.75" customHeight="1" x14ac:dyDescent="0.25">
      <c r="A408" s="42"/>
      <c r="B408" s="42" t="s">
        <v>39</v>
      </c>
      <c r="C408" s="46">
        <v>0</v>
      </c>
      <c r="D408" s="46">
        <v>0</v>
      </c>
      <c r="E408" s="46">
        <v>0</v>
      </c>
      <c r="F408" s="46">
        <v>0</v>
      </c>
      <c r="G408" s="46">
        <v>0</v>
      </c>
      <c r="H408" s="46">
        <v>0</v>
      </c>
      <c r="I408" s="46">
        <v>0</v>
      </c>
      <c r="J408" s="46">
        <v>0</v>
      </c>
      <c r="K408" s="47">
        <v>0</v>
      </c>
    </row>
    <row r="409" spans="1:11" ht="12.75" customHeight="1" x14ac:dyDescent="0.25">
      <c r="A409" s="42"/>
      <c r="B409" s="42" t="s">
        <v>39</v>
      </c>
      <c r="C409" s="46">
        <v>0</v>
      </c>
      <c r="D409" s="46">
        <v>0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7">
        <v>0</v>
      </c>
    </row>
    <row r="410" spans="1:11" ht="12.75" customHeight="1" x14ac:dyDescent="0.25">
      <c r="A410" s="42"/>
      <c r="B410" s="42" t="s">
        <v>39</v>
      </c>
      <c r="C410" s="46">
        <v>0</v>
      </c>
      <c r="D410" s="46">
        <v>0</v>
      </c>
      <c r="E410" s="46">
        <v>0</v>
      </c>
      <c r="F410" s="46">
        <v>0</v>
      </c>
      <c r="G410" s="46">
        <v>0</v>
      </c>
      <c r="H410" s="46">
        <v>0</v>
      </c>
      <c r="I410" s="46">
        <v>0</v>
      </c>
      <c r="J410" s="46">
        <v>0</v>
      </c>
      <c r="K410" s="47">
        <v>0</v>
      </c>
    </row>
    <row r="411" spans="1:11" ht="12.75" customHeight="1" x14ac:dyDescent="0.25">
      <c r="A411" s="42"/>
      <c r="B411" s="42" t="s">
        <v>39</v>
      </c>
      <c r="C411" s="46">
        <v>0</v>
      </c>
      <c r="D411" s="46">
        <v>0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7">
        <v>0</v>
      </c>
    </row>
    <row r="412" spans="1:11" ht="12.75" customHeight="1" x14ac:dyDescent="0.25">
      <c r="A412" s="42"/>
      <c r="B412" s="42" t="s">
        <v>39</v>
      </c>
      <c r="C412" s="46">
        <v>0</v>
      </c>
      <c r="D412" s="46">
        <v>0</v>
      </c>
      <c r="E412" s="46">
        <v>0</v>
      </c>
      <c r="F412" s="46">
        <v>0</v>
      </c>
      <c r="G412" s="46">
        <v>0</v>
      </c>
      <c r="H412" s="46">
        <v>0</v>
      </c>
      <c r="I412" s="46">
        <v>0</v>
      </c>
      <c r="J412" s="46">
        <v>0</v>
      </c>
      <c r="K412" s="47">
        <v>0</v>
      </c>
    </row>
    <row r="413" spans="1:11" ht="12.75" customHeight="1" x14ac:dyDescent="0.25">
      <c r="A413" s="42"/>
      <c r="B413" s="42" t="s">
        <v>39</v>
      </c>
      <c r="C413" s="46">
        <v>0</v>
      </c>
      <c r="D413" s="46">
        <v>0</v>
      </c>
      <c r="E413" s="46">
        <v>0</v>
      </c>
      <c r="F413" s="46">
        <v>0</v>
      </c>
      <c r="G413" s="46">
        <v>0</v>
      </c>
      <c r="H413" s="46">
        <v>0</v>
      </c>
      <c r="I413" s="46">
        <v>0</v>
      </c>
      <c r="J413" s="46">
        <v>0</v>
      </c>
      <c r="K413" s="47">
        <v>0</v>
      </c>
    </row>
    <row r="414" spans="1:11" ht="12.75" customHeight="1" x14ac:dyDescent="0.25">
      <c r="A414" s="42"/>
      <c r="B414" s="42" t="s">
        <v>39</v>
      </c>
      <c r="C414" s="46">
        <v>0</v>
      </c>
      <c r="D414" s="46">
        <v>0</v>
      </c>
      <c r="E414" s="46">
        <v>0</v>
      </c>
      <c r="F414" s="46">
        <v>0</v>
      </c>
      <c r="G414" s="46">
        <v>0</v>
      </c>
      <c r="H414" s="46">
        <v>0</v>
      </c>
      <c r="I414" s="46">
        <v>0</v>
      </c>
      <c r="J414" s="46">
        <v>0</v>
      </c>
      <c r="K414" s="47">
        <v>0</v>
      </c>
    </row>
    <row r="415" spans="1:11" ht="12.75" customHeight="1" x14ac:dyDescent="0.25">
      <c r="A415" s="42"/>
      <c r="B415" s="42" t="s">
        <v>39</v>
      </c>
      <c r="C415" s="46">
        <v>0</v>
      </c>
      <c r="D415" s="46">
        <v>0</v>
      </c>
      <c r="E415" s="46">
        <v>0</v>
      </c>
      <c r="F415" s="46">
        <v>0</v>
      </c>
      <c r="G415" s="46">
        <v>0</v>
      </c>
      <c r="H415" s="46">
        <v>0</v>
      </c>
      <c r="I415" s="46">
        <v>0</v>
      </c>
      <c r="J415" s="46">
        <v>0</v>
      </c>
      <c r="K415" s="47">
        <v>0</v>
      </c>
    </row>
    <row r="416" spans="1:11" ht="12.75" customHeight="1" x14ac:dyDescent="0.25">
      <c r="A416" s="42"/>
      <c r="B416" s="42" t="s">
        <v>39</v>
      </c>
      <c r="C416" s="46">
        <v>0</v>
      </c>
      <c r="D416" s="46">
        <v>0</v>
      </c>
      <c r="E416" s="46">
        <v>0</v>
      </c>
      <c r="F416" s="46">
        <v>0</v>
      </c>
      <c r="G416" s="46">
        <v>0</v>
      </c>
      <c r="H416" s="46">
        <v>0</v>
      </c>
      <c r="I416" s="46">
        <v>0</v>
      </c>
      <c r="J416" s="46">
        <v>0</v>
      </c>
      <c r="K416" s="47">
        <v>0</v>
      </c>
    </row>
    <row r="417" spans="1:11" ht="12.75" customHeight="1" x14ac:dyDescent="0.25">
      <c r="A417" s="42"/>
      <c r="B417" s="42" t="s">
        <v>39</v>
      </c>
      <c r="C417" s="46">
        <v>0</v>
      </c>
      <c r="D417" s="46">
        <v>0</v>
      </c>
      <c r="E417" s="46">
        <v>0</v>
      </c>
      <c r="F417" s="46">
        <v>0</v>
      </c>
      <c r="G417" s="46">
        <v>0</v>
      </c>
      <c r="H417" s="46">
        <v>0</v>
      </c>
      <c r="I417" s="46">
        <v>0</v>
      </c>
      <c r="J417" s="46">
        <v>0</v>
      </c>
      <c r="K417" s="47">
        <v>0</v>
      </c>
    </row>
    <row r="418" spans="1:11" ht="12.75" customHeight="1" x14ac:dyDescent="0.25">
      <c r="A418" s="42"/>
      <c r="B418" s="42" t="s">
        <v>39</v>
      </c>
      <c r="C418" s="46">
        <v>0</v>
      </c>
      <c r="D418" s="46">
        <v>0</v>
      </c>
      <c r="E418" s="46">
        <v>0</v>
      </c>
      <c r="F418" s="46">
        <v>0</v>
      </c>
      <c r="G418" s="46">
        <v>0</v>
      </c>
      <c r="H418" s="46">
        <v>0</v>
      </c>
      <c r="I418" s="46">
        <v>0</v>
      </c>
      <c r="J418" s="46">
        <v>0</v>
      </c>
      <c r="K418" s="47">
        <v>0</v>
      </c>
    </row>
    <row r="419" spans="1:11" ht="12.75" customHeight="1" x14ac:dyDescent="0.25">
      <c r="A419" s="42"/>
      <c r="B419" s="42" t="s">
        <v>39</v>
      </c>
      <c r="C419" s="46">
        <v>0</v>
      </c>
      <c r="D419" s="46">
        <v>0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0</v>
      </c>
      <c r="K419" s="47">
        <v>0</v>
      </c>
    </row>
    <row r="420" spans="1:11" ht="12.75" customHeight="1" x14ac:dyDescent="0.25">
      <c r="A420" s="42"/>
      <c r="B420" s="42" t="s">
        <v>39</v>
      </c>
      <c r="C420" s="46">
        <v>0</v>
      </c>
      <c r="D420" s="46">
        <v>0</v>
      </c>
      <c r="E420" s="46">
        <v>0</v>
      </c>
      <c r="F420" s="46">
        <v>0</v>
      </c>
      <c r="G420" s="46">
        <v>0</v>
      </c>
      <c r="H420" s="46">
        <v>0</v>
      </c>
      <c r="I420" s="46">
        <v>0</v>
      </c>
      <c r="J420" s="46">
        <v>0</v>
      </c>
      <c r="K420" s="47">
        <v>0</v>
      </c>
    </row>
    <row r="421" spans="1:11" ht="12.75" customHeight="1" x14ac:dyDescent="0.25">
      <c r="A421" s="42"/>
      <c r="B421" s="42" t="s">
        <v>39</v>
      </c>
      <c r="C421" s="46">
        <v>0</v>
      </c>
      <c r="D421" s="46">
        <v>0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0</v>
      </c>
      <c r="K421" s="47">
        <v>0</v>
      </c>
    </row>
    <row r="422" spans="1:11" ht="12.75" customHeight="1" x14ac:dyDescent="0.25">
      <c r="A422" s="42"/>
      <c r="B422" s="42" t="s">
        <v>39</v>
      </c>
      <c r="C422" s="46">
        <v>0</v>
      </c>
      <c r="D422" s="46">
        <v>0</v>
      </c>
      <c r="E422" s="46">
        <v>0</v>
      </c>
      <c r="F422" s="46">
        <v>0</v>
      </c>
      <c r="G422" s="46">
        <v>0</v>
      </c>
      <c r="H422" s="46">
        <v>0</v>
      </c>
      <c r="I422" s="46">
        <v>0</v>
      </c>
      <c r="J422" s="46">
        <v>0</v>
      </c>
      <c r="K422" s="47">
        <v>0</v>
      </c>
    </row>
    <row r="423" spans="1:11" ht="12.75" customHeight="1" x14ac:dyDescent="0.25">
      <c r="A423" s="42"/>
      <c r="B423" s="42" t="s">
        <v>39</v>
      </c>
      <c r="C423" s="46">
        <v>0</v>
      </c>
      <c r="D423" s="46">
        <v>0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0</v>
      </c>
      <c r="K423" s="47">
        <v>0</v>
      </c>
    </row>
    <row r="424" spans="1:11" ht="12.75" customHeight="1" x14ac:dyDescent="0.25">
      <c r="A424" s="42"/>
      <c r="B424" s="42" t="s">
        <v>39</v>
      </c>
      <c r="C424" s="46">
        <v>0</v>
      </c>
      <c r="D424" s="46">
        <v>0</v>
      </c>
      <c r="E424" s="46">
        <v>0</v>
      </c>
      <c r="F424" s="46">
        <v>0</v>
      </c>
      <c r="G424" s="46">
        <v>0</v>
      </c>
      <c r="H424" s="46">
        <v>0</v>
      </c>
      <c r="I424" s="46">
        <v>0</v>
      </c>
      <c r="J424" s="46">
        <v>0</v>
      </c>
      <c r="K424" s="47">
        <v>0</v>
      </c>
    </row>
    <row r="425" spans="1:11" ht="12.75" customHeight="1" x14ac:dyDescent="0.25">
      <c r="A425" s="42"/>
      <c r="B425" s="42" t="s">
        <v>39</v>
      </c>
      <c r="C425" s="46">
        <v>0</v>
      </c>
      <c r="D425" s="46">
        <v>0</v>
      </c>
      <c r="E425" s="46">
        <v>0</v>
      </c>
      <c r="F425" s="46">
        <v>0</v>
      </c>
      <c r="G425" s="46">
        <v>0</v>
      </c>
      <c r="H425" s="46">
        <v>0</v>
      </c>
      <c r="I425" s="46">
        <v>0</v>
      </c>
      <c r="J425" s="46">
        <v>0</v>
      </c>
      <c r="K425" s="47">
        <v>0</v>
      </c>
    </row>
    <row r="426" spans="1:11" ht="12.75" customHeight="1" x14ac:dyDescent="0.25">
      <c r="A426" s="42"/>
      <c r="B426" s="42" t="s">
        <v>39</v>
      </c>
      <c r="C426" s="46">
        <v>0</v>
      </c>
      <c r="D426" s="46">
        <v>0</v>
      </c>
      <c r="E426" s="46">
        <v>0</v>
      </c>
      <c r="F426" s="46">
        <v>0</v>
      </c>
      <c r="G426" s="46">
        <v>0</v>
      </c>
      <c r="H426" s="46">
        <v>0</v>
      </c>
      <c r="I426" s="46">
        <v>0</v>
      </c>
      <c r="J426" s="46">
        <v>0</v>
      </c>
      <c r="K426" s="47">
        <v>0</v>
      </c>
    </row>
    <row r="427" spans="1:11" ht="12.75" customHeight="1" x14ac:dyDescent="0.25">
      <c r="A427" s="42"/>
      <c r="B427" s="42" t="s">
        <v>39</v>
      </c>
      <c r="C427" s="46">
        <v>0</v>
      </c>
      <c r="D427" s="46">
        <v>0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  <c r="K427" s="47">
        <v>0</v>
      </c>
    </row>
    <row r="428" spans="1:11" ht="12.75" customHeight="1" x14ac:dyDescent="0.25">
      <c r="A428" s="42"/>
      <c r="B428" s="42" t="s">
        <v>39</v>
      </c>
      <c r="C428" s="46">
        <v>0</v>
      </c>
      <c r="D428" s="46">
        <v>0</v>
      </c>
      <c r="E428" s="46">
        <v>0</v>
      </c>
      <c r="F428" s="46">
        <v>0</v>
      </c>
      <c r="G428" s="46">
        <v>0</v>
      </c>
      <c r="H428" s="46">
        <v>0</v>
      </c>
      <c r="I428" s="46">
        <v>0</v>
      </c>
      <c r="J428" s="46">
        <v>0</v>
      </c>
      <c r="K428" s="47">
        <v>0</v>
      </c>
    </row>
    <row r="429" spans="1:11" ht="12.75" customHeight="1" x14ac:dyDescent="0.25">
      <c r="A429" s="42"/>
      <c r="B429" s="42" t="s">
        <v>39</v>
      </c>
      <c r="C429" s="46">
        <v>0</v>
      </c>
      <c r="D429" s="46">
        <v>0</v>
      </c>
      <c r="E429" s="46">
        <v>0</v>
      </c>
      <c r="F429" s="46">
        <v>0</v>
      </c>
      <c r="G429" s="46">
        <v>0</v>
      </c>
      <c r="H429" s="46">
        <v>0</v>
      </c>
      <c r="I429" s="46">
        <v>0</v>
      </c>
      <c r="J429" s="46">
        <v>0</v>
      </c>
      <c r="K429" s="47">
        <v>0</v>
      </c>
    </row>
    <row r="430" spans="1:11" ht="12.75" customHeight="1" x14ac:dyDescent="0.25">
      <c r="A430" s="42"/>
      <c r="B430" s="42" t="s">
        <v>39</v>
      </c>
      <c r="C430" s="46">
        <v>0</v>
      </c>
      <c r="D430" s="46">
        <v>0</v>
      </c>
      <c r="E430" s="46">
        <v>0</v>
      </c>
      <c r="F430" s="46">
        <v>0</v>
      </c>
      <c r="G430" s="46">
        <v>0</v>
      </c>
      <c r="H430" s="46">
        <v>0</v>
      </c>
      <c r="I430" s="46">
        <v>0</v>
      </c>
      <c r="J430" s="46">
        <v>0</v>
      </c>
      <c r="K430" s="47">
        <v>0</v>
      </c>
    </row>
    <row r="431" spans="1:11" ht="12.75" customHeight="1" x14ac:dyDescent="0.25">
      <c r="A431" s="42"/>
      <c r="B431" s="42" t="s">
        <v>39</v>
      </c>
      <c r="C431" s="46">
        <v>0</v>
      </c>
      <c r="D431" s="46">
        <v>0</v>
      </c>
      <c r="E431" s="46">
        <v>0</v>
      </c>
      <c r="F431" s="46">
        <v>0</v>
      </c>
      <c r="G431" s="46">
        <v>0</v>
      </c>
      <c r="H431" s="46">
        <v>0</v>
      </c>
      <c r="I431" s="46">
        <v>0</v>
      </c>
      <c r="J431" s="46">
        <v>0</v>
      </c>
      <c r="K431" s="47">
        <v>0</v>
      </c>
    </row>
    <row r="432" spans="1:11" ht="12.75" customHeight="1" x14ac:dyDescent="0.25">
      <c r="A432" s="42"/>
      <c r="B432" s="42" t="s">
        <v>39</v>
      </c>
      <c r="C432" s="46">
        <v>0</v>
      </c>
      <c r="D432" s="46">
        <v>0</v>
      </c>
      <c r="E432" s="46">
        <v>0</v>
      </c>
      <c r="F432" s="46">
        <v>0</v>
      </c>
      <c r="G432" s="46">
        <v>0</v>
      </c>
      <c r="H432" s="46">
        <v>0</v>
      </c>
      <c r="I432" s="46">
        <v>0</v>
      </c>
      <c r="J432" s="46">
        <v>0</v>
      </c>
      <c r="K432" s="47">
        <v>0</v>
      </c>
    </row>
    <row r="433" spans="1:11" ht="12.75" customHeight="1" x14ac:dyDescent="0.25">
      <c r="A433" s="42"/>
      <c r="B433" s="42" t="s">
        <v>39</v>
      </c>
      <c r="C433" s="46">
        <v>0</v>
      </c>
      <c r="D433" s="46">
        <v>0</v>
      </c>
      <c r="E433" s="46">
        <v>0</v>
      </c>
      <c r="F433" s="46">
        <v>0</v>
      </c>
      <c r="G433" s="46">
        <v>0</v>
      </c>
      <c r="H433" s="46">
        <v>0</v>
      </c>
      <c r="I433" s="46">
        <v>0</v>
      </c>
      <c r="J433" s="46">
        <v>0</v>
      </c>
      <c r="K433" s="47">
        <v>0</v>
      </c>
    </row>
    <row r="434" spans="1:11" ht="12.75" customHeight="1" x14ac:dyDescent="0.25">
      <c r="A434" s="42"/>
      <c r="B434" s="42" t="s">
        <v>39</v>
      </c>
      <c r="C434" s="46">
        <v>0</v>
      </c>
      <c r="D434" s="46">
        <v>0</v>
      </c>
      <c r="E434" s="46">
        <v>0</v>
      </c>
      <c r="F434" s="46">
        <v>0</v>
      </c>
      <c r="G434" s="46">
        <v>0</v>
      </c>
      <c r="H434" s="46">
        <v>0</v>
      </c>
      <c r="I434" s="46">
        <v>0</v>
      </c>
      <c r="J434" s="46">
        <v>0</v>
      </c>
      <c r="K434" s="47">
        <v>0</v>
      </c>
    </row>
    <row r="435" spans="1:11" ht="12.75" customHeight="1" x14ac:dyDescent="0.25">
      <c r="A435" s="42"/>
      <c r="B435" s="42" t="s">
        <v>39</v>
      </c>
      <c r="C435" s="46">
        <v>0</v>
      </c>
      <c r="D435" s="46">
        <v>0</v>
      </c>
      <c r="E435" s="46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0</v>
      </c>
      <c r="K435" s="47">
        <v>0</v>
      </c>
    </row>
    <row r="436" spans="1:11" ht="12.75" customHeight="1" x14ac:dyDescent="0.25">
      <c r="A436" s="42"/>
      <c r="B436" s="42" t="s">
        <v>39</v>
      </c>
      <c r="C436" s="46">
        <v>0</v>
      </c>
      <c r="D436" s="46">
        <v>0</v>
      </c>
      <c r="E436" s="46">
        <v>0</v>
      </c>
      <c r="F436" s="46">
        <v>0</v>
      </c>
      <c r="G436" s="46">
        <v>0</v>
      </c>
      <c r="H436" s="46">
        <v>0</v>
      </c>
      <c r="I436" s="46">
        <v>0</v>
      </c>
      <c r="J436" s="46">
        <v>0</v>
      </c>
      <c r="K436" s="47">
        <v>0</v>
      </c>
    </row>
    <row r="437" spans="1:11" ht="12.75" customHeight="1" x14ac:dyDescent="0.25">
      <c r="A437" s="42"/>
      <c r="B437" s="42" t="s">
        <v>39</v>
      </c>
      <c r="C437" s="46">
        <v>0</v>
      </c>
      <c r="D437" s="46">
        <v>0</v>
      </c>
      <c r="E437" s="46">
        <v>0</v>
      </c>
      <c r="F437" s="46">
        <v>0</v>
      </c>
      <c r="G437" s="46">
        <v>0</v>
      </c>
      <c r="H437" s="46">
        <v>0</v>
      </c>
      <c r="I437" s="46">
        <v>0</v>
      </c>
      <c r="J437" s="46">
        <v>0</v>
      </c>
      <c r="K437" s="47">
        <v>0</v>
      </c>
    </row>
    <row r="438" spans="1:11" ht="12.75" customHeight="1" x14ac:dyDescent="0.25">
      <c r="A438" s="42"/>
      <c r="B438" s="42" t="s">
        <v>39</v>
      </c>
      <c r="C438" s="46">
        <v>0</v>
      </c>
      <c r="D438" s="46">
        <v>0</v>
      </c>
      <c r="E438" s="46">
        <v>0</v>
      </c>
      <c r="F438" s="46">
        <v>0</v>
      </c>
      <c r="G438" s="46">
        <v>0</v>
      </c>
      <c r="H438" s="46">
        <v>0</v>
      </c>
      <c r="I438" s="46">
        <v>0</v>
      </c>
      <c r="J438" s="46">
        <v>0</v>
      </c>
      <c r="K438" s="47">
        <v>0</v>
      </c>
    </row>
    <row r="439" spans="1:11" ht="12.75" customHeight="1" x14ac:dyDescent="0.25">
      <c r="A439" s="42"/>
      <c r="B439" s="42" t="s">
        <v>39</v>
      </c>
      <c r="C439" s="46">
        <v>0</v>
      </c>
      <c r="D439" s="46">
        <v>0</v>
      </c>
      <c r="E439" s="46">
        <v>0</v>
      </c>
      <c r="F439" s="46">
        <v>0</v>
      </c>
      <c r="G439" s="46">
        <v>0</v>
      </c>
      <c r="H439" s="46">
        <v>0</v>
      </c>
      <c r="I439" s="46">
        <v>0</v>
      </c>
      <c r="J439" s="46">
        <v>0</v>
      </c>
      <c r="K439" s="47">
        <v>0</v>
      </c>
    </row>
    <row r="440" spans="1:11" ht="12.75" customHeight="1" x14ac:dyDescent="0.25">
      <c r="A440" s="42"/>
      <c r="B440" s="42" t="s">
        <v>39</v>
      </c>
      <c r="C440" s="46">
        <v>0</v>
      </c>
      <c r="D440" s="46">
        <v>0</v>
      </c>
      <c r="E440" s="46">
        <v>0</v>
      </c>
      <c r="F440" s="46">
        <v>0</v>
      </c>
      <c r="G440" s="46">
        <v>0</v>
      </c>
      <c r="H440" s="46">
        <v>0</v>
      </c>
      <c r="I440" s="46">
        <v>0</v>
      </c>
      <c r="J440" s="46">
        <v>0</v>
      </c>
      <c r="K440" s="47">
        <v>0</v>
      </c>
    </row>
    <row r="441" spans="1:11" ht="12.75" customHeight="1" x14ac:dyDescent="0.25">
      <c r="A441" s="42"/>
      <c r="B441" s="42" t="s">
        <v>39</v>
      </c>
      <c r="C441" s="46">
        <v>0</v>
      </c>
      <c r="D441" s="46">
        <v>0</v>
      </c>
      <c r="E441" s="46">
        <v>0</v>
      </c>
      <c r="F441" s="46">
        <v>0</v>
      </c>
      <c r="G441" s="46">
        <v>0</v>
      </c>
      <c r="H441" s="46">
        <v>0</v>
      </c>
      <c r="I441" s="46">
        <v>0</v>
      </c>
      <c r="J441" s="46">
        <v>0</v>
      </c>
      <c r="K441" s="47">
        <v>0</v>
      </c>
    </row>
    <row r="442" spans="1:11" ht="12.75" customHeight="1" x14ac:dyDescent="0.25">
      <c r="A442" s="42"/>
      <c r="B442" s="42" t="s">
        <v>39</v>
      </c>
      <c r="C442" s="46">
        <v>0</v>
      </c>
      <c r="D442" s="46">
        <v>0</v>
      </c>
      <c r="E442" s="46">
        <v>0</v>
      </c>
      <c r="F442" s="46">
        <v>0</v>
      </c>
      <c r="G442" s="46">
        <v>0</v>
      </c>
      <c r="H442" s="46">
        <v>0</v>
      </c>
      <c r="I442" s="46">
        <v>0</v>
      </c>
      <c r="J442" s="46">
        <v>0</v>
      </c>
      <c r="K442" s="47">
        <v>0</v>
      </c>
    </row>
    <row r="443" spans="1:11" ht="12.75" customHeight="1" x14ac:dyDescent="0.25">
      <c r="A443" s="42"/>
      <c r="B443" s="42" t="s">
        <v>39</v>
      </c>
      <c r="C443" s="46">
        <v>0</v>
      </c>
      <c r="D443" s="46">
        <v>0</v>
      </c>
      <c r="E443" s="46">
        <v>0</v>
      </c>
      <c r="F443" s="46">
        <v>0</v>
      </c>
      <c r="G443" s="46">
        <v>0</v>
      </c>
      <c r="H443" s="46">
        <v>0</v>
      </c>
      <c r="I443" s="46">
        <v>0</v>
      </c>
      <c r="J443" s="46">
        <v>0</v>
      </c>
      <c r="K443" s="47">
        <v>0</v>
      </c>
    </row>
    <row r="444" spans="1:11" ht="12.75" customHeight="1" x14ac:dyDescent="0.25">
      <c r="A444" s="42"/>
      <c r="B444" s="42" t="s">
        <v>39</v>
      </c>
      <c r="C444" s="46">
        <v>0</v>
      </c>
      <c r="D444" s="46">
        <v>0</v>
      </c>
      <c r="E444" s="46">
        <v>0</v>
      </c>
      <c r="F444" s="46">
        <v>0</v>
      </c>
      <c r="G444" s="46">
        <v>0</v>
      </c>
      <c r="H444" s="46">
        <v>0</v>
      </c>
      <c r="I444" s="46">
        <v>0</v>
      </c>
      <c r="J444" s="46">
        <v>0</v>
      </c>
      <c r="K444" s="47">
        <v>0</v>
      </c>
    </row>
    <row r="445" spans="1:11" ht="12.75" customHeight="1" x14ac:dyDescent="0.25">
      <c r="A445" s="42"/>
      <c r="B445" s="42" t="s">
        <v>39</v>
      </c>
      <c r="C445" s="46">
        <v>0</v>
      </c>
      <c r="D445" s="46">
        <v>0</v>
      </c>
      <c r="E445" s="46">
        <v>0</v>
      </c>
      <c r="F445" s="46">
        <v>0</v>
      </c>
      <c r="G445" s="46">
        <v>0</v>
      </c>
      <c r="H445" s="46">
        <v>0</v>
      </c>
      <c r="I445" s="46">
        <v>0</v>
      </c>
      <c r="J445" s="46">
        <v>0</v>
      </c>
      <c r="K445" s="47">
        <v>0</v>
      </c>
    </row>
    <row r="446" spans="1:11" ht="12.75" customHeight="1" x14ac:dyDescent="0.25">
      <c r="A446" s="42"/>
      <c r="B446" s="42" t="s">
        <v>39</v>
      </c>
      <c r="C446" s="46">
        <v>0</v>
      </c>
      <c r="D446" s="46">
        <v>0</v>
      </c>
      <c r="E446" s="46">
        <v>0</v>
      </c>
      <c r="F446" s="46">
        <v>0</v>
      </c>
      <c r="G446" s="46">
        <v>0</v>
      </c>
      <c r="H446" s="46">
        <v>0</v>
      </c>
      <c r="I446" s="46">
        <v>0</v>
      </c>
      <c r="J446" s="46">
        <v>0</v>
      </c>
      <c r="K446" s="47">
        <v>0</v>
      </c>
    </row>
    <row r="447" spans="1:11" ht="12.75" customHeight="1" x14ac:dyDescent="0.25">
      <c r="A447" s="42"/>
      <c r="B447" s="42" t="s">
        <v>39</v>
      </c>
      <c r="C447" s="46">
        <v>0</v>
      </c>
      <c r="D447" s="46">
        <v>0</v>
      </c>
      <c r="E447" s="46">
        <v>0</v>
      </c>
      <c r="F447" s="46">
        <v>0</v>
      </c>
      <c r="G447" s="46">
        <v>0</v>
      </c>
      <c r="H447" s="46">
        <v>0</v>
      </c>
      <c r="I447" s="46">
        <v>0</v>
      </c>
      <c r="J447" s="46">
        <v>0</v>
      </c>
      <c r="K447" s="47">
        <v>0</v>
      </c>
    </row>
    <row r="448" spans="1:11" ht="12.75" customHeight="1" x14ac:dyDescent="0.25">
      <c r="A448" s="42"/>
      <c r="B448" s="42" t="s">
        <v>39</v>
      </c>
      <c r="C448" s="46">
        <v>0</v>
      </c>
      <c r="D448" s="46">
        <v>0</v>
      </c>
      <c r="E448" s="46">
        <v>0</v>
      </c>
      <c r="F448" s="46">
        <v>0</v>
      </c>
      <c r="G448" s="46">
        <v>0</v>
      </c>
      <c r="H448" s="46">
        <v>0</v>
      </c>
      <c r="I448" s="46">
        <v>0</v>
      </c>
      <c r="J448" s="46">
        <v>0</v>
      </c>
      <c r="K448" s="47">
        <v>0</v>
      </c>
    </row>
    <row r="449" spans="1:11" x14ac:dyDescent="0.25">
      <c r="A449" s="42"/>
      <c r="B449" s="42" t="s">
        <v>39</v>
      </c>
      <c r="C449" s="46">
        <v>0</v>
      </c>
      <c r="D449" s="46">
        <v>0</v>
      </c>
      <c r="E449" s="46">
        <v>0</v>
      </c>
      <c r="F449" s="46">
        <v>0</v>
      </c>
      <c r="G449" s="46">
        <v>0</v>
      </c>
      <c r="H449" s="46">
        <v>0</v>
      </c>
      <c r="I449" s="46">
        <v>0</v>
      </c>
      <c r="J449" s="46">
        <v>0</v>
      </c>
      <c r="K449" s="47">
        <v>0</v>
      </c>
    </row>
    <row r="450" spans="1:11" x14ac:dyDescent="0.25">
      <c r="A450" s="42"/>
      <c r="B450" s="42" t="s">
        <v>39</v>
      </c>
      <c r="C450" s="46">
        <v>0</v>
      </c>
      <c r="D450" s="46">
        <v>0</v>
      </c>
      <c r="E450" s="46">
        <v>0</v>
      </c>
      <c r="F450" s="46">
        <v>0</v>
      </c>
      <c r="G450" s="46">
        <v>0</v>
      </c>
      <c r="H450" s="46">
        <v>0</v>
      </c>
      <c r="I450" s="46">
        <v>0</v>
      </c>
      <c r="J450" s="46">
        <v>0</v>
      </c>
      <c r="K450" s="47">
        <v>0</v>
      </c>
    </row>
    <row r="451" spans="1:11" x14ac:dyDescent="0.25">
      <c r="A451" s="42"/>
      <c r="B451" s="42" t="s">
        <v>39</v>
      </c>
      <c r="C451" s="46">
        <v>0</v>
      </c>
      <c r="D451" s="46">
        <v>0</v>
      </c>
      <c r="E451" s="46">
        <v>0</v>
      </c>
      <c r="F451" s="46">
        <v>0</v>
      </c>
      <c r="G451" s="46">
        <v>0</v>
      </c>
      <c r="H451" s="46">
        <v>0</v>
      </c>
      <c r="I451" s="46">
        <v>0</v>
      </c>
      <c r="J451" s="46">
        <v>0</v>
      </c>
      <c r="K451" s="47">
        <v>0</v>
      </c>
    </row>
    <row r="452" spans="1:11" x14ac:dyDescent="0.25">
      <c r="A452" s="42"/>
      <c r="B452" s="42" t="s">
        <v>39</v>
      </c>
      <c r="C452" s="46">
        <v>0</v>
      </c>
      <c r="D452" s="46">
        <v>0</v>
      </c>
      <c r="E452" s="46">
        <v>0</v>
      </c>
      <c r="F452" s="46">
        <v>0</v>
      </c>
      <c r="G452" s="46">
        <v>0</v>
      </c>
      <c r="H452" s="46">
        <v>0</v>
      </c>
      <c r="I452" s="46">
        <v>0</v>
      </c>
      <c r="J452" s="46">
        <v>0</v>
      </c>
      <c r="K452" s="47">
        <v>0</v>
      </c>
    </row>
    <row r="453" spans="1:11" x14ac:dyDescent="0.25">
      <c r="A453" s="42"/>
      <c r="B453" s="42" t="s">
        <v>39</v>
      </c>
      <c r="C453" s="46">
        <v>0</v>
      </c>
      <c r="D453" s="46">
        <v>0</v>
      </c>
      <c r="E453" s="46">
        <v>0</v>
      </c>
      <c r="F453" s="46">
        <v>0</v>
      </c>
      <c r="G453" s="46">
        <v>0</v>
      </c>
      <c r="H453" s="46">
        <v>0</v>
      </c>
      <c r="I453" s="46">
        <v>0</v>
      </c>
      <c r="J453" s="46">
        <v>0</v>
      </c>
      <c r="K453" s="47">
        <v>0</v>
      </c>
    </row>
    <row r="454" spans="1:11" x14ac:dyDescent="0.25">
      <c r="A454" s="42"/>
      <c r="B454" s="42" t="s">
        <v>39</v>
      </c>
      <c r="C454" s="46">
        <v>0</v>
      </c>
      <c r="D454" s="46">
        <v>0</v>
      </c>
      <c r="E454" s="46">
        <v>0</v>
      </c>
      <c r="F454" s="46">
        <v>0</v>
      </c>
      <c r="G454" s="46">
        <v>0</v>
      </c>
      <c r="H454" s="46">
        <v>0</v>
      </c>
      <c r="I454" s="46">
        <v>0</v>
      </c>
      <c r="J454" s="46">
        <v>0</v>
      </c>
      <c r="K454" s="47">
        <v>0</v>
      </c>
    </row>
    <row r="455" spans="1:11" x14ac:dyDescent="0.25">
      <c r="A455" s="42"/>
      <c r="B455" s="42" t="s">
        <v>39</v>
      </c>
      <c r="C455" s="46">
        <v>0</v>
      </c>
      <c r="D455" s="46">
        <v>0</v>
      </c>
      <c r="E455" s="46">
        <v>0</v>
      </c>
      <c r="F455" s="46">
        <v>0</v>
      </c>
      <c r="G455" s="46">
        <v>0</v>
      </c>
      <c r="H455" s="46">
        <v>0</v>
      </c>
      <c r="I455" s="46">
        <v>0</v>
      </c>
      <c r="J455" s="46">
        <v>0</v>
      </c>
      <c r="K455" s="47">
        <v>0</v>
      </c>
    </row>
    <row r="456" spans="1:11" x14ac:dyDescent="0.25">
      <c r="A456" s="42"/>
      <c r="B456" s="42" t="s">
        <v>39</v>
      </c>
      <c r="C456" s="46">
        <v>0</v>
      </c>
      <c r="D456" s="46">
        <v>0</v>
      </c>
      <c r="E456" s="46">
        <v>0</v>
      </c>
      <c r="F456" s="46">
        <v>0</v>
      </c>
      <c r="G456" s="46">
        <v>0</v>
      </c>
      <c r="H456" s="46">
        <v>0</v>
      </c>
      <c r="I456" s="46">
        <v>0</v>
      </c>
      <c r="J456" s="46">
        <v>0</v>
      </c>
      <c r="K456" s="47">
        <v>0</v>
      </c>
    </row>
    <row r="457" spans="1:11" x14ac:dyDescent="0.25">
      <c r="A457" s="42"/>
      <c r="B457" s="42" t="s">
        <v>39</v>
      </c>
      <c r="C457" s="46">
        <v>0</v>
      </c>
      <c r="D457" s="46">
        <v>0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0</v>
      </c>
      <c r="K457" s="47">
        <v>0</v>
      </c>
    </row>
    <row r="458" spans="1:11" x14ac:dyDescent="0.25">
      <c r="A458" s="42"/>
      <c r="B458" s="42" t="s">
        <v>39</v>
      </c>
      <c r="C458" s="46">
        <v>0</v>
      </c>
      <c r="D458" s="46">
        <v>0</v>
      </c>
      <c r="E458" s="46">
        <v>0</v>
      </c>
      <c r="F458" s="46">
        <v>0</v>
      </c>
      <c r="G458" s="46">
        <v>0</v>
      </c>
      <c r="H458" s="46">
        <v>0</v>
      </c>
      <c r="I458" s="46">
        <v>0</v>
      </c>
      <c r="J458" s="46">
        <v>0</v>
      </c>
      <c r="K458" s="47">
        <v>0</v>
      </c>
    </row>
    <row r="459" spans="1:11" x14ac:dyDescent="0.25">
      <c r="A459" s="42"/>
      <c r="B459" s="42" t="s">
        <v>39</v>
      </c>
      <c r="C459" s="46">
        <v>0</v>
      </c>
      <c r="D459" s="46">
        <v>0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47">
        <v>0</v>
      </c>
    </row>
    <row r="460" spans="1:11" x14ac:dyDescent="0.25">
      <c r="A460" s="42"/>
      <c r="B460" s="42" t="s">
        <v>39</v>
      </c>
      <c r="C460" s="46">
        <v>0</v>
      </c>
      <c r="D460" s="46">
        <v>0</v>
      </c>
      <c r="E460" s="46">
        <v>0</v>
      </c>
      <c r="F460" s="46">
        <v>0</v>
      </c>
      <c r="G460" s="46">
        <v>0</v>
      </c>
      <c r="H460" s="46">
        <v>0</v>
      </c>
      <c r="I460" s="46">
        <v>0</v>
      </c>
      <c r="J460" s="46">
        <v>0</v>
      </c>
      <c r="K460" s="47">
        <v>0</v>
      </c>
    </row>
    <row r="461" spans="1:11" x14ac:dyDescent="0.25">
      <c r="A461" s="42"/>
      <c r="B461" s="42" t="s">
        <v>39</v>
      </c>
      <c r="C461" s="46">
        <v>0</v>
      </c>
      <c r="D461" s="46">
        <v>0</v>
      </c>
      <c r="E461" s="46">
        <v>0</v>
      </c>
      <c r="F461" s="46">
        <v>0</v>
      </c>
      <c r="G461" s="46">
        <v>0</v>
      </c>
      <c r="H461" s="46">
        <v>0</v>
      </c>
      <c r="I461" s="46">
        <v>0</v>
      </c>
      <c r="J461" s="46">
        <v>0</v>
      </c>
      <c r="K461" s="47">
        <v>0</v>
      </c>
    </row>
    <row r="462" spans="1:11" x14ac:dyDescent="0.25">
      <c r="A462" s="42"/>
      <c r="B462" s="42" t="s">
        <v>39</v>
      </c>
      <c r="C462" s="46">
        <v>0</v>
      </c>
      <c r="D462" s="46">
        <v>0</v>
      </c>
      <c r="E462" s="46">
        <v>0</v>
      </c>
      <c r="F462" s="46">
        <v>0</v>
      </c>
      <c r="G462" s="46">
        <v>0</v>
      </c>
      <c r="H462" s="46">
        <v>0</v>
      </c>
      <c r="I462" s="46">
        <v>0</v>
      </c>
      <c r="J462" s="46">
        <v>0</v>
      </c>
      <c r="K462" s="47">
        <v>0</v>
      </c>
    </row>
    <row r="463" spans="1:11" x14ac:dyDescent="0.25">
      <c r="A463" s="42"/>
      <c r="B463" s="42" t="s">
        <v>39</v>
      </c>
      <c r="C463" s="46">
        <v>0</v>
      </c>
      <c r="D463" s="46">
        <v>0</v>
      </c>
      <c r="E463" s="46">
        <v>0</v>
      </c>
      <c r="F463" s="46">
        <v>0</v>
      </c>
      <c r="G463" s="46">
        <v>0</v>
      </c>
      <c r="H463" s="46">
        <v>0</v>
      </c>
      <c r="I463" s="46">
        <v>0</v>
      </c>
      <c r="J463" s="46">
        <v>0</v>
      </c>
      <c r="K463" s="47">
        <v>0</v>
      </c>
    </row>
    <row r="464" spans="1:11" x14ac:dyDescent="0.25">
      <c r="A464" s="42"/>
      <c r="B464" s="42" t="s">
        <v>39</v>
      </c>
      <c r="C464" s="46">
        <v>0</v>
      </c>
      <c r="D464" s="46">
        <v>0</v>
      </c>
      <c r="E464" s="46">
        <v>0</v>
      </c>
      <c r="F464" s="46">
        <v>0</v>
      </c>
      <c r="G464" s="46">
        <v>0</v>
      </c>
      <c r="H464" s="46">
        <v>0</v>
      </c>
      <c r="I464" s="46">
        <v>0</v>
      </c>
      <c r="J464" s="46">
        <v>0</v>
      </c>
      <c r="K464" s="47">
        <v>0</v>
      </c>
    </row>
    <row r="465" spans="1:11" x14ac:dyDescent="0.25">
      <c r="A465" s="42"/>
      <c r="B465" s="42" t="s">
        <v>39</v>
      </c>
      <c r="C465" s="46">
        <v>0</v>
      </c>
      <c r="D465" s="46">
        <v>0</v>
      </c>
      <c r="E465" s="46">
        <v>0</v>
      </c>
      <c r="F465" s="46">
        <v>0</v>
      </c>
      <c r="G465" s="46">
        <v>0</v>
      </c>
      <c r="H465" s="46">
        <v>0</v>
      </c>
      <c r="I465" s="46">
        <v>0</v>
      </c>
      <c r="J465" s="46">
        <v>0</v>
      </c>
      <c r="K465" s="47">
        <v>0</v>
      </c>
    </row>
    <row r="466" spans="1:11" x14ac:dyDescent="0.25">
      <c r="A466" s="42"/>
      <c r="B466" s="42" t="s">
        <v>39</v>
      </c>
      <c r="C466" s="46">
        <v>0</v>
      </c>
      <c r="D466" s="46">
        <v>0</v>
      </c>
      <c r="E466" s="46">
        <v>0</v>
      </c>
      <c r="F466" s="46">
        <v>0</v>
      </c>
      <c r="G466" s="46">
        <v>0</v>
      </c>
      <c r="H466" s="46">
        <v>0</v>
      </c>
      <c r="I466" s="46">
        <v>0</v>
      </c>
      <c r="J466" s="46">
        <v>0</v>
      </c>
      <c r="K466" s="47">
        <v>0</v>
      </c>
    </row>
    <row r="467" spans="1:11" x14ac:dyDescent="0.25">
      <c r="A467" s="42"/>
      <c r="B467" s="42" t="s">
        <v>39</v>
      </c>
      <c r="C467" s="46">
        <v>0</v>
      </c>
      <c r="D467" s="46">
        <v>0</v>
      </c>
      <c r="E467" s="46">
        <v>0</v>
      </c>
      <c r="F467" s="46">
        <v>0</v>
      </c>
      <c r="G467" s="46">
        <v>0</v>
      </c>
      <c r="H467" s="46">
        <v>0</v>
      </c>
      <c r="I467" s="46">
        <v>0</v>
      </c>
      <c r="J467" s="46">
        <v>0</v>
      </c>
      <c r="K467" s="47">
        <v>0</v>
      </c>
    </row>
    <row r="468" spans="1:11" x14ac:dyDescent="0.25">
      <c r="A468" s="42"/>
      <c r="B468" s="42" t="s">
        <v>39</v>
      </c>
      <c r="C468" s="46">
        <v>0</v>
      </c>
      <c r="D468" s="46">
        <v>0</v>
      </c>
      <c r="E468" s="46">
        <v>0</v>
      </c>
      <c r="F468" s="46">
        <v>0</v>
      </c>
      <c r="G468" s="46">
        <v>0</v>
      </c>
      <c r="H468" s="46">
        <v>0</v>
      </c>
      <c r="I468" s="46">
        <v>0</v>
      </c>
      <c r="J468" s="46">
        <v>0</v>
      </c>
      <c r="K468" s="47">
        <v>0</v>
      </c>
    </row>
    <row r="469" spans="1:11" x14ac:dyDescent="0.25">
      <c r="A469" s="42"/>
      <c r="B469" s="42" t="s">
        <v>39</v>
      </c>
      <c r="C469" s="46">
        <v>0</v>
      </c>
      <c r="D469" s="46">
        <v>0</v>
      </c>
      <c r="E469" s="46">
        <v>0</v>
      </c>
      <c r="F469" s="46">
        <v>0</v>
      </c>
      <c r="G469" s="46">
        <v>0</v>
      </c>
      <c r="H469" s="46">
        <v>0</v>
      </c>
      <c r="I469" s="46">
        <v>0</v>
      </c>
      <c r="J469" s="46">
        <v>0</v>
      </c>
      <c r="K469" s="47">
        <v>0</v>
      </c>
    </row>
    <row r="470" spans="1:11" x14ac:dyDescent="0.25">
      <c r="A470" s="42"/>
      <c r="B470" s="42" t="s">
        <v>39</v>
      </c>
      <c r="C470" s="46">
        <v>0</v>
      </c>
      <c r="D470" s="46">
        <v>0</v>
      </c>
      <c r="E470" s="46">
        <v>0</v>
      </c>
      <c r="F470" s="46">
        <v>0</v>
      </c>
      <c r="G470" s="46">
        <v>0</v>
      </c>
      <c r="H470" s="46">
        <v>0</v>
      </c>
      <c r="I470" s="46">
        <v>0</v>
      </c>
      <c r="J470" s="46">
        <v>0</v>
      </c>
      <c r="K470" s="47">
        <v>0</v>
      </c>
    </row>
    <row r="471" spans="1:11" x14ac:dyDescent="0.25">
      <c r="A471" s="42"/>
      <c r="B471" s="42" t="s">
        <v>39</v>
      </c>
      <c r="C471" s="46">
        <v>0</v>
      </c>
      <c r="D471" s="46">
        <v>0</v>
      </c>
      <c r="E471" s="46">
        <v>0</v>
      </c>
      <c r="F471" s="46">
        <v>0</v>
      </c>
      <c r="G471" s="46">
        <v>0</v>
      </c>
      <c r="H471" s="46">
        <v>0</v>
      </c>
      <c r="I471" s="46">
        <v>0</v>
      </c>
      <c r="J471" s="46">
        <v>0</v>
      </c>
      <c r="K471" s="47">
        <v>0</v>
      </c>
    </row>
    <row r="472" spans="1:11" x14ac:dyDescent="0.25">
      <c r="A472" s="42"/>
      <c r="B472" s="42" t="s">
        <v>39</v>
      </c>
      <c r="C472" s="46">
        <v>0</v>
      </c>
      <c r="D472" s="46">
        <v>0</v>
      </c>
      <c r="E472" s="46">
        <v>0</v>
      </c>
      <c r="F472" s="46">
        <v>0</v>
      </c>
      <c r="G472" s="46">
        <v>0</v>
      </c>
      <c r="H472" s="46">
        <v>0</v>
      </c>
      <c r="I472" s="46">
        <v>0</v>
      </c>
      <c r="J472" s="46">
        <v>0</v>
      </c>
      <c r="K472" s="47">
        <v>0</v>
      </c>
    </row>
    <row r="473" spans="1:11" x14ac:dyDescent="0.25">
      <c r="A473" s="42"/>
      <c r="B473" s="42" t="s">
        <v>39</v>
      </c>
      <c r="C473" s="46">
        <v>0</v>
      </c>
      <c r="D473" s="46">
        <v>0</v>
      </c>
      <c r="E473" s="46">
        <v>0</v>
      </c>
      <c r="F473" s="46">
        <v>0</v>
      </c>
      <c r="G473" s="46">
        <v>0</v>
      </c>
      <c r="H473" s="46">
        <v>0</v>
      </c>
      <c r="I473" s="46">
        <v>0</v>
      </c>
      <c r="J473" s="46">
        <v>0</v>
      </c>
      <c r="K473" s="47">
        <v>0</v>
      </c>
    </row>
    <row r="474" spans="1:11" x14ac:dyDescent="0.25">
      <c r="A474" s="42"/>
      <c r="B474" s="42" t="s">
        <v>39</v>
      </c>
      <c r="C474" s="46">
        <v>0</v>
      </c>
      <c r="D474" s="46">
        <v>0</v>
      </c>
      <c r="E474" s="46">
        <v>0</v>
      </c>
      <c r="F474" s="46">
        <v>0</v>
      </c>
      <c r="G474" s="46">
        <v>0</v>
      </c>
      <c r="H474" s="46">
        <v>0</v>
      </c>
      <c r="I474" s="46">
        <v>0</v>
      </c>
      <c r="J474" s="46">
        <v>0</v>
      </c>
      <c r="K474" s="47">
        <v>0</v>
      </c>
    </row>
    <row r="475" spans="1:11" x14ac:dyDescent="0.25">
      <c r="A475" s="42"/>
      <c r="B475" s="42" t="s">
        <v>39</v>
      </c>
      <c r="C475" s="46">
        <v>0</v>
      </c>
      <c r="D475" s="46">
        <v>0</v>
      </c>
      <c r="E475" s="46">
        <v>0</v>
      </c>
      <c r="F475" s="46">
        <v>0</v>
      </c>
      <c r="G475" s="46">
        <v>0</v>
      </c>
      <c r="H475" s="46">
        <v>0</v>
      </c>
      <c r="I475" s="46">
        <v>0</v>
      </c>
      <c r="J475" s="46">
        <v>0</v>
      </c>
      <c r="K475" s="47">
        <v>0</v>
      </c>
    </row>
    <row r="476" spans="1:11" x14ac:dyDescent="0.25">
      <c r="A476" s="42"/>
      <c r="B476" s="42" t="s">
        <v>39</v>
      </c>
      <c r="C476" s="46">
        <v>0</v>
      </c>
      <c r="D476" s="46">
        <v>0</v>
      </c>
      <c r="E476" s="46">
        <v>0</v>
      </c>
      <c r="F476" s="46">
        <v>0</v>
      </c>
      <c r="G476" s="46">
        <v>0</v>
      </c>
      <c r="H476" s="46">
        <v>0</v>
      </c>
      <c r="I476" s="46">
        <v>0</v>
      </c>
      <c r="J476" s="46">
        <v>0</v>
      </c>
      <c r="K476" s="47">
        <v>0</v>
      </c>
    </row>
    <row r="477" spans="1:11" x14ac:dyDescent="0.25">
      <c r="A477" s="42"/>
      <c r="B477" s="42" t="s">
        <v>39</v>
      </c>
      <c r="C477" s="46">
        <v>0</v>
      </c>
      <c r="D477" s="46">
        <v>0</v>
      </c>
      <c r="E477" s="46">
        <v>0</v>
      </c>
      <c r="F477" s="46">
        <v>0</v>
      </c>
      <c r="G477" s="46">
        <v>0</v>
      </c>
      <c r="H477" s="46">
        <v>0</v>
      </c>
      <c r="I477" s="46">
        <v>0</v>
      </c>
      <c r="J477" s="46">
        <v>0</v>
      </c>
      <c r="K477" s="47">
        <v>0</v>
      </c>
    </row>
    <row r="478" spans="1:11" x14ac:dyDescent="0.25">
      <c r="A478" s="42"/>
      <c r="B478" s="42" t="s">
        <v>39</v>
      </c>
      <c r="C478" s="46">
        <v>0</v>
      </c>
      <c r="D478" s="46">
        <v>0</v>
      </c>
      <c r="E478" s="46">
        <v>0</v>
      </c>
      <c r="F478" s="46">
        <v>0</v>
      </c>
      <c r="G478" s="46">
        <v>0</v>
      </c>
      <c r="H478" s="46">
        <v>0</v>
      </c>
      <c r="I478" s="46">
        <v>0</v>
      </c>
      <c r="J478" s="46">
        <v>0</v>
      </c>
      <c r="K478" s="47">
        <v>0</v>
      </c>
    </row>
    <row r="479" spans="1:11" x14ac:dyDescent="0.25">
      <c r="A479" s="42"/>
      <c r="B479" s="42" t="s">
        <v>39</v>
      </c>
      <c r="C479" s="46">
        <v>0</v>
      </c>
      <c r="D479" s="46">
        <v>0</v>
      </c>
      <c r="E479" s="46">
        <v>0</v>
      </c>
      <c r="F479" s="46">
        <v>0</v>
      </c>
      <c r="G479" s="46">
        <v>0</v>
      </c>
      <c r="H479" s="46">
        <v>0</v>
      </c>
      <c r="I479" s="46">
        <v>0</v>
      </c>
      <c r="J479" s="46">
        <v>0</v>
      </c>
      <c r="K479" s="47">
        <v>0</v>
      </c>
    </row>
    <row r="480" spans="1:11" x14ac:dyDescent="0.25">
      <c r="A480" s="42"/>
      <c r="B480" s="42" t="s">
        <v>39</v>
      </c>
      <c r="C480" s="46">
        <v>0</v>
      </c>
      <c r="D480" s="46">
        <v>0</v>
      </c>
      <c r="E480" s="46">
        <v>0</v>
      </c>
      <c r="F480" s="46">
        <v>0</v>
      </c>
      <c r="G480" s="46">
        <v>0</v>
      </c>
      <c r="H480" s="46">
        <v>0</v>
      </c>
      <c r="I480" s="46">
        <v>0</v>
      </c>
      <c r="J480" s="46">
        <v>0</v>
      </c>
      <c r="K480" s="47">
        <v>0</v>
      </c>
    </row>
    <row r="481" spans="1:11" x14ac:dyDescent="0.25">
      <c r="A481" s="42"/>
      <c r="B481" s="42" t="s">
        <v>39</v>
      </c>
      <c r="C481" s="46">
        <v>0</v>
      </c>
      <c r="D481" s="46">
        <v>0</v>
      </c>
      <c r="E481" s="46">
        <v>0</v>
      </c>
      <c r="F481" s="46">
        <v>0</v>
      </c>
      <c r="G481" s="46">
        <v>0</v>
      </c>
      <c r="H481" s="46">
        <v>0</v>
      </c>
      <c r="I481" s="46">
        <v>0</v>
      </c>
      <c r="J481" s="46">
        <v>0</v>
      </c>
      <c r="K481" s="47">
        <v>0</v>
      </c>
    </row>
    <row r="482" spans="1:11" x14ac:dyDescent="0.25">
      <c r="A482" s="42"/>
      <c r="B482" s="42" t="s">
        <v>39</v>
      </c>
      <c r="C482" s="46">
        <v>0</v>
      </c>
      <c r="D482" s="46">
        <v>0</v>
      </c>
      <c r="E482" s="46">
        <v>0</v>
      </c>
      <c r="F482" s="46">
        <v>0</v>
      </c>
      <c r="G482" s="46">
        <v>0</v>
      </c>
      <c r="H482" s="46">
        <v>0</v>
      </c>
      <c r="I482" s="46">
        <v>0</v>
      </c>
      <c r="J482" s="46">
        <v>0</v>
      </c>
      <c r="K482" s="47">
        <v>0</v>
      </c>
    </row>
    <row r="483" spans="1:11" x14ac:dyDescent="0.25">
      <c r="A483" s="42"/>
      <c r="B483" s="42" t="s">
        <v>39</v>
      </c>
      <c r="C483" s="46">
        <v>0</v>
      </c>
      <c r="D483" s="46">
        <v>0</v>
      </c>
      <c r="E483" s="46">
        <v>0</v>
      </c>
      <c r="F483" s="46">
        <v>0</v>
      </c>
      <c r="G483" s="46">
        <v>0</v>
      </c>
      <c r="H483" s="46">
        <v>0</v>
      </c>
      <c r="I483" s="46">
        <v>0</v>
      </c>
      <c r="J483" s="46">
        <v>0</v>
      </c>
      <c r="K483" s="47">
        <v>0</v>
      </c>
    </row>
    <row r="484" spans="1:11" x14ac:dyDescent="0.25">
      <c r="A484" s="42"/>
      <c r="B484" s="42" t="s">
        <v>39</v>
      </c>
      <c r="C484" s="46">
        <v>0</v>
      </c>
      <c r="D484" s="46">
        <v>0</v>
      </c>
      <c r="E484" s="46">
        <v>0</v>
      </c>
      <c r="F484" s="46">
        <v>0</v>
      </c>
      <c r="G484" s="46">
        <v>0</v>
      </c>
      <c r="H484" s="46">
        <v>0</v>
      </c>
      <c r="I484" s="46">
        <v>0</v>
      </c>
      <c r="J484" s="46">
        <v>0</v>
      </c>
      <c r="K484" s="47">
        <v>0</v>
      </c>
    </row>
    <row r="485" spans="1:11" x14ac:dyDescent="0.25">
      <c r="A485" s="42"/>
      <c r="B485" s="42" t="s">
        <v>39</v>
      </c>
      <c r="C485" s="46">
        <v>0</v>
      </c>
      <c r="D485" s="46">
        <v>0</v>
      </c>
      <c r="E485" s="46">
        <v>0</v>
      </c>
      <c r="F485" s="46">
        <v>0</v>
      </c>
      <c r="G485" s="46">
        <v>0</v>
      </c>
      <c r="H485" s="46">
        <v>0</v>
      </c>
      <c r="I485" s="46">
        <v>0</v>
      </c>
      <c r="J485" s="46">
        <v>0</v>
      </c>
      <c r="K485" s="47">
        <v>0</v>
      </c>
    </row>
    <row r="486" spans="1:11" x14ac:dyDescent="0.25">
      <c r="A486" s="42"/>
      <c r="B486" s="42" t="s">
        <v>39</v>
      </c>
      <c r="C486" s="46">
        <v>0</v>
      </c>
      <c r="D486" s="46">
        <v>0</v>
      </c>
      <c r="E486" s="46">
        <v>0</v>
      </c>
      <c r="F486" s="46">
        <v>0</v>
      </c>
      <c r="G486" s="46">
        <v>0</v>
      </c>
      <c r="H486" s="46">
        <v>0</v>
      </c>
      <c r="I486" s="46">
        <v>0</v>
      </c>
      <c r="J486" s="46">
        <v>0</v>
      </c>
      <c r="K486" s="47">
        <v>0</v>
      </c>
    </row>
    <row r="487" spans="1:11" x14ac:dyDescent="0.25">
      <c r="A487" s="42"/>
      <c r="B487" s="42" t="s">
        <v>39</v>
      </c>
      <c r="C487" s="46">
        <v>0</v>
      </c>
      <c r="D487" s="46">
        <v>0</v>
      </c>
      <c r="E487" s="46">
        <v>0</v>
      </c>
      <c r="F487" s="46">
        <v>0</v>
      </c>
      <c r="G487" s="46">
        <v>0</v>
      </c>
      <c r="H487" s="46">
        <v>0</v>
      </c>
      <c r="I487" s="46">
        <v>0</v>
      </c>
      <c r="J487" s="46">
        <v>0</v>
      </c>
      <c r="K487" s="47">
        <v>0</v>
      </c>
    </row>
    <row r="488" spans="1:11" x14ac:dyDescent="0.25">
      <c r="A488" s="42"/>
      <c r="B488" s="42" t="s">
        <v>39</v>
      </c>
      <c r="C488" s="46">
        <v>0</v>
      </c>
      <c r="D488" s="46">
        <v>0</v>
      </c>
      <c r="E488" s="46">
        <v>0</v>
      </c>
      <c r="F488" s="46">
        <v>0</v>
      </c>
      <c r="G488" s="46">
        <v>0</v>
      </c>
      <c r="H488" s="46">
        <v>0</v>
      </c>
      <c r="I488" s="46">
        <v>0</v>
      </c>
      <c r="J488" s="46">
        <v>0</v>
      </c>
      <c r="K488" s="47">
        <v>0</v>
      </c>
    </row>
    <row r="489" spans="1:11" x14ac:dyDescent="0.25">
      <c r="A489" s="42"/>
      <c r="B489" s="42" t="s">
        <v>39</v>
      </c>
      <c r="C489" s="46">
        <v>0</v>
      </c>
      <c r="D489" s="46">
        <v>0</v>
      </c>
      <c r="E489" s="46">
        <v>0</v>
      </c>
      <c r="F489" s="46">
        <v>0</v>
      </c>
      <c r="G489" s="46">
        <v>0</v>
      </c>
      <c r="H489" s="46">
        <v>0</v>
      </c>
      <c r="I489" s="46">
        <v>0</v>
      </c>
      <c r="J489" s="46">
        <v>0</v>
      </c>
      <c r="K489" s="47">
        <v>0</v>
      </c>
    </row>
    <row r="490" spans="1:11" x14ac:dyDescent="0.25">
      <c r="A490" s="42"/>
      <c r="B490" s="42" t="s">
        <v>39</v>
      </c>
      <c r="C490" s="46">
        <v>0</v>
      </c>
      <c r="D490" s="46">
        <v>0</v>
      </c>
      <c r="E490" s="46">
        <v>0</v>
      </c>
      <c r="F490" s="46">
        <v>0</v>
      </c>
      <c r="G490" s="46">
        <v>0</v>
      </c>
      <c r="H490" s="46">
        <v>0</v>
      </c>
      <c r="I490" s="46">
        <v>0</v>
      </c>
      <c r="J490" s="46">
        <v>0</v>
      </c>
      <c r="K490" s="47">
        <v>0</v>
      </c>
    </row>
    <row r="491" spans="1:11" x14ac:dyDescent="0.25">
      <c r="A491" s="42"/>
      <c r="B491" s="42" t="s">
        <v>39</v>
      </c>
      <c r="C491" s="46">
        <v>0</v>
      </c>
      <c r="D491" s="46">
        <v>0</v>
      </c>
      <c r="E491" s="46">
        <v>0</v>
      </c>
      <c r="F491" s="46">
        <v>0</v>
      </c>
      <c r="G491" s="46">
        <v>0</v>
      </c>
      <c r="H491" s="46">
        <v>0</v>
      </c>
      <c r="I491" s="46">
        <v>0</v>
      </c>
      <c r="J491" s="46">
        <v>0</v>
      </c>
      <c r="K491" s="47">
        <v>0</v>
      </c>
    </row>
    <row r="492" spans="1:11" x14ac:dyDescent="0.25">
      <c r="A492" s="42"/>
      <c r="B492" s="42" t="s">
        <v>39</v>
      </c>
      <c r="C492" s="46">
        <v>0</v>
      </c>
      <c r="D492" s="46">
        <v>0</v>
      </c>
      <c r="E492" s="46">
        <v>0</v>
      </c>
      <c r="F492" s="46">
        <v>0</v>
      </c>
      <c r="G492" s="46">
        <v>0</v>
      </c>
      <c r="H492" s="46">
        <v>0</v>
      </c>
      <c r="I492" s="46">
        <v>0</v>
      </c>
      <c r="J492" s="46">
        <v>0</v>
      </c>
      <c r="K492" s="47">
        <v>0</v>
      </c>
    </row>
    <row r="493" spans="1:11" x14ac:dyDescent="0.25">
      <c r="A493" s="42"/>
      <c r="B493" s="42" t="s">
        <v>39</v>
      </c>
      <c r="C493" s="46">
        <v>0</v>
      </c>
      <c r="D493" s="46">
        <v>0</v>
      </c>
      <c r="E493" s="46">
        <v>0</v>
      </c>
      <c r="F493" s="46">
        <v>0</v>
      </c>
      <c r="G493" s="46">
        <v>0</v>
      </c>
      <c r="H493" s="46">
        <v>0</v>
      </c>
      <c r="I493" s="46">
        <v>0</v>
      </c>
      <c r="J493" s="46">
        <v>0</v>
      </c>
      <c r="K493" s="47">
        <v>0</v>
      </c>
    </row>
    <row r="494" spans="1:11" x14ac:dyDescent="0.25">
      <c r="A494" s="42"/>
      <c r="B494" s="42" t="s">
        <v>39</v>
      </c>
      <c r="C494" s="46">
        <v>0</v>
      </c>
      <c r="D494" s="46">
        <v>0</v>
      </c>
      <c r="E494" s="46">
        <v>0</v>
      </c>
      <c r="F494" s="46">
        <v>0</v>
      </c>
      <c r="G494" s="46">
        <v>0</v>
      </c>
      <c r="H494" s="46">
        <v>0</v>
      </c>
      <c r="I494" s="46">
        <v>0</v>
      </c>
      <c r="J494" s="46">
        <v>0</v>
      </c>
      <c r="K494" s="47">
        <v>0</v>
      </c>
    </row>
    <row r="495" spans="1:11" x14ac:dyDescent="0.25">
      <c r="A495" s="42"/>
      <c r="B495" s="42" t="s">
        <v>39</v>
      </c>
      <c r="C495" s="46">
        <v>0</v>
      </c>
      <c r="D495" s="46">
        <v>0</v>
      </c>
      <c r="E495" s="46">
        <v>0</v>
      </c>
      <c r="F495" s="46">
        <v>0</v>
      </c>
      <c r="G495" s="46">
        <v>0</v>
      </c>
      <c r="H495" s="46">
        <v>0</v>
      </c>
      <c r="I495" s="46">
        <v>0</v>
      </c>
      <c r="J495" s="46">
        <v>0</v>
      </c>
      <c r="K495" s="47">
        <v>0</v>
      </c>
    </row>
    <row r="496" spans="1:11" x14ac:dyDescent="0.25">
      <c r="A496" s="42"/>
      <c r="B496" s="42" t="s">
        <v>39</v>
      </c>
      <c r="C496" s="46">
        <v>0</v>
      </c>
      <c r="D496" s="46">
        <v>0</v>
      </c>
      <c r="E496" s="46">
        <v>0</v>
      </c>
      <c r="F496" s="46">
        <v>0</v>
      </c>
      <c r="G496" s="46">
        <v>0</v>
      </c>
      <c r="H496" s="46">
        <v>0</v>
      </c>
      <c r="I496" s="46">
        <v>0</v>
      </c>
      <c r="J496" s="46">
        <v>0</v>
      </c>
      <c r="K496" s="47">
        <v>0</v>
      </c>
    </row>
    <row r="497" spans="1:11" x14ac:dyDescent="0.25">
      <c r="A497" s="42"/>
      <c r="B497" s="42" t="s">
        <v>39</v>
      </c>
      <c r="C497" s="46">
        <v>0</v>
      </c>
      <c r="D497" s="46">
        <v>0</v>
      </c>
      <c r="E497" s="46">
        <v>0</v>
      </c>
      <c r="F497" s="46">
        <v>0</v>
      </c>
      <c r="G497" s="46">
        <v>0</v>
      </c>
      <c r="H497" s="46">
        <v>0</v>
      </c>
      <c r="I497" s="46">
        <v>0</v>
      </c>
      <c r="J497" s="46">
        <v>0</v>
      </c>
      <c r="K497" s="47">
        <v>0</v>
      </c>
    </row>
    <row r="498" spans="1:11" x14ac:dyDescent="0.25">
      <c r="A498" s="42"/>
      <c r="B498" s="42" t="s">
        <v>39</v>
      </c>
      <c r="C498" s="46">
        <v>0</v>
      </c>
      <c r="D498" s="46">
        <v>0</v>
      </c>
      <c r="E498" s="46">
        <v>0</v>
      </c>
      <c r="F498" s="46">
        <v>0</v>
      </c>
      <c r="G498" s="46">
        <v>0</v>
      </c>
      <c r="H498" s="46">
        <v>0</v>
      </c>
      <c r="I498" s="46">
        <v>0</v>
      </c>
      <c r="J498" s="46">
        <v>0</v>
      </c>
      <c r="K498" s="47">
        <v>0</v>
      </c>
    </row>
    <row r="499" spans="1:11" x14ac:dyDescent="0.25">
      <c r="A499" s="42"/>
      <c r="B499" s="42" t="s">
        <v>39</v>
      </c>
      <c r="C499" s="46">
        <v>0</v>
      </c>
      <c r="D499" s="46">
        <v>0</v>
      </c>
      <c r="E499" s="46">
        <v>0</v>
      </c>
      <c r="F499" s="46">
        <v>0</v>
      </c>
      <c r="G499" s="46">
        <v>0</v>
      </c>
      <c r="H499" s="46">
        <v>0</v>
      </c>
      <c r="I499" s="46">
        <v>0</v>
      </c>
      <c r="J499" s="46">
        <v>0</v>
      </c>
      <c r="K499" s="47">
        <v>0</v>
      </c>
    </row>
    <row r="500" spans="1:11" x14ac:dyDescent="0.25">
      <c r="A500" s="42"/>
      <c r="B500" s="42" t="s">
        <v>39</v>
      </c>
      <c r="C500" s="46">
        <v>0</v>
      </c>
      <c r="D500" s="46">
        <v>0</v>
      </c>
      <c r="E500" s="46">
        <v>0</v>
      </c>
      <c r="F500" s="46">
        <v>0</v>
      </c>
      <c r="G500" s="46">
        <v>0</v>
      </c>
      <c r="H500" s="46">
        <v>0</v>
      </c>
      <c r="I500" s="46">
        <v>0</v>
      </c>
      <c r="J500" s="46">
        <v>0</v>
      </c>
      <c r="K500" s="47">
        <v>0</v>
      </c>
    </row>
    <row r="501" spans="1:11" x14ac:dyDescent="0.25">
      <c r="A501" s="42"/>
      <c r="B501" s="42" t="s">
        <v>39</v>
      </c>
      <c r="C501" s="46">
        <v>0</v>
      </c>
      <c r="D501" s="46">
        <v>0</v>
      </c>
      <c r="E501" s="46">
        <v>0</v>
      </c>
      <c r="F501" s="46">
        <v>0</v>
      </c>
      <c r="G501" s="46">
        <v>0</v>
      </c>
      <c r="H501" s="46">
        <v>0</v>
      </c>
      <c r="I501" s="46">
        <v>0</v>
      </c>
      <c r="J501" s="46">
        <v>0</v>
      </c>
      <c r="K501" s="47">
        <v>0</v>
      </c>
    </row>
    <row r="502" spans="1:11" x14ac:dyDescent="0.25">
      <c r="A502" s="42"/>
      <c r="B502" s="42" t="s">
        <v>39</v>
      </c>
      <c r="C502" s="46">
        <v>0</v>
      </c>
      <c r="D502" s="46">
        <v>0</v>
      </c>
      <c r="E502" s="46">
        <v>0</v>
      </c>
      <c r="F502" s="46">
        <v>0</v>
      </c>
      <c r="G502" s="46">
        <v>0</v>
      </c>
      <c r="H502" s="46">
        <v>0</v>
      </c>
      <c r="I502" s="46">
        <v>0</v>
      </c>
      <c r="J502" s="46">
        <v>0</v>
      </c>
      <c r="K502" s="47">
        <v>0</v>
      </c>
    </row>
    <row r="503" spans="1:11" x14ac:dyDescent="0.25">
      <c r="A503" s="42"/>
      <c r="B503" s="42" t="s">
        <v>39</v>
      </c>
      <c r="C503" s="46">
        <v>0</v>
      </c>
      <c r="D503" s="46">
        <v>0</v>
      </c>
      <c r="E503" s="46">
        <v>0</v>
      </c>
      <c r="F503" s="46">
        <v>0</v>
      </c>
      <c r="G503" s="46">
        <v>0</v>
      </c>
      <c r="H503" s="46">
        <v>0</v>
      </c>
      <c r="I503" s="46">
        <v>0</v>
      </c>
      <c r="J503" s="46">
        <v>0</v>
      </c>
      <c r="K503" s="47">
        <v>0</v>
      </c>
    </row>
    <row r="504" spans="1:11" x14ac:dyDescent="0.25">
      <c r="A504" s="42"/>
      <c r="B504" s="42" t="s">
        <v>39</v>
      </c>
      <c r="C504" s="46">
        <v>0</v>
      </c>
      <c r="D504" s="46">
        <v>0</v>
      </c>
      <c r="E504" s="46">
        <v>0</v>
      </c>
      <c r="F504" s="46">
        <v>0</v>
      </c>
      <c r="G504" s="46">
        <v>0</v>
      </c>
      <c r="H504" s="46">
        <v>0</v>
      </c>
      <c r="I504" s="46">
        <v>0</v>
      </c>
      <c r="J504" s="46">
        <v>0</v>
      </c>
      <c r="K504" s="47">
        <v>0</v>
      </c>
    </row>
    <row r="505" spans="1:11" x14ac:dyDescent="0.25">
      <c r="A505" s="42"/>
      <c r="B505" s="42" t="s">
        <v>39</v>
      </c>
      <c r="C505" s="46">
        <v>0</v>
      </c>
      <c r="D505" s="46">
        <v>0</v>
      </c>
      <c r="E505" s="46">
        <v>0</v>
      </c>
      <c r="F505" s="46">
        <v>0</v>
      </c>
      <c r="G505" s="46">
        <v>0</v>
      </c>
      <c r="H505" s="46">
        <v>0</v>
      </c>
      <c r="I505" s="46">
        <v>0</v>
      </c>
      <c r="J505" s="46">
        <v>0</v>
      </c>
      <c r="K505" s="47">
        <v>0</v>
      </c>
    </row>
    <row r="506" spans="1:11" x14ac:dyDescent="0.25">
      <c r="A506" s="42"/>
      <c r="B506" s="42" t="s">
        <v>39</v>
      </c>
      <c r="C506" s="46">
        <v>0</v>
      </c>
      <c r="D506" s="46">
        <v>0</v>
      </c>
      <c r="E506" s="46">
        <v>0</v>
      </c>
      <c r="F506" s="46">
        <v>0</v>
      </c>
      <c r="G506" s="46">
        <v>0</v>
      </c>
      <c r="H506" s="46">
        <v>0</v>
      </c>
      <c r="I506" s="46">
        <v>0</v>
      </c>
      <c r="J506" s="46">
        <v>0</v>
      </c>
      <c r="K506" s="47">
        <v>0</v>
      </c>
    </row>
    <row r="507" spans="1:11" x14ac:dyDescent="0.25">
      <c r="A507" s="42"/>
      <c r="B507" s="42" t="s">
        <v>39</v>
      </c>
      <c r="C507" s="46">
        <v>0</v>
      </c>
      <c r="D507" s="46">
        <v>0</v>
      </c>
      <c r="E507" s="46">
        <v>0</v>
      </c>
      <c r="F507" s="46">
        <v>0</v>
      </c>
      <c r="G507" s="46">
        <v>0</v>
      </c>
      <c r="H507" s="46">
        <v>0</v>
      </c>
      <c r="I507" s="46">
        <v>0</v>
      </c>
      <c r="J507" s="46">
        <v>0</v>
      </c>
      <c r="K507" s="47">
        <v>0</v>
      </c>
    </row>
    <row r="508" spans="1:11" x14ac:dyDescent="0.25">
      <c r="A508" s="42"/>
      <c r="B508" s="42" t="s">
        <v>39</v>
      </c>
      <c r="C508" s="46">
        <v>0</v>
      </c>
      <c r="D508" s="46">
        <v>0</v>
      </c>
      <c r="E508" s="46">
        <v>0</v>
      </c>
      <c r="F508" s="46">
        <v>0</v>
      </c>
      <c r="G508" s="46">
        <v>0</v>
      </c>
      <c r="H508" s="46">
        <v>0</v>
      </c>
      <c r="I508" s="46">
        <v>0</v>
      </c>
      <c r="J508" s="46">
        <v>0</v>
      </c>
      <c r="K508" s="47">
        <v>0</v>
      </c>
    </row>
    <row r="509" spans="1:11" x14ac:dyDescent="0.25">
      <c r="A509" s="42"/>
      <c r="B509" s="42" t="s">
        <v>39</v>
      </c>
      <c r="C509" s="46">
        <v>0</v>
      </c>
      <c r="D509" s="46">
        <v>0</v>
      </c>
      <c r="E509" s="46">
        <v>0</v>
      </c>
      <c r="F509" s="46">
        <v>0</v>
      </c>
      <c r="G509" s="46">
        <v>0</v>
      </c>
      <c r="H509" s="46">
        <v>0</v>
      </c>
      <c r="I509" s="46">
        <v>0</v>
      </c>
      <c r="J509" s="46">
        <v>0</v>
      </c>
      <c r="K509" s="47">
        <v>0</v>
      </c>
    </row>
    <row r="510" spans="1:11" x14ac:dyDescent="0.25">
      <c r="A510" s="42"/>
      <c r="B510" s="42" t="s">
        <v>39</v>
      </c>
      <c r="C510" s="46">
        <v>0</v>
      </c>
      <c r="D510" s="46">
        <v>0</v>
      </c>
      <c r="E510" s="46">
        <v>0</v>
      </c>
      <c r="F510" s="46">
        <v>0</v>
      </c>
      <c r="G510" s="46">
        <v>0</v>
      </c>
      <c r="H510" s="46">
        <v>0</v>
      </c>
      <c r="I510" s="46">
        <v>0</v>
      </c>
      <c r="J510" s="46">
        <v>0</v>
      </c>
      <c r="K510" s="47">
        <v>0</v>
      </c>
    </row>
    <row r="511" spans="1:11" x14ac:dyDescent="0.25">
      <c r="A511" s="42"/>
      <c r="B511" s="42" t="s">
        <v>39</v>
      </c>
      <c r="C511" s="46">
        <v>0</v>
      </c>
      <c r="D511" s="46">
        <v>0</v>
      </c>
      <c r="E511" s="46">
        <v>0</v>
      </c>
      <c r="F511" s="46">
        <v>0</v>
      </c>
      <c r="G511" s="46">
        <v>0</v>
      </c>
      <c r="H511" s="46">
        <v>0</v>
      </c>
      <c r="I511" s="46">
        <v>0</v>
      </c>
      <c r="J511" s="46">
        <v>0</v>
      </c>
      <c r="K511" s="47">
        <v>0</v>
      </c>
    </row>
    <row r="512" spans="1:11" x14ac:dyDescent="0.25">
      <c r="A512" s="42"/>
      <c r="B512" s="42" t="s">
        <v>39</v>
      </c>
      <c r="C512" s="46">
        <v>0</v>
      </c>
      <c r="D512" s="46">
        <v>0</v>
      </c>
      <c r="E512" s="46">
        <v>0</v>
      </c>
      <c r="F512" s="46">
        <v>0</v>
      </c>
      <c r="G512" s="46">
        <v>0</v>
      </c>
      <c r="H512" s="46">
        <v>0</v>
      </c>
      <c r="I512" s="46">
        <v>0</v>
      </c>
      <c r="J512" s="46">
        <v>0</v>
      </c>
      <c r="K512" s="47">
        <v>0</v>
      </c>
    </row>
    <row r="513" spans="1:11" x14ac:dyDescent="0.25">
      <c r="A513" s="42"/>
      <c r="B513" s="42" t="s">
        <v>39</v>
      </c>
      <c r="C513" s="46">
        <v>0</v>
      </c>
      <c r="D513" s="46">
        <v>0</v>
      </c>
      <c r="E513" s="46">
        <v>0</v>
      </c>
      <c r="F513" s="46">
        <v>0</v>
      </c>
      <c r="G513" s="46">
        <v>0</v>
      </c>
      <c r="H513" s="46">
        <v>0</v>
      </c>
      <c r="I513" s="46">
        <v>0</v>
      </c>
      <c r="J513" s="46">
        <v>0</v>
      </c>
      <c r="K513" s="47">
        <v>0</v>
      </c>
    </row>
    <row r="514" spans="1:11" x14ac:dyDescent="0.25">
      <c r="A514" s="42"/>
      <c r="B514" s="42" t="s">
        <v>39</v>
      </c>
      <c r="C514" s="46">
        <v>0</v>
      </c>
      <c r="D514" s="46">
        <v>0</v>
      </c>
      <c r="E514" s="46">
        <v>0</v>
      </c>
      <c r="F514" s="46">
        <v>0</v>
      </c>
      <c r="G514" s="46">
        <v>0</v>
      </c>
      <c r="H514" s="46">
        <v>0</v>
      </c>
      <c r="I514" s="46">
        <v>0</v>
      </c>
      <c r="J514" s="46">
        <v>0</v>
      </c>
      <c r="K514" s="47">
        <v>0</v>
      </c>
    </row>
    <row r="515" spans="1:11" x14ac:dyDescent="0.25">
      <c r="A515" s="42"/>
      <c r="B515" s="42" t="s">
        <v>39</v>
      </c>
      <c r="C515" s="46">
        <v>0</v>
      </c>
      <c r="D515" s="46">
        <v>0</v>
      </c>
      <c r="E515" s="46">
        <v>0</v>
      </c>
      <c r="F515" s="46">
        <v>0</v>
      </c>
      <c r="G515" s="46">
        <v>0</v>
      </c>
      <c r="H515" s="46">
        <v>0</v>
      </c>
      <c r="I515" s="46">
        <v>0</v>
      </c>
      <c r="J515" s="46">
        <v>0</v>
      </c>
      <c r="K515" s="47">
        <v>0</v>
      </c>
    </row>
    <row r="516" spans="1:11" x14ac:dyDescent="0.25">
      <c r="A516" s="42"/>
      <c r="B516" s="42" t="s">
        <v>39</v>
      </c>
      <c r="C516" s="46">
        <v>0</v>
      </c>
      <c r="D516" s="46">
        <v>0</v>
      </c>
      <c r="E516" s="46">
        <v>0</v>
      </c>
      <c r="F516" s="46">
        <v>0</v>
      </c>
      <c r="G516" s="46">
        <v>0</v>
      </c>
      <c r="H516" s="46">
        <v>0</v>
      </c>
      <c r="I516" s="46">
        <v>0</v>
      </c>
      <c r="J516" s="46">
        <v>0</v>
      </c>
      <c r="K516" s="47">
        <v>0</v>
      </c>
    </row>
    <row r="517" spans="1:11" x14ac:dyDescent="0.25">
      <c r="A517" s="42"/>
      <c r="B517" s="42" t="s">
        <v>39</v>
      </c>
      <c r="C517" s="46">
        <v>0</v>
      </c>
      <c r="D517" s="46">
        <v>0</v>
      </c>
      <c r="E517" s="46">
        <v>0</v>
      </c>
      <c r="F517" s="46">
        <v>0</v>
      </c>
      <c r="G517" s="46">
        <v>0</v>
      </c>
      <c r="H517" s="46">
        <v>0</v>
      </c>
      <c r="I517" s="46">
        <v>0</v>
      </c>
      <c r="J517" s="46">
        <v>0</v>
      </c>
      <c r="K517" s="47">
        <v>0</v>
      </c>
    </row>
    <row r="518" spans="1:11" x14ac:dyDescent="0.25">
      <c r="A518" s="42"/>
      <c r="B518" s="42" t="s">
        <v>39</v>
      </c>
      <c r="C518" s="46">
        <v>0</v>
      </c>
      <c r="D518" s="46">
        <v>0</v>
      </c>
      <c r="E518" s="46">
        <v>0</v>
      </c>
      <c r="F518" s="46">
        <v>0</v>
      </c>
      <c r="G518" s="46">
        <v>0</v>
      </c>
      <c r="H518" s="46">
        <v>0</v>
      </c>
      <c r="I518" s="46">
        <v>0</v>
      </c>
      <c r="J518" s="46">
        <v>0</v>
      </c>
      <c r="K518" s="47">
        <v>0</v>
      </c>
    </row>
    <row r="519" spans="1:11" x14ac:dyDescent="0.25">
      <c r="A519" s="42"/>
      <c r="B519" s="42" t="s">
        <v>39</v>
      </c>
      <c r="C519" s="46">
        <v>0</v>
      </c>
      <c r="D519" s="46">
        <v>0</v>
      </c>
      <c r="E519" s="46">
        <v>0</v>
      </c>
      <c r="F519" s="46">
        <v>0</v>
      </c>
      <c r="G519" s="46">
        <v>0</v>
      </c>
      <c r="H519" s="46">
        <v>0</v>
      </c>
      <c r="I519" s="46">
        <v>0</v>
      </c>
      <c r="J519" s="46">
        <v>0</v>
      </c>
      <c r="K519" s="47">
        <v>0</v>
      </c>
    </row>
    <row r="520" spans="1:11" x14ac:dyDescent="0.25">
      <c r="A520" s="42"/>
      <c r="B520" s="42" t="s">
        <v>39</v>
      </c>
      <c r="C520" s="46">
        <v>0</v>
      </c>
      <c r="D520" s="46">
        <v>0</v>
      </c>
      <c r="E520" s="46">
        <v>0</v>
      </c>
      <c r="F520" s="46">
        <v>0</v>
      </c>
      <c r="G520" s="46">
        <v>0</v>
      </c>
      <c r="H520" s="46">
        <v>0</v>
      </c>
      <c r="I520" s="46">
        <v>0</v>
      </c>
      <c r="J520" s="46">
        <v>0</v>
      </c>
      <c r="K520" s="47">
        <v>0</v>
      </c>
    </row>
    <row r="521" spans="1:11" x14ac:dyDescent="0.25">
      <c r="A521" s="42"/>
      <c r="B521" s="42" t="s">
        <v>39</v>
      </c>
      <c r="C521" s="46">
        <v>0</v>
      </c>
      <c r="D521" s="46">
        <v>0</v>
      </c>
      <c r="E521" s="46">
        <v>0</v>
      </c>
      <c r="F521" s="46">
        <v>0</v>
      </c>
      <c r="G521" s="46">
        <v>0</v>
      </c>
      <c r="H521" s="46">
        <v>0</v>
      </c>
      <c r="I521" s="46">
        <v>0</v>
      </c>
      <c r="J521" s="46">
        <v>0</v>
      </c>
      <c r="K521" s="47">
        <v>0</v>
      </c>
    </row>
    <row r="522" spans="1:11" x14ac:dyDescent="0.25">
      <c r="A522" s="42"/>
      <c r="B522" s="42" t="s">
        <v>39</v>
      </c>
      <c r="C522" s="46">
        <v>0</v>
      </c>
      <c r="D522" s="46">
        <v>0</v>
      </c>
      <c r="E522" s="46">
        <v>0</v>
      </c>
      <c r="F522" s="46">
        <v>0</v>
      </c>
      <c r="G522" s="46">
        <v>0</v>
      </c>
      <c r="H522" s="46">
        <v>0</v>
      </c>
      <c r="I522" s="46">
        <v>0</v>
      </c>
      <c r="J522" s="46">
        <v>0</v>
      </c>
      <c r="K522" s="47">
        <v>0</v>
      </c>
    </row>
    <row r="523" spans="1:11" x14ac:dyDescent="0.25">
      <c r="A523" s="42"/>
      <c r="B523" s="42" t="s">
        <v>39</v>
      </c>
      <c r="C523" s="46">
        <v>0</v>
      </c>
      <c r="D523" s="46">
        <v>0</v>
      </c>
      <c r="E523" s="46">
        <v>0</v>
      </c>
      <c r="F523" s="46">
        <v>0</v>
      </c>
      <c r="G523" s="46">
        <v>0</v>
      </c>
      <c r="H523" s="46">
        <v>0</v>
      </c>
      <c r="I523" s="46">
        <v>0</v>
      </c>
      <c r="J523" s="46">
        <v>0</v>
      </c>
      <c r="K523" s="47">
        <v>0</v>
      </c>
    </row>
    <row r="524" spans="1:11" x14ac:dyDescent="0.25">
      <c r="A524" s="42"/>
      <c r="B524" s="42" t="s">
        <v>39</v>
      </c>
      <c r="C524" s="46">
        <v>0</v>
      </c>
      <c r="D524" s="46">
        <v>0</v>
      </c>
      <c r="E524" s="46">
        <v>0</v>
      </c>
      <c r="F524" s="46">
        <v>0</v>
      </c>
      <c r="G524" s="46">
        <v>0</v>
      </c>
      <c r="H524" s="46">
        <v>0</v>
      </c>
      <c r="I524" s="46">
        <v>0</v>
      </c>
      <c r="J524" s="46">
        <v>0</v>
      </c>
      <c r="K524" s="47">
        <v>0</v>
      </c>
    </row>
    <row r="525" spans="1:11" x14ac:dyDescent="0.25">
      <c r="A525" s="42"/>
      <c r="B525" s="42" t="s">
        <v>39</v>
      </c>
      <c r="C525" s="46">
        <v>0</v>
      </c>
      <c r="D525" s="46">
        <v>0</v>
      </c>
      <c r="E525" s="46">
        <v>0</v>
      </c>
      <c r="F525" s="46">
        <v>0</v>
      </c>
      <c r="G525" s="46">
        <v>0</v>
      </c>
      <c r="H525" s="46">
        <v>0</v>
      </c>
      <c r="I525" s="46">
        <v>0</v>
      </c>
      <c r="J525" s="46">
        <v>0</v>
      </c>
      <c r="K525" s="47">
        <v>0</v>
      </c>
    </row>
    <row r="526" spans="1:11" x14ac:dyDescent="0.25">
      <c r="A526" s="42"/>
      <c r="B526" s="42" t="s">
        <v>39</v>
      </c>
      <c r="C526" s="46">
        <v>0</v>
      </c>
      <c r="D526" s="46">
        <v>0</v>
      </c>
      <c r="E526" s="46">
        <v>0</v>
      </c>
      <c r="F526" s="46">
        <v>0</v>
      </c>
      <c r="G526" s="46">
        <v>0</v>
      </c>
      <c r="H526" s="46">
        <v>0</v>
      </c>
      <c r="I526" s="46">
        <v>0</v>
      </c>
      <c r="J526" s="46">
        <v>0</v>
      </c>
      <c r="K526" s="47">
        <v>0</v>
      </c>
    </row>
    <row r="527" spans="1:11" x14ac:dyDescent="0.25">
      <c r="A527" s="42"/>
      <c r="B527" s="42" t="s">
        <v>39</v>
      </c>
      <c r="C527" s="46">
        <v>0</v>
      </c>
      <c r="D527" s="46">
        <v>0</v>
      </c>
      <c r="E527" s="46">
        <v>0</v>
      </c>
      <c r="F527" s="46">
        <v>0</v>
      </c>
      <c r="G527" s="46">
        <v>0</v>
      </c>
      <c r="H527" s="46">
        <v>0</v>
      </c>
      <c r="I527" s="46">
        <v>0</v>
      </c>
      <c r="J527" s="46">
        <v>0</v>
      </c>
      <c r="K527" s="47">
        <v>0</v>
      </c>
    </row>
    <row r="528" spans="1:11" x14ac:dyDescent="0.25">
      <c r="A528" s="42"/>
      <c r="B528" s="42" t="s">
        <v>39</v>
      </c>
      <c r="C528" s="46">
        <v>0</v>
      </c>
      <c r="D528" s="46">
        <v>0</v>
      </c>
      <c r="E528" s="46">
        <v>0</v>
      </c>
      <c r="F528" s="46">
        <v>0</v>
      </c>
      <c r="G528" s="46">
        <v>0</v>
      </c>
      <c r="H528" s="46">
        <v>0</v>
      </c>
      <c r="I528" s="46">
        <v>0</v>
      </c>
      <c r="J528" s="46">
        <v>0</v>
      </c>
      <c r="K528" s="47">
        <v>0</v>
      </c>
    </row>
    <row r="529" spans="1:11" x14ac:dyDescent="0.25">
      <c r="A529" s="42"/>
      <c r="B529" s="42" t="s">
        <v>39</v>
      </c>
      <c r="C529" s="46">
        <v>0</v>
      </c>
      <c r="D529" s="46">
        <v>0</v>
      </c>
      <c r="E529" s="46">
        <v>0</v>
      </c>
      <c r="F529" s="46">
        <v>0</v>
      </c>
      <c r="G529" s="46">
        <v>0</v>
      </c>
      <c r="H529" s="46">
        <v>0</v>
      </c>
      <c r="I529" s="46">
        <v>0</v>
      </c>
      <c r="J529" s="46">
        <v>0</v>
      </c>
      <c r="K529" s="47">
        <v>0</v>
      </c>
    </row>
    <row r="530" spans="1:11" x14ac:dyDescent="0.25">
      <c r="A530" s="42"/>
      <c r="B530" s="42" t="s">
        <v>39</v>
      </c>
      <c r="C530" s="46">
        <v>0</v>
      </c>
      <c r="D530" s="46">
        <v>0</v>
      </c>
      <c r="E530" s="46">
        <v>0</v>
      </c>
      <c r="F530" s="46">
        <v>0</v>
      </c>
      <c r="G530" s="46">
        <v>0</v>
      </c>
      <c r="H530" s="46">
        <v>0</v>
      </c>
      <c r="I530" s="46">
        <v>0</v>
      </c>
      <c r="J530" s="46">
        <v>0</v>
      </c>
      <c r="K530" s="47">
        <v>0</v>
      </c>
    </row>
    <row r="531" spans="1:11" x14ac:dyDescent="0.25">
      <c r="A531" s="42"/>
      <c r="B531" s="42" t="s">
        <v>39</v>
      </c>
      <c r="C531" s="46">
        <v>0</v>
      </c>
      <c r="D531" s="46">
        <v>0</v>
      </c>
      <c r="E531" s="46">
        <v>0</v>
      </c>
      <c r="F531" s="46">
        <v>0</v>
      </c>
      <c r="G531" s="46">
        <v>0</v>
      </c>
      <c r="H531" s="46">
        <v>0</v>
      </c>
      <c r="I531" s="46">
        <v>0</v>
      </c>
      <c r="J531" s="46">
        <v>0</v>
      </c>
      <c r="K531" s="47">
        <v>0</v>
      </c>
    </row>
    <row r="532" spans="1:11" x14ac:dyDescent="0.25">
      <c r="A532" s="42"/>
      <c r="B532" s="42" t="s">
        <v>39</v>
      </c>
      <c r="C532" s="46">
        <v>0</v>
      </c>
      <c r="D532" s="46">
        <v>0</v>
      </c>
      <c r="E532" s="46">
        <v>0</v>
      </c>
      <c r="F532" s="46">
        <v>0</v>
      </c>
      <c r="G532" s="46">
        <v>0</v>
      </c>
      <c r="H532" s="46">
        <v>0</v>
      </c>
      <c r="I532" s="46">
        <v>0</v>
      </c>
      <c r="J532" s="46">
        <v>0</v>
      </c>
      <c r="K532" s="47">
        <v>0</v>
      </c>
    </row>
    <row r="533" spans="1:11" x14ac:dyDescent="0.25">
      <c r="A533" s="42"/>
      <c r="B533" s="42" t="s">
        <v>39</v>
      </c>
      <c r="C533" s="46">
        <v>0</v>
      </c>
      <c r="D533" s="46">
        <v>0</v>
      </c>
      <c r="E533" s="46">
        <v>0</v>
      </c>
      <c r="F533" s="46">
        <v>0</v>
      </c>
      <c r="G533" s="46">
        <v>0</v>
      </c>
      <c r="H533" s="46">
        <v>0</v>
      </c>
      <c r="I533" s="46">
        <v>0</v>
      </c>
      <c r="J533" s="46">
        <v>0</v>
      </c>
      <c r="K533" s="47">
        <v>0</v>
      </c>
    </row>
    <row r="534" spans="1:11" x14ac:dyDescent="0.25">
      <c r="A534" s="42"/>
      <c r="B534" s="42" t="s">
        <v>39</v>
      </c>
      <c r="C534" s="46">
        <v>0</v>
      </c>
      <c r="D534" s="46">
        <v>0</v>
      </c>
      <c r="E534" s="46">
        <v>0</v>
      </c>
      <c r="F534" s="46">
        <v>0</v>
      </c>
      <c r="G534" s="46">
        <v>0</v>
      </c>
      <c r="H534" s="46">
        <v>0</v>
      </c>
      <c r="I534" s="46">
        <v>0</v>
      </c>
      <c r="J534" s="46">
        <v>0</v>
      </c>
      <c r="K534" s="47">
        <v>0</v>
      </c>
    </row>
    <row r="535" spans="1:11" x14ac:dyDescent="0.25">
      <c r="A535" s="42"/>
      <c r="B535" s="42" t="s">
        <v>39</v>
      </c>
      <c r="C535" s="46">
        <v>0</v>
      </c>
      <c r="D535" s="46">
        <v>0</v>
      </c>
      <c r="E535" s="46">
        <v>0</v>
      </c>
      <c r="F535" s="46">
        <v>0</v>
      </c>
      <c r="G535" s="46">
        <v>0</v>
      </c>
      <c r="H535" s="46">
        <v>0</v>
      </c>
      <c r="I535" s="46">
        <v>0</v>
      </c>
      <c r="J535" s="46">
        <v>0</v>
      </c>
      <c r="K535" s="47">
        <v>0</v>
      </c>
    </row>
    <row r="536" spans="1:11" x14ac:dyDescent="0.25">
      <c r="A536" s="42"/>
      <c r="B536" s="42" t="s">
        <v>39</v>
      </c>
      <c r="C536" s="46">
        <v>0</v>
      </c>
      <c r="D536" s="46">
        <v>0</v>
      </c>
      <c r="E536" s="46">
        <v>0</v>
      </c>
      <c r="F536" s="46">
        <v>0</v>
      </c>
      <c r="G536" s="46">
        <v>0</v>
      </c>
      <c r="H536" s="46">
        <v>0</v>
      </c>
      <c r="I536" s="46">
        <v>0</v>
      </c>
      <c r="J536" s="46">
        <v>0</v>
      </c>
      <c r="K536" s="47">
        <v>0</v>
      </c>
    </row>
    <row r="537" spans="1:11" x14ac:dyDescent="0.25">
      <c r="A537" s="42"/>
      <c r="B537" s="42" t="s">
        <v>39</v>
      </c>
      <c r="C537" s="46">
        <v>0</v>
      </c>
      <c r="D537" s="46">
        <v>0</v>
      </c>
      <c r="E537" s="46">
        <v>0</v>
      </c>
      <c r="F537" s="46">
        <v>0</v>
      </c>
      <c r="G537" s="46">
        <v>0</v>
      </c>
      <c r="H537" s="46">
        <v>0</v>
      </c>
      <c r="I537" s="46">
        <v>0</v>
      </c>
      <c r="J537" s="46">
        <v>0</v>
      </c>
      <c r="K537" s="47">
        <v>0</v>
      </c>
    </row>
    <row r="538" spans="1:11" x14ac:dyDescent="0.25">
      <c r="A538" s="42"/>
      <c r="B538" s="42" t="s">
        <v>39</v>
      </c>
      <c r="C538" s="46">
        <v>0</v>
      </c>
      <c r="D538" s="46">
        <v>0</v>
      </c>
      <c r="E538" s="46">
        <v>0</v>
      </c>
      <c r="F538" s="46">
        <v>0</v>
      </c>
      <c r="G538" s="46">
        <v>0</v>
      </c>
      <c r="H538" s="46">
        <v>0</v>
      </c>
      <c r="I538" s="46">
        <v>0</v>
      </c>
      <c r="J538" s="46">
        <v>0</v>
      </c>
      <c r="K538" s="47">
        <v>0</v>
      </c>
    </row>
    <row r="539" spans="1:11" x14ac:dyDescent="0.25">
      <c r="A539" s="42"/>
      <c r="B539" s="42" t="s">
        <v>39</v>
      </c>
      <c r="C539" s="46">
        <v>0</v>
      </c>
      <c r="D539" s="46">
        <v>0</v>
      </c>
      <c r="E539" s="46">
        <v>0</v>
      </c>
      <c r="F539" s="46">
        <v>0</v>
      </c>
      <c r="G539" s="46">
        <v>0</v>
      </c>
      <c r="H539" s="46">
        <v>0</v>
      </c>
      <c r="I539" s="46">
        <v>0</v>
      </c>
      <c r="J539" s="46">
        <v>0</v>
      </c>
      <c r="K539" s="47">
        <v>0</v>
      </c>
    </row>
    <row r="540" spans="1:11" x14ac:dyDescent="0.25">
      <c r="A540" s="42"/>
      <c r="B540" s="42" t="s">
        <v>39</v>
      </c>
      <c r="C540" s="46">
        <v>0</v>
      </c>
      <c r="D540" s="46">
        <v>0</v>
      </c>
      <c r="E540" s="46">
        <v>0</v>
      </c>
      <c r="F540" s="46">
        <v>0</v>
      </c>
      <c r="G540" s="46">
        <v>0</v>
      </c>
      <c r="H540" s="46">
        <v>0</v>
      </c>
      <c r="I540" s="46">
        <v>0</v>
      </c>
      <c r="J540" s="46">
        <v>0</v>
      </c>
      <c r="K540" s="47">
        <v>0</v>
      </c>
    </row>
    <row r="541" spans="1:11" x14ac:dyDescent="0.25">
      <c r="A541" s="42"/>
      <c r="B541" s="42" t="s">
        <v>39</v>
      </c>
      <c r="C541" s="46">
        <v>0</v>
      </c>
      <c r="D541" s="46">
        <v>0</v>
      </c>
      <c r="E541" s="46">
        <v>0</v>
      </c>
      <c r="F541" s="46">
        <v>0</v>
      </c>
      <c r="G541" s="46">
        <v>0</v>
      </c>
      <c r="H541" s="46">
        <v>0</v>
      </c>
      <c r="I541" s="46">
        <v>0</v>
      </c>
      <c r="J541" s="46">
        <v>0</v>
      </c>
      <c r="K541" s="47">
        <v>0</v>
      </c>
    </row>
    <row r="542" spans="1:11" x14ac:dyDescent="0.25">
      <c r="A542" s="42"/>
      <c r="B542" s="42" t="s">
        <v>39</v>
      </c>
      <c r="C542" s="46">
        <v>0</v>
      </c>
      <c r="D542" s="46">
        <v>0</v>
      </c>
      <c r="E542" s="46">
        <v>0</v>
      </c>
      <c r="F542" s="46">
        <v>0</v>
      </c>
      <c r="G542" s="46">
        <v>0</v>
      </c>
      <c r="H542" s="46">
        <v>0</v>
      </c>
      <c r="I542" s="46">
        <v>0</v>
      </c>
      <c r="J542" s="46">
        <v>0</v>
      </c>
      <c r="K542" s="47">
        <v>0</v>
      </c>
    </row>
    <row r="543" spans="1:11" x14ac:dyDescent="0.25">
      <c r="A543" s="42"/>
      <c r="B543" s="42" t="s">
        <v>39</v>
      </c>
      <c r="C543" s="46">
        <v>0</v>
      </c>
      <c r="D543" s="46">
        <v>0</v>
      </c>
      <c r="E543" s="46">
        <v>0</v>
      </c>
      <c r="F543" s="46">
        <v>0</v>
      </c>
      <c r="G543" s="46">
        <v>0</v>
      </c>
      <c r="H543" s="46">
        <v>0</v>
      </c>
      <c r="I543" s="46">
        <v>0</v>
      </c>
      <c r="J543" s="46">
        <v>0</v>
      </c>
      <c r="K543" s="47">
        <v>0</v>
      </c>
    </row>
    <row r="544" spans="1:11" x14ac:dyDescent="0.25">
      <c r="A544" s="42"/>
      <c r="B544" s="42" t="s">
        <v>39</v>
      </c>
      <c r="C544" s="46">
        <v>0</v>
      </c>
      <c r="D544" s="46">
        <v>0</v>
      </c>
      <c r="E544" s="46">
        <v>0</v>
      </c>
      <c r="F544" s="46">
        <v>0</v>
      </c>
      <c r="G544" s="46">
        <v>0</v>
      </c>
      <c r="H544" s="46">
        <v>0</v>
      </c>
      <c r="I544" s="46">
        <v>0</v>
      </c>
      <c r="J544" s="46">
        <v>0</v>
      </c>
      <c r="K544" s="47">
        <v>0</v>
      </c>
    </row>
    <row r="545" spans="1:11" x14ac:dyDescent="0.25">
      <c r="A545" s="42"/>
      <c r="B545" s="42" t="s">
        <v>39</v>
      </c>
      <c r="C545" s="46">
        <v>0</v>
      </c>
      <c r="D545" s="46">
        <v>0</v>
      </c>
      <c r="E545" s="46">
        <v>0</v>
      </c>
      <c r="F545" s="46">
        <v>0</v>
      </c>
      <c r="G545" s="46">
        <v>0</v>
      </c>
      <c r="H545" s="46">
        <v>0</v>
      </c>
      <c r="I545" s="46">
        <v>0</v>
      </c>
      <c r="J545" s="46">
        <v>0</v>
      </c>
      <c r="K545" s="47">
        <v>0</v>
      </c>
    </row>
    <row r="546" spans="1:11" x14ac:dyDescent="0.25">
      <c r="A546" s="42"/>
      <c r="B546" s="42" t="s">
        <v>39</v>
      </c>
      <c r="C546" s="46">
        <v>0</v>
      </c>
      <c r="D546" s="46">
        <v>0</v>
      </c>
      <c r="E546" s="46">
        <v>0</v>
      </c>
      <c r="F546" s="46">
        <v>0</v>
      </c>
      <c r="G546" s="46">
        <v>0</v>
      </c>
      <c r="H546" s="46">
        <v>0</v>
      </c>
      <c r="I546" s="46">
        <v>0</v>
      </c>
      <c r="J546" s="46">
        <v>0</v>
      </c>
      <c r="K546" s="47">
        <v>0</v>
      </c>
    </row>
    <row r="547" spans="1:11" x14ac:dyDescent="0.25">
      <c r="A547" s="42"/>
      <c r="B547" s="42" t="s">
        <v>39</v>
      </c>
      <c r="C547" s="46">
        <v>0</v>
      </c>
      <c r="D547" s="46">
        <v>0</v>
      </c>
      <c r="E547" s="46">
        <v>0</v>
      </c>
      <c r="F547" s="46">
        <v>0</v>
      </c>
      <c r="G547" s="46">
        <v>0</v>
      </c>
      <c r="H547" s="46">
        <v>0</v>
      </c>
      <c r="I547" s="46">
        <v>0</v>
      </c>
      <c r="J547" s="46">
        <v>0</v>
      </c>
      <c r="K547" s="47">
        <v>0</v>
      </c>
    </row>
    <row r="548" spans="1:11" x14ac:dyDescent="0.25">
      <c r="A548" s="42"/>
      <c r="B548" s="42" t="s">
        <v>39</v>
      </c>
      <c r="C548" s="46">
        <v>0</v>
      </c>
      <c r="D548" s="46">
        <v>0</v>
      </c>
      <c r="E548" s="46">
        <v>0</v>
      </c>
      <c r="F548" s="46">
        <v>0</v>
      </c>
      <c r="G548" s="46">
        <v>0</v>
      </c>
      <c r="H548" s="46">
        <v>0</v>
      </c>
      <c r="I548" s="46">
        <v>0</v>
      </c>
      <c r="J548" s="46">
        <v>0</v>
      </c>
      <c r="K548" s="47">
        <v>0</v>
      </c>
    </row>
    <row r="549" spans="1:11" x14ac:dyDescent="0.25">
      <c r="A549" s="42"/>
      <c r="B549" s="42" t="s">
        <v>39</v>
      </c>
      <c r="C549" s="46">
        <v>0</v>
      </c>
      <c r="D549" s="46">
        <v>0</v>
      </c>
      <c r="E549" s="46">
        <v>0</v>
      </c>
      <c r="F549" s="46">
        <v>0</v>
      </c>
      <c r="G549" s="46">
        <v>0</v>
      </c>
      <c r="H549" s="46">
        <v>0</v>
      </c>
      <c r="I549" s="46">
        <v>0</v>
      </c>
      <c r="J549" s="46">
        <v>0</v>
      </c>
      <c r="K549" s="47">
        <v>0</v>
      </c>
    </row>
    <row r="550" spans="1:11" x14ac:dyDescent="0.25">
      <c r="A550" s="42"/>
      <c r="B550" s="42" t="s">
        <v>39</v>
      </c>
      <c r="C550" s="46">
        <v>0</v>
      </c>
      <c r="D550" s="46">
        <v>0</v>
      </c>
      <c r="E550" s="46">
        <v>0</v>
      </c>
      <c r="F550" s="46">
        <v>0</v>
      </c>
      <c r="G550" s="46">
        <v>0</v>
      </c>
      <c r="H550" s="46">
        <v>0</v>
      </c>
      <c r="I550" s="46">
        <v>0</v>
      </c>
      <c r="J550" s="46">
        <v>0</v>
      </c>
      <c r="K550" s="47">
        <v>0</v>
      </c>
    </row>
    <row r="551" spans="1:11" x14ac:dyDescent="0.25">
      <c r="A551" s="42"/>
      <c r="B551" s="42" t="s">
        <v>39</v>
      </c>
      <c r="C551" s="46">
        <v>0</v>
      </c>
      <c r="D551" s="46">
        <v>0</v>
      </c>
      <c r="E551" s="46">
        <v>0</v>
      </c>
      <c r="F551" s="46">
        <v>0</v>
      </c>
      <c r="G551" s="46">
        <v>0</v>
      </c>
      <c r="H551" s="46">
        <v>0</v>
      </c>
      <c r="I551" s="46">
        <v>0</v>
      </c>
      <c r="J551" s="46">
        <v>0</v>
      </c>
      <c r="K551" s="47">
        <v>0</v>
      </c>
    </row>
    <row r="552" spans="1:11" x14ac:dyDescent="0.25">
      <c r="A552" s="42"/>
      <c r="B552" s="42" t="s">
        <v>39</v>
      </c>
      <c r="C552" s="46">
        <v>0</v>
      </c>
      <c r="D552" s="46">
        <v>0</v>
      </c>
      <c r="E552" s="46">
        <v>0</v>
      </c>
      <c r="F552" s="46">
        <v>0</v>
      </c>
      <c r="G552" s="46">
        <v>0</v>
      </c>
      <c r="H552" s="46">
        <v>0</v>
      </c>
      <c r="I552" s="46">
        <v>0</v>
      </c>
      <c r="J552" s="46">
        <v>0</v>
      </c>
      <c r="K552" s="47">
        <v>0</v>
      </c>
    </row>
    <row r="553" spans="1:11" x14ac:dyDescent="0.25">
      <c r="A553" s="42"/>
      <c r="B553" s="42" t="s">
        <v>39</v>
      </c>
      <c r="C553" s="46">
        <v>0</v>
      </c>
      <c r="D553" s="46">
        <v>0</v>
      </c>
      <c r="E553" s="46">
        <v>0</v>
      </c>
      <c r="F553" s="46">
        <v>0</v>
      </c>
      <c r="G553" s="46">
        <v>0</v>
      </c>
      <c r="H553" s="46">
        <v>0</v>
      </c>
      <c r="I553" s="46">
        <v>0</v>
      </c>
      <c r="J553" s="46">
        <v>0</v>
      </c>
      <c r="K553" s="47">
        <v>0</v>
      </c>
    </row>
    <row r="554" spans="1:11" x14ac:dyDescent="0.25">
      <c r="A554" s="42"/>
      <c r="B554" s="42" t="s">
        <v>39</v>
      </c>
      <c r="C554" s="46">
        <v>0</v>
      </c>
      <c r="D554" s="46">
        <v>0</v>
      </c>
      <c r="E554" s="46">
        <v>0</v>
      </c>
      <c r="F554" s="46">
        <v>0</v>
      </c>
      <c r="G554" s="46">
        <v>0</v>
      </c>
      <c r="H554" s="46">
        <v>0</v>
      </c>
      <c r="I554" s="46">
        <v>0</v>
      </c>
      <c r="J554" s="46">
        <v>0</v>
      </c>
      <c r="K554" s="47">
        <v>0</v>
      </c>
    </row>
    <row r="555" spans="1:11" x14ac:dyDescent="0.25">
      <c r="A555" s="42"/>
      <c r="B555" s="42" t="s">
        <v>39</v>
      </c>
      <c r="C555" s="46">
        <v>0</v>
      </c>
      <c r="D555" s="46">
        <v>0</v>
      </c>
      <c r="E555" s="46">
        <v>0</v>
      </c>
      <c r="F555" s="46">
        <v>0</v>
      </c>
      <c r="G555" s="46">
        <v>0</v>
      </c>
      <c r="H555" s="46">
        <v>0</v>
      </c>
      <c r="I555" s="46">
        <v>0</v>
      </c>
      <c r="J555" s="46">
        <v>0</v>
      </c>
      <c r="K555" s="47">
        <v>0</v>
      </c>
    </row>
    <row r="556" spans="1:11" x14ac:dyDescent="0.25">
      <c r="A556" s="42"/>
      <c r="B556" s="42" t="s">
        <v>39</v>
      </c>
      <c r="C556" s="46">
        <v>0</v>
      </c>
      <c r="D556" s="46">
        <v>0</v>
      </c>
      <c r="E556" s="46">
        <v>0</v>
      </c>
      <c r="F556" s="46">
        <v>0</v>
      </c>
      <c r="G556" s="46">
        <v>0</v>
      </c>
      <c r="H556" s="46">
        <v>0</v>
      </c>
      <c r="I556" s="46">
        <v>0</v>
      </c>
      <c r="J556" s="46">
        <v>0</v>
      </c>
      <c r="K556" s="47">
        <v>0</v>
      </c>
    </row>
    <row r="557" spans="1:11" x14ac:dyDescent="0.25">
      <c r="A557" s="42"/>
      <c r="B557" s="42" t="s">
        <v>39</v>
      </c>
      <c r="C557" s="46">
        <v>0</v>
      </c>
      <c r="D557" s="46">
        <v>0</v>
      </c>
      <c r="E557" s="46">
        <v>0</v>
      </c>
      <c r="F557" s="46">
        <v>0</v>
      </c>
      <c r="G557" s="46">
        <v>0</v>
      </c>
      <c r="H557" s="46">
        <v>0</v>
      </c>
      <c r="I557" s="46">
        <v>0</v>
      </c>
      <c r="J557" s="46">
        <v>0</v>
      </c>
      <c r="K557" s="47">
        <v>0</v>
      </c>
    </row>
    <row r="558" spans="1:11" x14ac:dyDescent="0.25">
      <c r="A558" s="42"/>
      <c r="B558" s="42" t="s">
        <v>39</v>
      </c>
      <c r="C558" s="46">
        <v>0</v>
      </c>
      <c r="D558" s="46">
        <v>0</v>
      </c>
      <c r="E558" s="46">
        <v>0</v>
      </c>
      <c r="F558" s="46">
        <v>0</v>
      </c>
      <c r="G558" s="46">
        <v>0</v>
      </c>
      <c r="H558" s="46">
        <v>0</v>
      </c>
      <c r="I558" s="46">
        <v>0</v>
      </c>
      <c r="J558" s="46">
        <v>0</v>
      </c>
      <c r="K558" s="47">
        <v>0</v>
      </c>
    </row>
    <row r="559" spans="1:11" x14ac:dyDescent="0.25">
      <c r="A559" s="42"/>
      <c r="B559" s="42" t="s">
        <v>39</v>
      </c>
      <c r="C559" s="46">
        <v>0</v>
      </c>
      <c r="D559" s="46">
        <v>0</v>
      </c>
      <c r="E559" s="46">
        <v>0</v>
      </c>
      <c r="F559" s="46">
        <v>0</v>
      </c>
      <c r="G559" s="46">
        <v>0</v>
      </c>
      <c r="H559" s="46">
        <v>0</v>
      </c>
      <c r="I559" s="46">
        <v>0</v>
      </c>
      <c r="J559" s="46">
        <v>0</v>
      </c>
      <c r="K559" s="47">
        <v>0</v>
      </c>
    </row>
    <row r="560" spans="1:11" x14ac:dyDescent="0.25">
      <c r="A560" s="42"/>
      <c r="B560" s="42" t="s">
        <v>39</v>
      </c>
      <c r="C560" s="46">
        <v>0</v>
      </c>
      <c r="D560" s="46">
        <v>0</v>
      </c>
      <c r="E560" s="46">
        <v>0</v>
      </c>
      <c r="F560" s="46">
        <v>0</v>
      </c>
      <c r="G560" s="46">
        <v>0</v>
      </c>
      <c r="H560" s="46">
        <v>0</v>
      </c>
      <c r="I560" s="46">
        <v>0</v>
      </c>
      <c r="J560" s="46">
        <v>0</v>
      </c>
      <c r="K560" s="47">
        <v>0</v>
      </c>
    </row>
    <row r="561" spans="1:11" x14ac:dyDescent="0.25">
      <c r="A561" s="42"/>
      <c r="B561" s="42" t="s">
        <v>39</v>
      </c>
      <c r="C561" s="46">
        <v>0</v>
      </c>
      <c r="D561" s="46">
        <v>0</v>
      </c>
      <c r="E561" s="46">
        <v>0</v>
      </c>
      <c r="F561" s="46">
        <v>0</v>
      </c>
      <c r="G561" s="46">
        <v>0</v>
      </c>
      <c r="H561" s="46">
        <v>0</v>
      </c>
      <c r="I561" s="46">
        <v>0</v>
      </c>
      <c r="J561" s="46">
        <v>0</v>
      </c>
      <c r="K561" s="47">
        <v>0</v>
      </c>
    </row>
    <row r="562" spans="1:11" x14ac:dyDescent="0.25">
      <c r="A562" s="42"/>
      <c r="B562" s="42" t="s">
        <v>39</v>
      </c>
      <c r="C562" s="46">
        <v>0</v>
      </c>
      <c r="D562" s="46">
        <v>0</v>
      </c>
      <c r="E562" s="46">
        <v>0</v>
      </c>
      <c r="F562" s="46">
        <v>0</v>
      </c>
      <c r="G562" s="46">
        <v>0</v>
      </c>
      <c r="H562" s="46">
        <v>0</v>
      </c>
      <c r="I562" s="46">
        <v>0</v>
      </c>
      <c r="J562" s="46">
        <v>0</v>
      </c>
      <c r="K562" s="47">
        <v>0</v>
      </c>
    </row>
    <row r="563" spans="1:11" x14ac:dyDescent="0.25">
      <c r="A563" s="42"/>
      <c r="B563" s="42" t="s">
        <v>39</v>
      </c>
      <c r="C563" s="46">
        <v>0</v>
      </c>
      <c r="D563" s="46">
        <v>0</v>
      </c>
      <c r="E563" s="46">
        <v>0</v>
      </c>
      <c r="F563" s="46">
        <v>0</v>
      </c>
      <c r="G563" s="46">
        <v>0</v>
      </c>
      <c r="H563" s="46">
        <v>0</v>
      </c>
      <c r="I563" s="46">
        <v>0</v>
      </c>
      <c r="J563" s="46">
        <v>0</v>
      </c>
      <c r="K563" s="47">
        <v>0</v>
      </c>
    </row>
    <row r="564" spans="1:11" x14ac:dyDescent="0.25">
      <c r="A564" s="42"/>
      <c r="B564" s="42" t="s">
        <v>39</v>
      </c>
      <c r="C564" s="46">
        <v>0</v>
      </c>
      <c r="D564" s="46">
        <v>0</v>
      </c>
      <c r="E564" s="46">
        <v>0</v>
      </c>
      <c r="F564" s="46">
        <v>0</v>
      </c>
      <c r="G564" s="46">
        <v>0</v>
      </c>
      <c r="H564" s="46">
        <v>0</v>
      </c>
      <c r="I564" s="46">
        <v>0</v>
      </c>
      <c r="J564" s="46">
        <v>0</v>
      </c>
      <c r="K564" s="47">
        <v>0</v>
      </c>
    </row>
    <row r="565" spans="1:11" x14ac:dyDescent="0.25">
      <c r="A565" s="42"/>
      <c r="B565" s="42" t="s">
        <v>39</v>
      </c>
      <c r="C565" s="46">
        <v>0</v>
      </c>
      <c r="D565" s="46">
        <v>0</v>
      </c>
      <c r="E565" s="46">
        <v>0</v>
      </c>
      <c r="F565" s="46">
        <v>0</v>
      </c>
      <c r="G565" s="46">
        <v>0</v>
      </c>
      <c r="H565" s="46">
        <v>0</v>
      </c>
      <c r="I565" s="46">
        <v>0</v>
      </c>
      <c r="J565" s="46">
        <v>0</v>
      </c>
      <c r="K565" s="47">
        <v>0</v>
      </c>
    </row>
    <row r="566" spans="1:11" x14ac:dyDescent="0.25">
      <c r="A566" s="42"/>
      <c r="B566" s="42" t="s">
        <v>39</v>
      </c>
      <c r="C566" s="46">
        <v>0</v>
      </c>
      <c r="D566" s="46">
        <v>0</v>
      </c>
      <c r="E566" s="46">
        <v>0</v>
      </c>
      <c r="F566" s="46">
        <v>0</v>
      </c>
      <c r="G566" s="46">
        <v>0</v>
      </c>
      <c r="H566" s="46">
        <v>0</v>
      </c>
      <c r="I566" s="46">
        <v>0</v>
      </c>
      <c r="J566" s="46">
        <v>0</v>
      </c>
      <c r="K566" s="47">
        <v>0</v>
      </c>
    </row>
    <row r="567" spans="1:11" x14ac:dyDescent="0.25">
      <c r="A567" s="42"/>
      <c r="B567" s="42" t="s">
        <v>39</v>
      </c>
      <c r="C567" s="46">
        <v>0</v>
      </c>
      <c r="D567" s="46">
        <v>0</v>
      </c>
      <c r="E567" s="46">
        <v>0</v>
      </c>
      <c r="F567" s="46">
        <v>0</v>
      </c>
      <c r="G567" s="46">
        <v>0</v>
      </c>
      <c r="H567" s="46">
        <v>0</v>
      </c>
      <c r="I567" s="46">
        <v>0</v>
      </c>
      <c r="J567" s="46">
        <v>0</v>
      </c>
      <c r="K567" s="47">
        <v>0</v>
      </c>
    </row>
    <row r="568" spans="1:11" x14ac:dyDescent="0.25">
      <c r="A568" s="42"/>
      <c r="B568" s="42" t="s">
        <v>39</v>
      </c>
      <c r="C568" s="46">
        <v>0</v>
      </c>
      <c r="D568" s="46">
        <v>0</v>
      </c>
      <c r="E568" s="46">
        <v>0</v>
      </c>
      <c r="F568" s="46">
        <v>0</v>
      </c>
      <c r="G568" s="46">
        <v>0</v>
      </c>
      <c r="H568" s="46">
        <v>0</v>
      </c>
      <c r="I568" s="46">
        <v>0</v>
      </c>
      <c r="J568" s="46">
        <v>0</v>
      </c>
      <c r="K568" s="47">
        <v>0</v>
      </c>
    </row>
    <row r="569" spans="1:11" x14ac:dyDescent="0.25">
      <c r="A569" s="42"/>
      <c r="B569" s="42" t="s">
        <v>39</v>
      </c>
      <c r="C569" s="46">
        <v>0</v>
      </c>
      <c r="D569" s="46">
        <v>0</v>
      </c>
      <c r="E569" s="46">
        <v>0</v>
      </c>
      <c r="F569" s="46">
        <v>0</v>
      </c>
      <c r="G569" s="46">
        <v>0</v>
      </c>
      <c r="H569" s="46">
        <v>0</v>
      </c>
      <c r="I569" s="46">
        <v>0</v>
      </c>
      <c r="J569" s="46">
        <v>0</v>
      </c>
      <c r="K569" s="47">
        <v>0</v>
      </c>
    </row>
    <row r="570" spans="1:11" x14ac:dyDescent="0.25">
      <c r="A570" s="42"/>
      <c r="B570" s="42" t="s">
        <v>39</v>
      </c>
      <c r="C570" s="46">
        <v>0</v>
      </c>
      <c r="D570" s="46">
        <v>0</v>
      </c>
      <c r="E570" s="46">
        <v>0</v>
      </c>
      <c r="F570" s="46">
        <v>0</v>
      </c>
      <c r="G570" s="46">
        <v>0</v>
      </c>
      <c r="H570" s="46">
        <v>0</v>
      </c>
      <c r="I570" s="46">
        <v>0</v>
      </c>
      <c r="J570" s="46">
        <v>0</v>
      </c>
      <c r="K570" s="47">
        <v>0</v>
      </c>
    </row>
    <row r="571" spans="1:11" x14ac:dyDescent="0.25">
      <c r="A571" s="42"/>
      <c r="B571" s="42" t="s">
        <v>39</v>
      </c>
      <c r="C571" s="46">
        <v>0</v>
      </c>
      <c r="D571" s="46">
        <v>0</v>
      </c>
      <c r="E571" s="46">
        <v>0</v>
      </c>
      <c r="F571" s="46">
        <v>0</v>
      </c>
      <c r="G571" s="46">
        <v>0</v>
      </c>
      <c r="H571" s="46">
        <v>0</v>
      </c>
      <c r="I571" s="46">
        <v>0</v>
      </c>
      <c r="J571" s="46">
        <v>0</v>
      </c>
      <c r="K571" s="47">
        <v>0</v>
      </c>
    </row>
    <row r="572" spans="1:11" x14ac:dyDescent="0.25">
      <c r="A572" s="42"/>
      <c r="B572" s="42" t="s">
        <v>39</v>
      </c>
      <c r="C572" s="46">
        <v>0</v>
      </c>
      <c r="D572" s="46">
        <v>0</v>
      </c>
      <c r="E572" s="46">
        <v>0</v>
      </c>
      <c r="F572" s="46">
        <v>0</v>
      </c>
      <c r="G572" s="46">
        <v>0</v>
      </c>
      <c r="H572" s="46">
        <v>0</v>
      </c>
      <c r="I572" s="46">
        <v>0</v>
      </c>
      <c r="J572" s="46">
        <v>0</v>
      </c>
      <c r="K572" s="47">
        <v>0</v>
      </c>
    </row>
    <row r="573" spans="1:11" x14ac:dyDescent="0.25">
      <c r="A573" s="42"/>
      <c r="B573" s="42" t="s">
        <v>39</v>
      </c>
      <c r="C573" s="46">
        <v>0</v>
      </c>
      <c r="D573" s="46">
        <v>0</v>
      </c>
      <c r="E573" s="46">
        <v>0</v>
      </c>
      <c r="F573" s="46">
        <v>0</v>
      </c>
      <c r="G573" s="46">
        <v>0</v>
      </c>
      <c r="H573" s="46">
        <v>0</v>
      </c>
      <c r="I573" s="46">
        <v>0</v>
      </c>
      <c r="J573" s="46">
        <v>0</v>
      </c>
      <c r="K573" s="47">
        <v>0</v>
      </c>
    </row>
    <row r="574" spans="1:11" x14ac:dyDescent="0.25">
      <c r="A574" s="42"/>
      <c r="B574" s="42" t="s">
        <v>39</v>
      </c>
      <c r="C574" s="46">
        <v>0</v>
      </c>
      <c r="D574" s="46">
        <v>0</v>
      </c>
      <c r="E574" s="46">
        <v>0</v>
      </c>
      <c r="F574" s="46">
        <v>0</v>
      </c>
      <c r="G574" s="46">
        <v>0</v>
      </c>
      <c r="H574" s="46">
        <v>0</v>
      </c>
      <c r="I574" s="46">
        <v>0</v>
      </c>
      <c r="J574" s="46">
        <v>0</v>
      </c>
      <c r="K574" s="47">
        <v>0</v>
      </c>
    </row>
    <row r="575" spans="1:11" x14ac:dyDescent="0.25">
      <c r="A575" s="42"/>
      <c r="B575" s="42" t="s">
        <v>39</v>
      </c>
      <c r="C575" s="46">
        <v>0</v>
      </c>
      <c r="D575" s="46">
        <v>0</v>
      </c>
      <c r="E575" s="46">
        <v>0</v>
      </c>
      <c r="F575" s="46">
        <v>0</v>
      </c>
      <c r="G575" s="46">
        <v>0</v>
      </c>
      <c r="H575" s="46">
        <v>0</v>
      </c>
      <c r="I575" s="46">
        <v>0</v>
      </c>
      <c r="J575" s="46">
        <v>0</v>
      </c>
      <c r="K575" s="47">
        <v>0</v>
      </c>
    </row>
    <row r="576" spans="1:11" x14ac:dyDescent="0.25">
      <c r="A576" s="42"/>
      <c r="B576" s="42" t="s">
        <v>39</v>
      </c>
      <c r="C576" s="46">
        <v>0</v>
      </c>
      <c r="D576" s="46">
        <v>0</v>
      </c>
      <c r="E576" s="46">
        <v>0</v>
      </c>
      <c r="F576" s="46">
        <v>0</v>
      </c>
      <c r="G576" s="46">
        <v>0</v>
      </c>
      <c r="H576" s="46">
        <v>0</v>
      </c>
      <c r="I576" s="46">
        <v>0</v>
      </c>
      <c r="J576" s="46">
        <v>0</v>
      </c>
      <c r="K576" s="47">
        <v>0</v>
      </c>
    </row>
    <row r="577" spans="1:11" x14ac:dyDescent="0.25">
      <c r="A577" s="42"/>
      <c r="B577" s="42" t="s">
        <v>39</v>
      </c>
      <c r="C577" s="46">
        <v>0</v>
      </c>
      <c r="D577" s="46">
        <v>0</v>
      </c>
      <c r="E577" s="46">
        <v>0</v>
      </c>
      <c r="F577" s="46">
        <v>0</v>
      </c>
      <c r="G577" s="46">
        <v>0</v>
      </c>
      <c r="H577" s="46">
        <v>0</v>
      </c>
      <c r="I577" s="46">
        <v>0</v>
      </c>
      <c r="J577" s="46">
        <v>0</v>
      </c>
      <c r="K577" s="47">
        <v>0</v>
      </c>
    </row>
    <row r="578" spans="1:11" x14ac:dyDescent="0.25">
      <c r="A578" s="1"/>
      <c r="B578" s="1"/>
      <c r="C578" s="45"/>
      <c r="D578" s="45"/>
      <c r="E578" s="45"/>
      <c r="F578" s="45"/>
      <c r="G578" s="45"/>
      <c r="H578" s="45"/>
      <c r="I578" s="45"/>
      <c r="J578" s="45"/>
      <c r="K578" s="45"/>
    </row>
    <row r="579" spans="1:11" x14ac:dyDescent="0.25">
      <c r="A579" s="1"/>
      <c r="B579" s="1"/>
      <c r="C579" s="45"/>
      <c r="D579" s="45"/>
      <c r="E579" s="45"/>
      <c r="F579" s="45"/>
      <c r="G579" s="45"/>
      <c r="H579" s="45"/>
      <c r="I579" s="45"/>
      <c r="J579" s="45"/>
      <c r="K579" s="45"/>
    </row>
    <row r="580" spans="1:11" x14ac:dyDescent="0.25">
      <c r="A580" s="1"/>
      <c r="B580" s="1"/>
      <c r="C580" s="45"/>
      <c r="D580" s="45"/>
      <c r="E580" s="45"/>
      <c r="F580" s="45"/>
      <c r="G580" s="45"/>
      <c r="H580" s="45"/>
      <c r="I580" s="45"/>
      <c r="J580" s="45"/>
      <c r="K580" s="45"/>
    </row>
    <row r="581" spans="1:11" x14ac:dyDescent="0.25">
      <c r="A581" s="1"/>
      <c r="B581" s="1"/>
      <c r="C581" s="45"/>
      <c r="D581" s="45"/>
      <c r="E581" s="45"/>
      <c r="F581" s="45"/>
      <c r="G581" s="45"/>
      <c r="H581" s="45"/>
      <c r="I581" s="45"/>
      <c r="J581" s="45"/>
      <c r="K581" s="45"/>
    </row>
    <row r="582" spans="1:11" x14ac:dyDescent="0.25">
      <c r="A582" s="1"/>
      <c r="B582" s="1"/>
      <c r="C582" s="45"/>
      <c r="D582" s="45"/>
      <c r="E582" s="45"/>
      <c r="F582" s="45"/>
      <c r="G582" s="45"/>
      <c r="H582" s="45"/>
      <c r="I582" s="45"/>
      <c r="J582" s="45"/>
      <c r="K582" s="45"/>
    </row>
    <row r="583" spans="1:11" x14ac:dyDescent="0.25">
      <c r="A583" s="1"/>
      <c r="B583" s="1"/>
      <c r="C583" s="45"/>
      <c r="D583" s="45"/>
      <c r="E583" s="45"/>
      <c r="F583" s="45"/>
      <c r="G583" s="45"/>
      <c r="H583" s="45"/>
      <c r="I583" s="45"/>
      <c r="J583" s="45"/>
      <c r="K583" s="45"/>
    </row>
    <row r="584" spans="1:11" x14ac:dyDescent="0.25">
      <c r="A584" s="1"/>
      <c r="B584" s="1"/>
      <c r="C584" s="45"/>
      <c r="D584" s="45"/>
      <c r="E584" s="45"/>
      <c r="F584" s="45"/>
      <c r="G584" s="45"/>
      <c r="H584" s="45"/>
      <c r="I584" s="45"/>
      <c r="J584" s="45"/>
      <c r="K584" s="45"/>
    </row>
    <row r="585" spans="1:11" x14ac:dyDescent="0.25">
      <c r="A585" s="1"/>
      <c r="B585" s="1"/>
      <c r="C585" s="45"/>
      <c r="D585" s="45"/>
      <c r="E585" s="45"/>
      <c r="F585" s="45"/>
      <c r="G585" s="45"/>
      <c r="H585" s="45"/>
      <c r="I585" s="45"/>
      <c r="J585" s="45"/>
      <c r="K585" s="45"/>
    </row>
    <row r="586" spans="1:11" x14ac:dyDescent="0.25">
      <c r="A586" s="1"/>
      <c r="B586" s="1"/>
      <c r="C586" s="45"/>
      <c r="D586" s="45"/>
      <c r="E586" s="45"/>
      <c r="F586" s="45"/>
      <c r="G586" s="45"/>
      <c r="H586" s="45"/>
      <c r="I586" s="45"/>
      <c r="J586" s="45"/>
      <c r="K586" s="45"/>
    </row>
    <row r="587" spans="1:11" x14ac:dyDescent="0.25">
      <c r="A587" s="1"/>
      <c r="B587" s="1"/>
      <c r="C587" s="45"/>
      <c r="D587" s="45"/>
      <c r="E587" s="45"/>
      <c r="F587" s="45"/>
      <c r="G587" s="45"/>
      <c r="H587" s="45"/>
      <c r="I587" s="45"/>
      <c r="J587" s="45"/>
      <c r="K587" s="45"/>
    </row>
    <row r="588" spans="1:11" x14ac:dyDescent="0.25">
      <c r="A588" s="1"/>
      <c r="B588" s="1"/>
      <c r="C588" s="45"/>
      <c r="D588" s="45"/>
      <c r="E588" s="45"/>
      <c r="F588" s="45"/>
      <c r="G588" s="45"/>
      <c r="H588" s="45"/>
      <c r="I588" s="45"/>
      <c r="J588" s="45"/>
      <c r="K588" s="45"/>
    </row>
    <row r="589" spans="1:11" x14ac:dyDescent="0.25">
      <c r="A589" s="1"/>
      <c r="B589" s="1"/>
      <c r="C589" s="45"/>
      <c r="D589" s="45"/>
      <c r="E589" s="45"/>
      <c r="F589" s="45"/>
      <c r="G589" s="45"/>
      <c r="H589" s="45"/>
      <c r="I589" s="45"/>
      <c r="J589" s="45"/>
      <c r="K589" s="45"/>
    </row>
    <row r="590" spans="1:11" x14ac:dyDescent="0.25">
      <c r="A590" s="1"/>
      <c r="B590" s="1"/>
      <c r="C590" s="45"/>
      <c r="D590" s="45"/>
      <c r="E590" s="45"/>
      <c r="F590" s="45"/>
      <c r="G590" s="45"/>
      <c r="H590" s="45"/>
      <c r="I590" s="45"/>
      <c r="J590" s="45"/>
      <c r="K590" s="45"/>
    </row>
    <row r="591" spans="1:11" x14ac:dyDescent="0.25">
      <c r="A591" s="1"/>
      <c r="B591" s="1"/>
      <c r="C591" s="45"/>
      <c r="D591" s="45"/>
      <c r="E591" s="45"/>
      <c r="F591" s="45"/>
      <c r="G591" s="45"/>
      <c r="H591" s="45"/>
      <c r="I591" s="45"/>
      <c r="J591" s="45"/>
      <c r="K591" s="45"/>
    </row>
    <row r="592" spans="1:11" x14ac:dyDescent="0.25">
      <c r="A592" s="1"/>
      <c r="B592" s="1"/>
      <c r="C592" s="45"/>
      <c r="D592" s="45"/>
      <c r="E592" s="45"/>
      <c r="F592" s="45"/>
      <c r="G592" s="45"/>
      <c r="H592" s="45"/>
      <c r="I592" s="45"/>
      <c r="J592" s="45"/>
      <c r="K592" s="45"/>
    </row>
    <row r="593" spans="1:11" x14ac:dyDescent="0.25">
      <c r="A593" s="1"/>
      <c r="B593" s="1"/>
      <c r="C593" s="45"/>
      <c r="D593" s="45"/>
      <c r="E593" s="45"/>
      <c r="F593" s="45"/>
      <c r="G593" s="45"/>
      <c r="H593" s="45"/>
      <c r="I593" s="45"/>
      <c r="J593" s="45"/>
      <c r="K593" s="45"/>
    </row>
    <row r="594" spans="1:11" x14ac:dyDescent="0.25">
      <c r="A594" s="1"/>
      <c r="B594" s="1"/>
      <c r="C594" s="45"/>
      <c r="D594" s="45"/>
      <c r="E594" s="45"/>
      <c r="F594" s="45"/>
      <c r="G594" s="45"/>
      <c r="H594" s="45"/>
      <c r="I594" s="45"/>
      <c r="J594" s="45"/>
      <c r="K594" s="45"/>
    </row>
    <row r="595" spans="1:11" x14ac:dyDescent="0.25">
      <c r="A595" s="1"/>
      <c r="B595" s="1"/>
      <c r="C595" s="45"/>
      <c r="D595" s="45"/>
      <c r="E595" s="45"/>
      <c r="F595" s="45"/>
      <c r="G595" s="45"/>
      <c r="H595" s="45"/>
      <c r="I595" s="45"/>
      <c r="J595" s="45"/>
      <c r="K595" s="45"/>
    </row>
    <row r="596" spans="1:11" x14ac:dyDescent="0.25">
      <c r="A596" s="1"/>
      <c r="B596" s="1"/>
      <c r="C596" s="45"/>
      <c r="D596" s="45"/>
      <c r="E596" s="45"/>
      <c r="F596" s="45"/>
      <c r="G596" s="45"/>
      <c r="H596" s="45"/>
      <c r="I596" s="45"/>
      <c r="J596" s="45"/>
      <c r="K596" s="45"/>
    </row>
    <row r="597" spans="1:11" x14ac:dyDescent="0.25">
      <c r="A597" s="1"/>
      <c r="B597" s="1"/>
      <c r="C597" s="45"/>
      <c r="D597" s="45"/>
      <c r="E597" s="45"/>
      <c r="F597" s="45"/>
      <c r="G597" s="45"/>
      <c r="H597" s="45"/>
      <c r="I597" s="45"/>
      <c r="J597" s="45"/>
      <c r="K597" s="45"/>
    </row>
    <row r="598" spans="1:11" x14ac:dyDescent="0.25">
      <c r="A598" s="1"/>
      <c r="B598" s="1"/>
      <c r="C598" s="45"/>
      <c r="D598" s="45"/>
      <c r="E598" s="45"/>
      <c r="F598" s="45"/>
      <c r="G598" s="45"/>
      <c r="H598" s="45"/>
      <c r="I598" s="45"/>
      <c r="J598" s="45"/>
      <c r="K598" s="45"/>
    </row>
    <row r="599" spans="1:11" x14ac:dyDescent="0.25">
      <c r="A599" s="1"/>
      <c r="B599" s="1"/>
      <c r="C599" s="45"/>
      <c r="D599" s="45"/>
      <c r="E599" s="45"/>
      <c r="F599" s="45"/>
      <c r="G599" s="45"/>
      <c r="H599" s="45"/>
      <c r="I599" s="45"/>
      <c r="J599" s="45"/>
      <c r="K599" s="45"/>
    </row>
    <row r="600" spans="1:11" x14ac:dyDescent="0.25">
      <c r="A600" s="1"/>
      <c r="B600" s="1"/>
      <c r="C600" s="45"/>
      <c r="D600" s="45"/>
      <c r="E600" s="45"/>
      <c r="F600" s="45"/>
      <c r="G600" s="45"/>
      <c r="H600" s="45"/>
      <c r="I600" s="45"/>
      <c r="J600" s="45"/>
      <c r="K600" s="45"/>
    </row>
    <row r="601" spans="1:11" x14ac:dyDescent="0.25">
      <c r="A601" s="1"/>
      <c r="B601" s="1"/>
      <c r="C601" s="45"/>
      <c r="D601" s="45"/>
      <c r="E601" s="45"/>
      <c r="F601" s="45"/>
      <c r="G601" s="45"/>
      <c r="H601" s="45"/>
      <c r="I601" s="45"/>
      <c r="J601" s="45"/>
      <c r="K601" s="45"/>
    </row>
    <row r="602" spans="1:11" x14ac:dyDescent="0.25">
      <c r="A602" s="1"/>
      <c r="B602" s="1"/>
      <c r="C602" s="45"/>
      <c r="D602" s="45"/>
      <c r="E602" s="45"/>
      <c r="F602" s="45"/>
      <c r="G602" s="45"/>
      <c r="H602" s="45"/>
      <c r="I602" s="45"/>
      <c r="J602" s="45"/>
      <c r="K602" s="45"/>
    </row>
    <row r="603" spans="1:11" x14ac:dyDescent="0.25">
      <c r="A603" s="1"/>
      <c r="B603" s="1"/>
      <c r="C603" s="45"/>
      <c r="D603" s="45"/>
      <c r="E603" s="45"/>
      <c r="F603" s="45"/>
      <c r="G603" s="45"/>
      <c r="H603" s="45"/>
      <c r="I603" s="45"/>
      <c r="J603" s="45"/>
      <c r="K603" s="45"/>
    </row>
    <row r="604" spans="1:11" x14ac:dyDescent="0.25">
      <c r="A604" s="1"/>
      <c r="B604" s="1"/>
      <c r="C604" s="45"/>
      <c r="D604" s="45"/>
      <c r="E604" s="45"/>
      <c r="F604" s="45"/>
      <c r="G604" s="45"/>
      <c r="H604" s="45"/>
      <c r="I604" s="45"/>
      <c r="J604" s="45"/>
      <c r="K604" s="45"/>
    </row>
    <row r="605" spans="1:11" x14ac:dyDescent="0.25">
      <c r="A605" s="1"/>
      <c r="B605" s="1"/>
      <c r="C605" s="45"/>
      <c r="D605" s="45"/>
      <c r="E605" s="45"/>
      <c r="F605" s="45"/>
      <c r="G605" s="45"/>
      <c r="H605" s="45"/>
      <c r="I605" s="45"/>
      <c r="J605" s="45"/>
      <c r="K605" s="45"/>
    </row>
    <row r="606" spans="1:11" x14ac:dyDescent="0.25">
      <c r="A606" s="1"/>
      <c r="B606" s="1"/>
      <c r="C606" s="45"/>
      <c r="D606" s="45"/>
      <c r="E606" s="45"/>
      <c r="F606" s="45"/>
      <c r="G606" s="45"/>
      <c r="H606" s="45"/>
      <c r="I606" s="45"/>
      <c r="J606" s="45"/>
      <c r="K606" s="45"/>
    </row>
    <row r="607" spans="1:11" x14ac:dyDescent="0.25">
      <c r="A607" s="1"/>
      <c r="B607" s="1"/>
      <c r="C607" s="45"/>
      <c r="D607" s="45"/>
      <c r="E607" s="45"/>
      <c r="F607" s="45"/>
      <c r="G607" s="45"/>
      <c r="H607" s="45"/>
      <c r="I607" s="45"/>
      <c r="J607" s="45"/>
      <c r="K607" s="45"/>
    </row>
    <row r="608" spans="1:11" x14ac:dyDescent="0.25">
      <c r="A608" s="1"/>
      <c r="B608" s="1"/>
      <c r="C608" s="45"/>
      <c r="D608" s="45"/>
      <c r="E608" s="45"/>
      <c r="F608" s="45"/>
      <c r="G608" s="45"/>
      <c r="H608" s="45"/>
      <c r="I608" s="45"/>
      <c r="J608" s="45"/>
      <c r="K608" s="45"/>
    </row>
    <row r="609" spans="1:11" x14ac:dyDescent="0.25">
      <c r="A609" s="1"/>
      <c r="B609" s="1"/>
      <c r="C609" s="45"/>
      <c r="D609" s="45"/>
      <c r="E609" s="45"/>
      <c r="F609" s="45"/>
      <c r="G609" s="45"/>
      <c r="H609" s="45"/>
      <c r="I609" s="45"/>
      <c r="J609" s="45"/>
      <c r="K609" s="45"/>
    </row>
    <row r="610" spans="1:11" x14ac:dyDescent="0.25">
      <c r="A610" s="1"/>
      <c r="B610" s="1"/>
      <c r="C610" s="45"/>
      <c r="D610" s="45"/>
      <c r="E610" s="45"/>
      <c r="F610" s="45"/>
      <c r="G610" s="45"/>
      <c r="H610" s="45"/>
      <c r="I610" s="45"/>
      <c r="J610" s="45"/>
      <c r="K610" s="45"/>
    </row>
    <row r="611" spans="1:11" x14ac:dyDescent="0.25">
      <c r="A611" s="1"/>
      <c r="B611" s="1"/>
      <c r="C611" s="45"/>
      <c r="D611" s="45"/>
      <c r="E611" s="45"/>
      <c r="F611" s="45"/>
      <c r="G611" s="45"/>
      <c r="H611" s="45"/>
      <c r="I611" s="45"/>
      <c r="J611" s="45"/>
      <c r="K611" s="45"/>
    </row>
    <row r="612" spans="1:11" x14ac:dyDescent="0.25">
      <c r="A612" s="1"/>
      <c r="B612" s="1"/>
      <c r="C612" s="45"/>
      <c r="D612" s="45"/>
      <c r="E612" s="45"/>
      <c r="F612" s="45"/>
      <c r="G612" s="45"/>
      <c r="H612" s="45"/>
      <c r="I612" s="45"/>
      <c r="J612" s="45"/>
      <c r="K612" s="45"/>
    </row>
    <row r="613" spans="1:11" x14ac:dyDescent="0.25">
      <c r="A613" s="1"/>
      <c r="B613" s="1"/>
      <c r="C613" s="45"/>
      <c r="D613" s="45"/>
      <c r="E613" s="45"/>
      <c r="F613" s="45"/>
      <c r="G613" s="45"/>
      <c r="H613" s="45"/>
      <c r="I613" s="45"/>
      <c r="J613" s="45"/>
      <c r="K613" s="45"/>
    </row>
    <row r="614" spans="1:11" x14ac:dyDescent="0.25">
      <c r="A614" s="1"/>
      <c r="B614" s="1"/>
      <c r="C614" s="45"/>
      <c r="D614" s="45"/>
      <c r="E614" s="45"/>
      <c r="F614" s="45"/>
      <c r="G614" s="45"/>
      <c r="H614" s="45"/>
      <c r="I614" s="45"/>
      <c r="J614" s="45"/>
      <c r="K614" s="45"/>
    </row>
    <row r="615" spans="1:11" x14ac:dyDescent="0.25">
      <c r="A615" s="1"/>
      <c r="B615" s="1"/>
      <c r="C615" s="45"/>
      <c r="D615" s="45"/>
      <c r="E615" s="45"/>
      <c r="F615" s="45"/>
      <c r="G615" s="45"/>
      <c r="H615" s="45"/>
      <c r="I615" s="45"/>
      <c r="J615" s="45"/>
      <c r="K615" s="45"/>
    </row>
    <row r="616" spans="1:11" x14ac:dyDescent="0.25">
      <c r="A616" s="1"/>
      <c r="B616" s="1"/>
      <c r="C616" s="45"/>
      <c r="D616" s="45"/>
      <c r="E616" s="45"/>
      <c r="F616" s="45"/>
      <c r="G616" s="45"/>
      <c r="H616" s="45"/>
      <c r="I616" s="45"/>
      <c r="J616" s="45"/>
      <c r="K616" s="45"/>
    </row>
    <row r="617" spans="1:11" x14ac:dyDescent="0.25">
      <c r="A617" s="1"/>
      <c r="B617" s="1"/>
      <c r="C617" s="45"/>
      <c r="D617" s="45"/>
      <c r="E617" s="45"/>
      <c r="F617" s="45"/>
      <c r="G617" s="45"/>
      <c r="H617" s="45"/>
      <c r="I617" s="45"/>
      <c r="J617" s="45"/>
      <c r="K617" s="45"/>
    </row>
    <row r="618" spans="1:11" x14ac:dyDescent="0.25">
      <c r="A618" s="1"/>
      <c r="B618" s="1"/>
      <c r="C618" s="45"/>
      <c r="D618" s="45"/>
      <c r="E618" s="45"/>
      <c r="F618" s="45"/>
      <c r="G618" s="45"/>
      <c r="H618" s="45"/>
      <c r="I618" s="45"/>
      <c r="J618" s="45"/>
      <c r="K618" s="45"/>
    </row>
    <row r="619" spans="1:11" x14ac:dyDescent="0.25">
      <c r="A619" s="1"/>
      <c r="B619" s="1"/>
      <c r="C619" s="45"/>
      <c r="D619" s="45"/>
      <c r="E619" s="45"/>
      <c r="F619" s="45"/>
      <c r="G619" s="45"/>
      <c r="H619" s="45"/>
      <c r="I619" s="45"/>
      <c r="J619" s="45"/>
      <c r="K619" s="45"/>
    </row>
    <row r="620" spans="1:11" x14ac:dyDescent="0.25">
      <c r="A620" s="1"/>
      <c r="B620" s="1"/>
      <c r="C620" s="45"/>
      <c r="D620" s="45"/>
      <c r="E620" s="45"/>
      <c r="F620" s="45"/>
      <c r="G620" s="45"/>
      <c r="H620" s="45"/>
      <c r="I620" s="45"/>
      <c r="J620" s="45"/>
      <c r="K620" s="45"/>
    </row>
    <row r="621" spans="1:11" x14ac:dyDescent="0.25">
      <c r="A621" s="1"/>
      <c r="B621" s="1"/>
      <c r="C621" s="45"/>
      <c r="D621" s="45"/>
      <c r="E621" s="45"/>
      <c r="F621" s="45"/>
      <c r="G621" s="45"/>
      <c r="H621" s="45"/>
      <c r="I621" s="45"/>
      <c r="J621" s="45"/>
      <c r="K621" s="45"/>
    </row>
    <row r="622" spans="1:11" x14ac:dyDescent="0.25">
      <c r="A622" s="1"/>
      <c r="B622" s="1"/>
      <c r="C622" s="45"/>
      <c r="D622" s="45"/>
      <c r="E622" s="45"/>
      <c r="F622" s="45"/>
      <c r="G622" s="45"/>
      <c r="H622" s="45"/>
      <c r="I622" s="45"/>
      <c r="J622" s="45"/>
      <c r="K622" s="45"/>
    </row>
    <row r="623" spans="1:11" x14ac:dyDescent="0.25">
      <c r="A623" s="1"/>
      <c r="B623" s="1"/>
      <c r="C623" s="45"/>
      <c r="D623" s="45"/>
      <c r="E623" s="45"/>
      <c r="F623" s="45"/>
      <c r="G623" s="45"/>
      <c r="H623" s="45"/>
      <c r="I623" s="45"/>
      <c r="J623" s="45"/>
      <c r="K623" s="45"/>
    </row>
    <row r="624" spans="1:11" x14ac:dyDescent="0.25">
      <c r="A624" s="1"/>
      <c r="B624" s="1"/>
      <c r="C624" s="45"/>
      <c r="D624" s="45"/>
      <c r="E624" s="45"/>
      <c r="F624" s="45"/>
      <c r="G624" s="45"/>
      <c r="H624" s="45"/>
      <c r="I624" s="45"/>
      <c r="J624" s="45"/>
      <c r="K624" s="45"/>
    </row>
    <row r="625" spans="1:11" x14ac:dyDescent="0.25">
      <c r="A625" s="1"/>
      <c r="B625" s="1"/>
      <c r="C625" s="45"/>
      <c r="D625" s="45"/>
      <c r="E625" s="45"/>
      <c r="F625" s="45"/>
      <c r="G625" s="45"/>
      <c r="H625" s="45"/>
      <c r="I625" s="45"/>
      <c r="J625" s="45"/>
      <c r="K625" s="45"/>
    </row>
    <row r="626" spans="1:11" x14ac:dyDescent="0.25">
      <c r="A626" s="1"/>
      <c r="B626" s="1"/>
      <c r="C626" s="45"/>
      <c r="D626" s="45"/>
      <c r="E626" s="45"/>
      <c r="F626" s="45"/>
      <c r="G626" s="45"/>
      <c r="H626" s="45"/>
      <c r="I626" s="45"/>
      <c r="J626" s="45"/>
      <c r="K626" s="45"/>
    </row>
    <row r="627" spans="1:11" x14ac:dyDescent="0.25">
      <c r="A627" s="1"/>
      <c r="B627" s="1"/>
      <c r="C627" s="45"/>
      <c r="D627" s="45"/>
      <c r="E627" s="45"/>
      <c r="F627" s="45"/>
      <c r="G627" s="45"/>
      <c r="H627" s="45"/>
      <c r="I627" s="45"/>
      <c r="J627" s="45"/>
      <c r="K627" s="45"/>
    </row>
    <row r="628" spans="1:11" x14ac:dyDescent="0.25">
      <c r="A628" s="1"/>
      <c r="B628" s="1"/>
      <c r="C628" s="45"/>
      <c r="D628" s="45"/>
      <c r="E628" s="45"/>
      <c r="F628" s="45"/>
      <c r="G628" s="45"/>
      <c r="H628" s="45"/>
      <c r="I628" s="45"/>
      <c r="J628" s="45"/>
      <c r="K628" s="45"/>
    </row>
    <row r="629" spans="1:11" x14ac:dyDescent="0.25">
      <c r="A629" s="1"/>
      <c r="B629" s="1"/>
      <c r="C629" s="45"/>
      <c r="D629" s="45"/>
      <c r="E629" s="45"/>
      <c r="F629" s="45"/>
      <c r="G629" s="45"/>
      <c r="H629" s="45"/>
      <c r="I629" s="45"/>
      <c r="J629" s="45"/>
      <c r="K629" s="45"/>
    </row>
    <row r="630" spans="1:11" x14ac:dyDescent="0.25">
      <c r="A630" s="1"/>
      <c r="B630" s="1"/>
      <c r="C630" s="45"/>
      <c r="D630" s="45"/>
      <c r="E630" s="45"/>
      <c r="F630" s="45"/>
      <c r="G630" s="45"/>
      <c r="H630" s="45"/>
      <c r="I630" s="45"/>
      <c r="J630" s="45"/>
      <c r="K630" s="45"/>
    </row>
    <row r="631" spans="1:11" x14ac:dyDescent="0.25">
      <c r="A631" s="1"/>
      <c r="B631" s="1"/>
      <c r="C631" s="45"/>
      <c r="D631" s="45"/>
      <c r="E631" s="45"/>
      <c r="F631" s="45"/>
      <c r="G631" s="45"/>
      <c r="H631" s="45"/>
      <c r="I631" s="45"/>
      <c r="J631" s="45"/>
      <c r="K631" s="45"/>
    </row>
    <row r="632" spans="1:11" x14ac:dyDescent="0.25">
      <c r="A632" s="1"/>
      <c r="B632" s="1"/>
      <c r="C632" s="45"/>
      <c r="D632" s="45"/>
      <c r="E632" s="45"/>
      <c r="F632" s="45"/>
      <c r="G632" s="45"/>
      <c r="H632" s="45"/>
      <c r="I632" s="45"/>
      <c r="J632" s="45"/>
      <c r="K632" s="45"/>
    </row>
    <row r="633" spans="1:11" x14ac:dyDescent="0.25">
      <c r="A633" s="1"/>
      <c r="B633" s="1"/>
      <c r="C633" s="45"/>
      <c r="D633" s="45"/>
      <c r="E633" s="45"/>
      <c r="F633" s="45"/>
      <c r="G633" s="45"/>
      <c r="H633" s="45"/>
      <c r="I633" s="45"/>
      <c r="J633" s="45"/>
      <c r="K633" s="45"/>
    </row>
    <row r="634" spans="1:11" x14ac:dyDescent="0.25">
      <c r="A634" s="1"/>
      <c r="B634" s="1"/>
      <c r="C634" s="45"/>
      <c r="D634" s="45"/>
      <c r="E634" s="45"/>
      <c r="F634" s="45"/>
      <c r="G634" s="45"/>
      <c r="H634" s="45"/>
      <c r="I634" s="45"/>
      <c r="J634" s="45"/>
      <c r="K634" s="45"/>
    </row>
    <row r="635" spans="1:11" x14ac:dyDescent="0.25">
      <c r="A635" s="1"/>
      <c r="B635" s="1"/>
      <c r="C635" s="45"/>
      <c r="D635" s="45"/>
      <c r="E635" s="45"/>
      <c r="F635" s="45"/>
      <c r="G635" s="45"/>
      <c r="H635" s="45"/>
      <c r="I635" s="45"/>
      <c r="J635" s="45"/>
      <c r="K635" s="45"/>
    </row>
    <row r="636" spans="1:11" x14ac:dyDescent="0.25">
      <c r="A636" s="1"/>
      <c r="B636" s="1"/>
      <c r="C636" s="45"/>
      <c r="D636" s="45"/>
      <c r="E636" s="45"/>
      <c r="F636" s="45"/>
      <c r="G636" s="45"/>
      <c r="H636" s="45"/>
      <c r="I636" s="45"/>
      <c r="J636" s="45"/>
      <c r="K636" s="45"/>
    </row>
    <row r="637" spans="1:11" x14ac:dyDescent="0.25">
      <c r="A637" s="1"/>
      <c r="B637" s="1"/>
      <c r="C637" s="45"/>
      <c r="D637" s="45"/>
      <c r="E637" s="45"/>
      <c r="F637" s="45"/>
      <c r="G637" s="45"/>
      <c r="H637" s="45"/>
      <c r="I637" s="45"/>
      <c r="J637" s="45"/>
      <c r="K637" s="45"/>
    </row>
    <row r="638" spans="1:11" x14ac:dyDescent="0.25">
      <c r="A638" s="1"/>
      <c r="B638" s="1"/>
      <c r="C638" s="45"/>
      <c r="D638" s="45"/>
      <c r="E638" s="45"/>
      <c r="F638" s="45"/>
      <c r="G638" s="45"/>
      <c r="H638" s="45"/>
      <c r="I638" s="45"/>
      <c r="J638" s="45"/>
      <c r="K638" s="45"/>
    </row>
    <row r="639" spans="1:11" x14ac:dyDescent="0.25">
      <c r="A639" s="1"/>
      <c r="B639" s="1"/>
      <c r="C639" s="45"/>
      <c r="D639" s="45"/>
      <c r="E639" s="45"/>
      <c r="F639" s="45"/>
      <c r="G639" s="45"/>
      <c r="H639" s="45"/>
      <c r="I639" s="45"/>
      <c r="J639" s="45"/>
      <c r="K639" s="45"/>
    </row>
    <row r="640" spans="1:11" x14ac:dyDescent="0.25">
      <c r="A640" s="1"/>
      <c r="B640" s="1"/>
      <c r="C640" s="45"/>
      <c r="D640" s="45"/>
      <c r="E640" s="45"/>
      <c r="F640" s="45"/>
      <c r="G640" s="45"/>
      <c r="H640" s="45"/>
      <c r="I640" s="45"/>
      <c r="J640" s="45"/>
      <c r="K640" s="45"/>
    </row>
    <row r="641" spans="1:11" x14ac:dyDescent="0.25">
      <c r="A641" s="1"/>
      <c r="B641" s="1"/>
      <c r="C641" s="45"/>
      <c r="D641" s="45"/>
      <c r="E641" s="45"/>
      <c r="F641" s="45"/>
      <c r="G641" s="45"/>
      <c r="H641" s="45"/>
      <c r="I641" s="45"/>
      <c r="J641" s="45"/>
      <c r="K641" s="45"/>
    </row>
    <row r="642" spans="1:11" x14ac:dyDescent="0.25">
      <c r="A642" s="1"/>
      <c r="B642" s="1"/>
      <c r="C642" s="45"/>
      <c r="D642" s="45"/>
      <c r="E642" s="45"/>
      <c r="F642" s="45"/>
      <c r="G642" s="45"/>
      <c r="H642" s="45"/>
      <c r="I642" s="45"/>
      <c r="J642" s="45"/>
      <c r="K642" s="45"/>
    </row>
    <row r="643" spans="1:11" x14ac:dyDescent="0.25">
      <c r="A643" s="1"/>
      <c r="B643" s="1"/>
      <c r="C643" s="45"/>
      <c r="D643" s="45"/>
      <c r="E643" s="45"/>
      <c r="F643" s="45"/>
      <c r="G643" s="45"/>
      <c r="H643" s="45"/>
      <c r="I643" s="45"/>
      <c r="J643" s="45"/>
      <c r="K643" s="45"/>
    </row>
    <row r="644" spans="1:11" x14ac:dyDescent="0.25">
      <c r="A644" s="1"/>
      <c r="B644" s="1"/>
      <c r="C644" s="45"/>
      <c r="D644" s="45"/>
      <c r="E644" s="45"/>
      <c r="F644" s="45"/>
      <c r="G644" s="45"/>
      <c r="H644" s="45"/>
      <c r="I644" s="45"/>
      <c r="J644" s="45"/>
      <c r="K644" s="45"/>
    </row>
    <row r="645" spans="1:11" x14ac:dyDescent="0.25">
      <c r="A645" s="1"/>
      <c r="B645" s="1"/>
      <c r="C645" s="45"/>
      <c r="D645" s="45"/>
      <c r="E645" s="45"/>
      <c r="F645" s="45"/>
      <c r="G645" s="45"/>
      <c r="H645" s="45"/>
      <c r="I645" s="45"/>
      <c r="J645" s="45"/>
      <c r="K645" s="45"/>
    </row>
    <row r="646" spans="1:11" x14ac:dyDescent="0.25">
      <c r="A646" s="1"/>
      <c r="B646" s="1"/>
      <c r="C646" s="45"/>
      <c r="D646" s="45"/>
      <c r="E646" s="45"/>
      <c r="F646" s="45"/>
      <c r="G646" s="45"/>
      <c r="H646" s="45"/>
      <c r="I646" s="45"/>
      <c r="J646" s="45"/>
      <c r="K646" s="45"/>
    </row>
    <row r="647" spans="1:11" x14ac:dyDescent="0.25">
      <c r="A647" s="1"/>
      <c r="B647" s="1"/>
      <c r="C647" s="45"/>
      <c r="D647" s="45"/>
      <c r="E647" s="45"/>
      <c r="F647" s="45"/>
      <c r="G647" s="45"/>
      <c r="H647" s="45"/>
      <c r="I647" s="45"/>
      <c r="J647" s="45"/>
      <c r="K647" s="45"/>
    </row>
    <row r="648" spans="1:11" x14ac:dyDescent="0.25">
      <c r="A648" s="1"/>
      <c r="B648" s="1"/>
      <c r="C648" s="45"/>
      <c r="D648" s="45"/>
      <c r="E648" s="45"/>
      <c r="F648" s="45"/>
      <c r="G648" s="45"/>
      <c r="H648" s="45"/>
      <c r="I648" s="45"/>
      <c r="J648" s="45"/>
      <c r="K648" s="45"/>
    </row>
    <row r="649" spans="1:11" x14ac:dyDescent="0.25">
      <c r="A649" s="1"/>
      <c r="B649" s="1"/>
      <c r="C649" s="45"/>
      <c r="D649" s="45"/>
      <c r="E649" s="45"/>
      <c r="F649" s="45"/>
      <c r="G649" s="45"/>
      <c r="H649" s="45"/>
      <c r="I649" s="45"/>
      <c r="J649" s="45"/>
      <c r="K649" s="45"/>
    </row>
    <row r="650" spans="1:11" x14ac:dyDescent="0.25">
      <c r="A650" s="1"/>
      <c r="B650" s="1"/>
      <c r="C650" s="45"/>
      <c r="D650" s="45"/>
      <c r="E650" s="45"/>
      <c r="F650" s="45"/>
      <c r="G650" s="45"/>
      <c r="H650" s="45"/>
      <c r="I650" s="45"/>
      <c r="J650" s="45"/>
      <c r="K650" s="45"/>
    </row>
    <row r="651" spans="1:11" x14ac:dyDescent="0.25">
      <c r="A651" s="1"/>
      <c r="B651" s="1"/>
      <c r="C651" s="45"/>
      <c r="D651" s="45"/>
      <c r="E651" s="45"/>
      <c r="F651" s="45"/>
      <c r="G651" s="45"/>
      <c r="H651" s="45"/>
      <c r="I651" s="45"/>
      <c r="J651" s="45"/>
      <c r="K651" s="45"/>
    </row>
    <row r="652" spans="1:11" x14ac:dyDescent="0.25">
      <c r="A652" s="1"/>
      <c r="B652" s="1"/>
      <c r="C652" s="45"/>
      <c r="D652" s="45"/>
      <c r="E652" s="45"/>
      <c r="F652" s="45"/>
      <c r="G652" s="45"/>
      <c r="H652" s="45"/>
      <c r="I652" s="45"/>
      <c r="J652" s="45"/>
      <c r="K652" s="45"/>
    </row>
    <row r="653" spans="1:11" x14ac:dyDescent="0.25">
      <c r="A653" s="1"/>
      <c r="B653" s="1"/>
      <c r="C653" s="45"/>
      <c r="D653" s="45"/>
      <c r="E653" s="45"/>
      <c r="F653" s="45"/>
      <c r="G653" s="45"/>
      <c r="H653" s="45"/>
      <c r="I653" s="45"/>
      <c r="J653" s="45"/>
      <c r="K653" s="45"/>
    </row>
    <row r="654" spans="1:11" x14ac:dyDescent="0.25">
      <c r="A654" s="1"/>
      <c r="B654" s="1"/>
      <c r="C654" s="45"/>
      <c r="D654" s="45"/>
      <c r="E654" s="45"/>
      <c r="F654" s="45"/>
      <c r="G654" s="45"/>
      <c r="H654" s="45"/>
      <c r="I654" s="45"/>
      <c r="J654" s="45"/>
      <c r="K654" s="45"/>
    </row>
    <row r="655" spans="1:11" x14ac:dyDescent="0.25">
      <c r="A655" s="1"/>
      <c r="B655" s="1"/>
      <c r="C655" s="45"/>
      <c r="D655" s="45"/>
      <c r="E655" s="45"/>
      <c r="F655" s="45"/>
      <c r="G655" s="45"/>
      <c r="H655" s="45"/>
      <c r="I655" s="45"/>
      <c r="J655" s="45"/>
      <c r="K655" s="45"/>
    </row>
    <row r="656" spans="1:11" x14ac:dyDescent="0.25">
      <c r="A656" s="1"/>
      <c r="B656" s="1"/>
      <c r="C656" s="45"/>
      <c r="D656" s="45"/>
      <c r="E656" s="45"/>
      <c r="F656" s="45"/>
      <c r="G656" s="45"/>
      <c r="H656" s="45"/>
      <c r="I656" s="45"/>
      <c r="J656" s="45"/>
      <c r="K656" s="45"/>
    </row>
    <row r="657" spans="1:11" x14ac:dyDescent="0.25">
      <c r="A657" s="1"/>
      <c r="B657" s="1"/>
      <c r="C657" s="45"/>
      <c r="D657" s="45"/>
      <c r="E657" s="45"/>
      <c r="F657" s="45"/>
      <c r="G657" s="45"/>
      <c r="H657" s="45"/>
      <c r="I657" s="45"/>
      <c r="J657" s="45"/>
      <c r="K657" s="45"/>
    </row>
    <row r="658" spans="1:11" x14ac:dyDescent="0.25">
      <c r="A658" s="1"/>
      <c r="B658" s="1"/>
      <c r="C658" s="45"/>
      <c r="D658" s="45"/>
      <c r="E658" s="45"/>
      <c r="F658" s="45"/>
      <c r="G658" s="45"/>
      <c r="H658" s="45"/>
      <c r="I658" s="45"/>
      <c r="J658" s="45"/>
      <c r="K658" s="45"/>
    </row>
    <row r="659" spans="1:11" x14ac:dyDescent="0.25">
      <c r="A659" s="1"/>
      <c r="B659" s="1"/>
      <c r="C659" s="45"/>
      <c r="D659" s="45"/>
      <c r="E659" s="45"/>
      <c r="F659" s="45"/>
      <c r="G659" s="45"/>
      <c r="H659" s="45"/>
      <c r="I659" s="45"/>
      <c r="J659" s="45"/>
      <c r="K659" s="45"/>
    </row>
    <row r="660" spans="1:11" x14ac:dyDescent="0.25">
      <c r="A660" s="1"/>
      <c r="B660" s="1"/>
      <c r="C660" s="45"/>
      <c r="D660" s="45"/>
      <c r="E660" s="45"/>
      <c r="F660" s="45"/>
      <c r="G660" s="45"/>
      <c r="H660" s="45"/>
      <c r="I660" s="45"/>
      <c r="J660" s="45"/>
      <c r="K660" s="45"/>
    </row>
    <row r="661" spans="1:11" x14ac:dyDescent="0.25">
      <c r="A661" s="1"/>
      <c r="B661" s="1"/>
      <c r="C661" s="45"/>
      <c r="D661" s="45"/>
      <c r="E661" s="45"/>
      <c r="F661" s="45"/>
      <c r="G661" s="45"/>
      <c r="H661" s="45"/>
      <c r="I661" s="45"/>
      <c r="J661" s="45"/>
      <c r="K661" s="45"/>
    </row>
    <row r="662" spans="1:11" x14ac:dyDescent="0.25">
      <c r="A662" s="1"/>
      <c r="B662" s="1"/>
      <c r="C662" s="45"/>
      <c r="D662" s="45"/>
      <c r="E662" s="45"/>
      <c r="F662" s="45"/>
      <c r="G662" s="45"/>
      <c r="H662" s="45"/>
      <c r="I662" s="45"/>
      <c r="J662" s="45"/>
      <c r="K662" s="45"/>
    </row>
    <row r="663" spans="1:11" x14ac:dyDescent="0.25">
      <c r="A663" s="1"/>
      <c r="B663" s="1"/>
      <c r="C663" s="45"/>
      <c r="D663" s="45"/>
      <c r="E663" s="45"/>
      <c r="F663" s="45"/>
      <c r="G663" s="45"/>
      <c r="H663" s="45"/>
      <c r="I663" s="45"/>
      <c r="J663" s="45"/>
      <c r="K663" s="45"/>
    </row>
    <row r="664" spans="1:11" x14ac:dyDescent="0.25">
      <c r="A664" s="1"/>
      <c r="B664" s="1"/>
      <c r="C664" s="45"/>
      <c r="D664" s="45"/>
      <c r="E664" s="45"/>
      <c r="F664" s="45"/>
      <c r="G664" s="45"/>
      <c r="H664" s="45"/>
      <c r="I664" s="45"/>
      <c r="J664" s="45"/>
      <c r="K664" s="45"/>
    </row>
    <row r="665" spans="1:11" x14ac:dyDescent="0.25">
      <c r="A665" s="1"/>
      <c r="B665" s="1"/>
      <c r="C665" s="45"/>
      <c r="D665" s="45"/>
      <c r="E665" s="45"/>
      <c r="F665" s="45"/>
      <c r="G665" s="45"/>
      <c r="H665" s="45"/>
      <c r="I665" s="45"/>
      <c r="J665" s="45"/>
      <c r="K665" s="45"/>
    </row>
    <row r="666" spans="1:11" x14ac:dyDescent="0.25">
      <c r="A666" s="1"/>
      <c r="B666" s="1"/>
      <c r="C666" s="45"/>
      <c r="D666" s="45"/>
      <c r="E666" s="45"/>
      <c r="F666" s="45"/>
      <c r="G666" s="45"/>
      <c r="H666" s="45"/>
      <c r="I666" s="45"/>
      <c r="J666" s="45"/>
      <c r="K666" s="45"/>
    </row>
    <row r="667" spans="1:11" x14ac:dyDescent="0.25">
      <c r="A667" s="1"/>
      <c r="B667" s="1"/>
      <c r="C667" s="45"/>
      <c r="D667" s="45"/>
      <c r="E667" s="45"/>
      <c r="F667" s="45"/>
      <c r="G667" s="45"/>
      <c r="H667" s="45"/>
      <c r="I667" s="45"/>
      <c r="J667" s="45"/>
      <c r="K667" s="45"/>
    </row>
    <row r="668" spans="1:11" x14ac:dyDescent="0.25">
      <c r="A668" s="1"/>
      <c r="B668" s="1"/>
      <c r="C668" s="45"/>
      <c r="D668" s="45"/>
      <c r="E668" s="45"/>
      <c r="F668" s="45"/>
      <c r="G668" s="45"/>
      <c r="H668" s="45"/>
      <c r="I668" s="45"/>
      <c r="J668" s="45"/>
      <c r="K668" s="45"/>
    </row>
    <row r="669" spans="1:11" x14ac:dyDescent="0.25">
      <c r="A669" s="1"/>
      <c r="B669" s="1"/>
      <c r="C669" s="45"/>
      <c r="D669" s="45"/>
      <c r="E669" s="45"/>
      <c r="F669" s="45"/>
      <c r="G669" s="45"/>
      <c r="H669" s="45"/>
      <c r="I669" s="45"/>
      <c r="J669" s="45"/>
      <c r="K669" s="45"/>
    </row>
    <row r="670" spans="1:11" x14ac:dyDescent="0.25">
      <c r="A670" s="1"/>
      <c r="B670" s="1"/>
      <c r="C670" s="45"/>
      <c r="D670" s="45"/>
      <c r="E670" s="45"/>
      <c r="F670" s="45"/>
      <c r="G670" s="45"/>
      <c r="H670" s="45"/>
      <c r="I670" s="45"/>
      <c r="J670" s="45"/>
      <c r="K670" s="45"/>
    </row>
    <row r="671" spans="1:11" x14ac:dyDescent="0.25">
      <c r="A671" s="1"/>
      <c r="B671" s="1"/>
      <c r="C671" s="45"/>
      <c r="D671" s="45"/>
      <c r="E671" s="45"/>
      <c r="F671" s="45"/>
      <c r="G671" s="45"/>
      <c r="H671" s="45"/>
      <c r="I671" s="45"/>
      <c r="J671" s="45"/>
      <c r="K671" s="45"/>
    </row>
    <row r="672" spans="1:11" x14ac:dyDescent="0.25">
      <c r="A672" s="1"/>
      <c r="B672" s="1"/>
      <c r="C672" s="45"/>
      <c r="D672" s="45"/>
      <c r="E672" s="45"/>
      <c r="F672" s="45"/>
      <c r="G672" s="45"/>
      <c r="H672" s="45"/>
      <c r="I672" s="45"/>
      <c r="J672" s="45"/>
      <c r="K672" s="45"/>
    </row>
    <row r="673" spans="1:11" x14ac:dyDescent="0.25">
      <c r="A673" s="1"/>
      <c r="B673" s="1"/>
      <c r="C673" s="45"/>
      <c r="D673" s="45"/>
      <c r="E673" s="45"/>
      <c r="F673" s="45"/>
      <c r="G673" s="45"/>
      <c r="H673" s="45"/>
      <c r="I673" s="45"/>
      <c r="J673" s="45"/>
      <c r="K673" s="45"/>
    </row>
    <row r="674" spans="1:11" x14ac:dyDescent="0.25">
      <c r="A674" s="1"/>
      <c r="B674" s="1"/>
      <c r="C674" s="45"/>
      <c r="D674" s="45"/>
      <c r="E674" s="45"/>
      <c r="F674" s="45"/>
      <c r="G674" s="45"/>
      <c r="H674" s="45"/>
      <c r="I674" s="45"/>
      <c r="J674" s="45"/>
      <c r="K674" s="45"/>
    </row>
    <row r="675" spans="1:11" x14ac:dyDescent="0.25">
      <c r="A675" s="1"/>
      <c r="B675" s="1"/>
      <c r="C675" s="45"/>
      <c r="D675" s="45"/>
      <c r="E675" s="45"/>
      <c r="F675" s="45"/>
      <c r="G675" s="45"/>
      <c r="H675" s="45"/>
      <c r="I675" s="45"/>
      <c r="J675" s="45"/>
      <c r="K675" s="45"/>
    </row>
    <row r="676" spans="1:11" x14ac:dyDescent="0.25">
      <c r="A676" s="1"/>
      <c r="B676" s="1"/>
      <c r="C676" s="45"/>
      <c r="D676" s="45"/>
      <c r="E676" s="45"/>
      <c r="F676" s="45"/>
      <c r="G676" s="45"/>
      <c r="H676" s="45"/>
      <c r="I676" s="45"/>
      <c r="J676" s="45"/>
      <c r="K676" s="45"/>
    </row>
    <row r="677" spans="1:11" x14ac:dyDescent="0.25">
      <c r="A677" s="1"/>
      <c r="B677" s="1"/>
      <c r="C677" s="45"/>
      <c r="D677" s="45"/>
      <c r="E677" s="45"/>
      <c r="F677" s="45"/>
      <c r="G677" s="45"/>
      <c r="H677" s="45"/>
      <c r="I677" s="45"/>
      <c r="J677" s="45"/>
      <c r="K677" s="45"/>
    </row>
    <row r="678" spans="1:11" x14ac:dyDescent="0.25">
      <c r="A678" s="1"/>
      <c r="B678" s="1"/>
      <c r="C678" s="45"/>
      <c r="D678" s="45"/>
      <c r="E678" s="45"/>
      <c r="F678" s="45"/>
      <c r="G678" s="45"/>
      <c r="H678" s="45"/>
      <c r="I678" s="45"/>
      <c r="J678" s="45"/>
      <c r="K678" s="45"/>
    </row>
    <row r="679" spans="1:11" x14ac:dyDescent="0.25">
      <c r="A679" s="1"/>
      <c r="B679" s="1"/>
      <c r="C679" s="45"/>
      <c r="D679" s="45"/>
      <c r="E679" s="45"/>
      <c r="F679" s="45"/>
      <c r="G679" s="45"/>
      <c r="H679" s="45"/>
      <c r="I679" s="45"/>
      <c r="J679" s="45"/>
      <c r="K679" s="45"/>
    </row>
    <row r="680" spans="1:11" x14ac:dyDescent="0.25">
      <c r="A680" s="1"/>
      <c r="B680" s="1"/>
      <c r="C680" s="45"/>
      <c r="D680" s="45"/>
      <c r="E680" s="45"/>
      <c r="F680" s="45"/>
      <c r="G680" s="45"/>
      <c r="H680" s="45"/>
      <c r="I680" s="45"/>
      <c r="J680" s="45"/>
      <c r="K680" s="45"/>
    </row>
    <row r="681" spans="1:11" x14ac:dyDescent="0.25">
      <c r="A681" s="1"/>
      <c r="B681" s="1"/>
      <c r="C681" s="45"/>
      <c r="D681" s="45"/>
      <c r="E681" s="45"/>
      <c r="F681" s="45"/>
      <c r="G681" s="45"/>
      <c r="H681" s="45"/>
      <c r="I681" s="45"/>
      <c r="J681" s="45"/>
      <c r="K681" s="45"/>
    </row>
    <row r="682" spans="1:11" x14ac:dyDescent="0.25">
      <c r="A682" s="1"/>
      <c r="B682" s="1"/>
      <c r="C682" s="45"/>
      <c r="D682" s="45"/>
      <c r="E682" s="45"/>
      <c r="F682" s="45"/>
      <c r="G682" s="45"/>
      <c r="H682" s="45"/>
      <c r="I682" s="45"/>
      <c r="J682" s="45"/>
      <c r="K682" s="45"/>
    </row>
    <row r="683" spans="1:11" x14ac:dyDescent="0.25">
      <c r="A683" s="1"/>
      <c r="B683" s="1"/>
      <c r="C683" s="45"/>
      <c r="D683" s="45"/>
      <c r="E683" s="45"/>
      <c r="F683" s="45"/>
      <c r="G683" s="45"/>
      <c r="H683" s="45"/>
      <c r="I683" s="45"/>
      <c r="J683" s="45"/>
      <c r="K683" s="45"/>
    </row>
    <row r="684" spans="1:11" x14ac:dyDescent="0.25">
      <c r="A684" s="1"/>
      <c r="B684" s="1"/>
      <c r="C684" s="45"/>
      <c r="D684" s="45"/>
      <c r="E684" s="45"/>
      <c r="F684" s="45"/>
      <c r="G684" s="45"/>
      <c r="H684" s="45"/>
      <c r="I684" s="45"/>
      <c r="J684" s="45"/>
      <c r="K684" s="45"/>
    </row>
    <row r="685" spans="1:11" x14ac:dyDescent="0.25">
      <c r="A685" s="1"/>
      <c r="B685" s="1"/>
      <c r="C685" s="45"/>
      <c r="D685" s="45"/>
      <c r="E685" s="45"/>
      <c r="F685" s="45"/>
      <c r="G685" s="45"/>
      <c r="H685" s="45"/>
      <c r="I685" s="45"/>
      <c r="J685" s="45"/>
      <c r="K685" s="45"/>
    </row>
    <row r="686" spans="1:11" x14ac:dyDescent="0.25">
      <c r="A686" s="1"/>
      <c r="B686" s="1"/>
      <c r="C686" s="45"/>
      <c r="D686" s="45"/>
      <c r="E686" s="45"/>
      <c r="F686" s="45"/>
      <c r="G686" s="45"/>
      <c r="H686" s="45"/>
      <c r="I686" s="45"/>
      <c r="J686" s="45"/>
      <c r="K686" s="45"/>
    </row>
    <row r="687" spans="1:11" x14ac:dyDescent="0.25">
      <c r="A687" s="1"/>
      <c r="B687" s="1"/>
      <c r="C687" s="45"/>
      <c r="D687" s="45"/>
      <c r="E687" s="45"/>
      <c r="F687" s="45"/>
      <c r="G687" s="45"/>
      <c r="H687" s="45"/>
      <c r="I687" s="45"/>
      <c r="J687" s="45"/>
      <c r="K687" s="45"/>
    </row>
    <row r="688" spans="1:11" x14ac:dyDescent="0.25">
      <c r="A688" s="1"/>
      <c r="B688" s="1"/>
      <c r="C688" s="45"/>
      <c r="D688" s="45"/>
      <c r="E688" s="45"/>
      <c r="F688" s="45"/>
      <c r="G688" s="45"/>
      <c r="H688" s="45"/>
      <c r="I688" s="45"/>
      <c r="J688" s="45"/>
      <c r="K688" s="45"/>
    </row>
    <row r="689" spans="1:11" x14ac:dyDescent="0.25">
      <c r="A689" s="1"/>
      <c r="B689" s="1"/>
      <c r="C689" s="45"/>
      <c r="D689" s="45"/>
      <c r="E689" s="45"/>
      <c r="F689" s="45"/>
      <c r="G689" s="45"/>
      <c r="H689" s="45"/>
      <c r="I689" s="45"/>
      <c r="J689" s="45"/>
      <c r="K689" s="45"/>
    </row>
    <row r="690" spans="1:11" x14ac:dyDescent="0.25">
      <c r="A690" s="1"/>
      <c r="B690" s="1"/>
      <c r="C690" s="45"/>
      <c r="D690" s="45"/>
      <c r="E690" s="45"/>
      <c r="F690" s="45"/>
      <c r="G690" s="45"/>
      <c r="H690" s="45"/>
      <c r="I690" s="45"/>
      <c r="J690" s="45"/>
      <c r="K690" s="45"/>
    </row>
    <row r="691" spans="1:11" x14ac:dyDescent="0.25">
      <c r="A691" s="1"/>
      <c r="B691" s="1"/>
      <c r="C691" s="45"/>
      <c r="D691" s="45"/>
      <c r="E691" s="45"/>
      <c r="F691" s="45"/>
      <c r="G691" s="45"/>
      <c r="H691" s="45"/>
      <c r="I691" s="45"/>
      <c r="J691" s="45"/>
      <c r="K691" s="45"/>
    </row>
    <row r="692" spans="1:11" x14ac:dyDescent="0.25">
      <c r="A692" s="1"/>
      <c r="B692" s="1"/>
      <c r="C692" s="45"/>
      <c r="D692" s="45"/>
      <c r="E692" s="45"/>
      <c r="F692" s="45"/>
      <c r="G692" s="45"/>
      <c r="H692" s="45"/>
      <c r="I692" s="45"/>
      <c r="J692" s="45"/>
      <c r="K692" s="45"/>
    </row>
    <row r="693" spans="1:11" x14ac:dyDescent="0.25">
      <c r="A693" s="1"/>
      <c r="B693" s="1"/>
      <c r="C693" s="45"/>
      <c r="D693" s="45"/>
      <c r="E693" s="45"/>
      <c r="F693" s="45"/>
      <c r="G693" s="45"/>
      <c r="H693" s="45"/>
      <c r="I693" s="45"/>
      <c r="J693" s="45"/>
      <c r="K693" s="45"/>
    </row>
    <row r="694" spans="1:11" x14ac:dyDescent="0.25">
      <c r="A694" s="1"/>
      <c r="B694" s="1"/>
      <c r="C694" s="45"/>
      <c r="D694" s="45"/>
      <c r="E694" s="45"/>
      <c r="F694" s="45"/>
      <c r="G694" s="45"/>
      <c r="H694" s="45"/>
      <c r="I694" s="45"/>
      <c r="J694" s="45"/>
      <c r="K694" s="45"/>
    </row>
    <row r="695" spans="1:11" x14ac:dyDescent="0.25">
      <c r="A695" s="1"/>
      <c r="B695" s="1"/>
      <c r="C695" s="45"/>
      <c r="D695" s="45"/>
      <c r="E695" s="45"/>
      <c r="F695" s="45"/>
      <c r="G695" s="45"/>
      <c r="H695" s="45"/>
      <c r="I695" s="45"/>
      <c r="J695" s="45"/>
      <c r="K695" s="45"/>
    </row>
    <row r="696" spans="1:11" x14ac:dyDescent="0.25">
      <c r="A696" s="1"/>
      <c r="B696" s="1"/>
      <c r="C696" s="45"/>
      <c r="D696" s="45"/>
      <c r="E696" s="45"/>
      <c r="F696" s="45"/>
      <c r="G696" s="45"/>
      <c r="H696" s="45"/>
      <c r="I696" s="45"/>
      <c r="J696" s="45"/>
      <c r="K696" s="45"/>
    </row>
    <row r="697" spans="1:11" x14ac:dyDescent="0.25">
      <c r="A697" s="1"/>
      <c r="B697" s="1"/>
      <c r="C697" s="45"/>
      <c r="D697" s="45"/>
      <c r="E697" s="45"/>
      <c r="F697" s="45"/>
      <c r="G697" s="45"/>
      <c r="H697" s="45"/>
      <c r="I697" s="45"/>
      <c r="J697" s="45"/>
      <c r="K697" s="45"/>
    </row>
    <row r="698" spans="1:11" x14ac:dyDescent="0.25">
      <c r="A698" s="1"/>
      <c r="B698" s="1"/>
      <c r="C698" s="45"/>
      <c r="D698" s="45"/>
      <c r="E698" s="45"/>
      <c r="F698" s="45"/>
      <c r="G698" s="45"/>
      <c r="H698" s="45"/>
      <c r="I698" s="45"/>
      <c r="J698" s="45"/>
      <c r="K698" s="45"/>
    </row>
    <row r="699" spans="1:11" x14ac:dyDescent="0.25">
      <c r="A699" s="1"/>
      <c r="B699" s="1"/>
      <c r="C699" s="45"/>
      <c r="D699" s="45"/>
      <c r="E699" s="45"/>
      <c r="F699" s="45"/>
      <c r="G699" s="45"/>
      <c r="H699" s="45"/>
      <c r="I699" s="45"/>
      <c r="J699" s="45"/>
      <c r="K699" s="45"/>
    </row>
    <row r="700" spans="1:11" x14ac:dyDescent="0.25">
      <c r="A700" s="1"/>
      <c r="B700" s="1"/>
      <c r="C700" s="45"/>
      <c r="D700" s="45"/>
      <c r="E700" s="45"/>
      <c r="F700" s="45"/>
      <c r="G700" s="45"/>
      <c r="H700" s="45"/>
      <c r="I700" s="45"/>
      <c r="J700" s="45"/>
      <c r="K700" s="45"/>
    </row>
    <row r="701" spans="1:11" x14ac:dyDescent="0.25">
      <c r="A701" s="1"/>
      <c r="B701" s="1"/>
      <c r="C701" s="45"/>
      <c r="D701" s="45"/>
      <c r="E701" s="45"/>
      <c r="F701" s="45"/>
      <c r="G701" s="45"/>
      <c r="H701" s="45"/>
      <c r="I701" s="45"/>
      <c r="J701" s="45"/>
      <c r="K701" s="45"/>
    </row>
    <row r="702" spans="1:11" x14ac:dyDescent="0.25">
      <c r="A702" s="1"/>
      <c r="B702" s="1"/>
      <c r="C702" s="45"/>
      <c r="D702" s="45"/>
      <c r="E702" s="45"/>
      <c r="F702" s="45"/>
      <c r="G702" s="45"/>
      <c r="H702" s="45"/>
      <c r="I702" s="45"/>
      <c r="J702" s="45"/>
      <c r="K702" s="45"/>
    </row>
    <row r="703" spans="1:11" x14ac:dyDescent="0.25">
      <c r="A703" s="1"/>
      <c r="B703" s="1"/>
      <c r="C703" s="45"/>
      <c r="D703" s="45"/>
      <c r="E703" s="45"/>
      <c r="F703" s="45"/>
      <c r="G703" s="45"/>
      <c r="H703" s="45"/>
      <c r="I703" s="45"/>
      <c r="J703" s="45"/>
      <c r="K703" s="45"/>
    </row>
    <row r="704" spans="1:11" x14ac:dyDescent="0.25">
      <c r="A704" s="1"/>
      <c r="B704" s="1"/>
      <c r="C704" s="45"/>
      <c r="D704" s="45"/>
      <c r="E704" s="45"/>
      <c r="F704" s="45"/>
      <c r="G704" s="45"/>
      <c r="H704" s="45"/>
      <c r="I704" s="45"/>
      <c r="J704" s="45"/>
      <c r="K704" s="45"/>
    </row>
    <row r="705" spans="1:11" x14ac:dyDescent="0.25">
      <c r="A705" s="1"/>
      <c r="B705" s="1"/>
      <c r="C705" s="45"/>
      <c r="D705" s="45"/>
      <c r="E705" s="45"/>
      <c r="F705" s="45"/>
      <c r="G705" s="45"/>
      <c r="H705" s="45"/>
      <c r="I705" s="45"/>
      <c r="J705" s="45"/>
      <c r="K705" s="45"/>
    </row>
    <row r="706" spans="1:11" x14ac:dyDescent="0.25">
      <c r="A706" s="1"/>
      <c r="B706" s="1"/>
      <c r="C706" s="45"/>
      <c r="D706" s="45"/>
      <c r="E706" s="45"/>
      <c r="F706" s="45"/>
      <c r="G706" s="45"/>
      <c r="H706" s="45"/>
      <c r="I706" s="45"/>
      <c r="J706" s="45"/>
      <c r="K706" s="45"/>
    </row>
    <row r="707" spans="1:11" x14ac:dyDescent="0.25">
      <c r="A707" s="1"/>
      <c r="B707" s="1"/>
      <c r="C707" s="45"/>
      <c r="D707" s="45"/>
      <c r="E707" s="45"/>
      <c r="F707" s="45"/>
      <c r="G707" s="45"/>
      <c r="H707" s="45"/>
      <c r="I707" s="45"/>
      <c r="J707" s="45"/>
      <c r="K707" s="45"/>
    </row>
    <row r="708" spans="1:11" x14ac:dyDescent="0.25">
      <c r="A708" s="1"/>
      <c r="B708" s="1"/>
      <c r="C708" s="45"/>
      <c r="D708" s="45"/>
      <c r="E708" s="45"/>
      <c r="F708" s="45"/>
      <c r="G708" s="45"/>
      <c r="H708" s="45"/>
      <c r="I708" s="45"/>
      <c r="J708" s="45"/>
      <c r="K708" s="45"/>
    </row>
    <row r="709" spans="1:11" x14ac:dyDescent="0.25">
      <c r="A709" s="1"/>
      <c r="B709" s="1"/>
      <c r="C709" s="45"/>
      <c r="D709" s="45"/>
      <c r="E709" s="45"/>
      <c r="F709" s="45"/>
      <c r="G709" s="45"/>
      <c r="H709" s="45"/>
      <c r="I709" s="45"/>
      <c r="J709" s="45"/>
      <c r="K709" s="45"/>
    </row>
    <row r="710" spans="1:11" x14ac:dyDescent="0.25">
      <c r="A710" s="1"/>
      <c r="B710" s="1"/>
      <c r="C710" s="45"/>
      <c r="D710" s="45"/>
      <c r="E710" s="45"/>
      <c r="F710" s="45"/>
      <c r="G710" s="45"/>
      <c r="H710" s="45"/>
      <c r="I710" s="45"/>
      <c r="J710" s="45"/>
      <c r="K710" s="45"/>
    </row>
    <row r="711" spans="1:11" x14ac:dyDescent="0.25">
      <c r="A711" s="1"/>
      <c r="B711" s="1"/>
      <c r="C711" s="45"/>
      <c r="D711" s="45"/>
      <c r="E711" s="45"/>
      <c r="F711" s="45"/>
      <c r="G711" s="45"/>
      <c r="H711" s="45"/>
      <c r="I711" s="45"/>
      <c r="J711" s="45"/>
      <c r="K711" s="45"/>
    </row>
    <row r="712" spans="1:11" x14ac:dyDescent="0.25">
      <c r="A712" s="1"/>
      <c r="B712" s="1"/>
      <c r="C712" s="45"/>
      <c r="D712" s="45"/>
      <c r="E712" s="45"/>
      <c r="F712" s="45"/>
      <c r="G712" s="45"/>
      <c r="H712" s="45"/>
      <c r="I712" s="45"/>
      <c r="J712" s="45"/>
      <c r="K712" s="45"/>
    </row>
    <row r="713" spans="1:11" x14ac:dyDescent="0.25">
      <c r="A713" s="1"/>
      <c r="B713" s="1"/>
      <c r="C713" s="45"/>
      <c r="D713" s="45"/>
      <c r="E713" s="45"/>
      <c r="F713" s="45"/>
      <c r="G713" s="45"/>
      <c r="H713" s="45"/>
      <c r="I713" s="45"/>
      <c r="J713" s="45"/>
      <c r="K713" s="45"/>
    </row>
    <row r="714" spans="1:11" x14ac:dyDescent="0.25">
      <c r="A714" s="1"/>
      <c r="B714" s="1"/>
      <c r="C714" s="45"/>
      <c r="D714" s="45"/>
      <c r="E714" s="45"/>
      <c r="F714" s="45"/>
      <c r="G714" s="45"/>
      <c r="H714" s="45"/>
      <c r="I714" s="45"/>
      <c r="J714" s="45"/>
      <c r="K714" s="45"/>
    </row>
    <row r="715" spans="1:11" x14ac:dyDescent="0.25">
      <c r="A715" s="1"/>
      <c r="B715" s="1"/>
      <c r="C715" s="45"/>
      <c r="D715" s="45"/>
      <c r="E715" s="45"/>
      <c r="F715" s="45"/>
      <c r="G715" s="45"/>
      <c r="H715" s="45"/>
      <c r="I715" s="45"/>
      <c r="J715" s="45"/>
      <c r="K715" s="45"/>
    </row>
    <row r="716" spans="1:11" x14ac:dyDescent="0.25">
      <c r="A716" s="1"/>
      <c r="B716" s="1"/>
      <c r="C716" s="45"/>
      <c r="D716" s="45"/>
      <c r="E716" s="45"/>
      <c r="F716" s="45"/>
      <c r="G716" s="45"/>
      <c r="H716" s="45"/>
      <c r="I716" s="45"/>
      <c r="J716" s="45"/>
      <c r="K716" s="45"/>
    </row>
    <row r="717" spans="1:11" x14ac:dyDescent="0.25">
      <c r="A717" s="1"/>
      <c r="B717" s="1"/>
      <c r="C717" s="45"/>
      <c r="D717" s="45"/>
      <c r="E717" s="45"/>
      <c r="F717" s="45"/>
      <c r="G717" s="45"/>
      <c r="H717" s="45"/>
      <c r="I717" s="45"/>
      <c r="J717" s="45"/>
      <c r="K717" s="45"/>
    </row>
    <row r="718" spans="1:11" x14ac:dyDescent="0.25">
      <c r="A718" s="1"/>
      <c r="B718" s="1"/>
      <c r="C718" s="45"/>
      <c r="D718" s="45"/>
      <c r="E718" s="45"/>
      <c r="F718" s="45"/>
      <c r="G718" s="45"/>
      <c r="H718" s="45"/>
      <c r="I718" s="45"/>
      <c r="J718" s="45"/>
      <c r="K718" s="45"/>
    </row>
    <row r="719" spans="1:11" x14ac:dyDescent="0.25">
      <c r="A719" s="1"/>
      <c r="B719" s="1"/>
      <c r="C719" s="45"/>
      <c r="D719" s="45"/>
      <c r="E719" s="45"/>
      <c r="F719" s="45"/>
      <c r="G719" s="45"/>
      <c r="H719" s="45"/>
      <c r="I719" s="45"/>
      <c r="J719" s="45"/>
      <c r="K719" s="45"/>
    </row>
    <row r="720" spans="1:11" x14ac:dyDescent="0.25">
      <c r="A720" s="1"/>
      <c r="B720" s="1"/>
      <c r="C720" s="45"/>
      <c r="D720" s="45"/>
      <c r="E720" s="45"/>
      <c r="F720" s="45"/>
      <c r="G720" s="45"/>
      <c r="H720" s="45"/>
      <c r="I720" s="45"/>
      <c r="J720" s="45"/>
      <c r="K720" s="45"/>
    </row>
    <row r="721" spans="1:11" x14ac:dyDescent="0.25">
      <c r="A721" s="1"/>
      <c r="B721" s="1"/>
      <c r="C721" s="45"/>
      <c r="D721" s="45"/>
      <c r="E721" s="45"/>
      <c r="F721" s="45"/>
      <c r="G721" s="45"/>
      <c r="H721" s="45"/>
      <c r="I721" s="45"/>
      <c r="J721" s="45"/>
      <c r="K721" s="45"/>
    </row>
    <row r="722" spans="1:11" x14ac:dyDescent="0.25">
      <c r="A722" s="1"/>
      <c r="B722" s="1"/>
      <c r="C722" s="45"/>
      <c r="D722" s="45"/>
      <c r="E722" s="45"/>
      <c r="F722" s="45"/>
      <c r="G722" s="45"/>
      <c r="H722" s="45"/>
      <c r="I722" s="45"/>
      <c r="J722" s="45"/>
      <c r="K722" s="45"/>
    </row>
    <row r="723" spans="1:11" x14ac:dyDescent="0.25">
      <c r="A723" s="1"/>
      <c r="B723" s="1"/>
      <c r="C723" s="45"/>
      <c r="D723" s="45"/>
      <c r="E723" s="45"/>
      <c r="F723" s="45"/>
      <c r="G723" s="45"/>
      <c r="H723" s="45"/>
      <c r="I723" s="45"/>
      <c r="J723" s="45"/>
      <c r="K723" s="45"/>
    </row>
    <row r="724" spans="1:11" x14ac:dyDescent="0.25">
      <c r="A724" s="1"/>
      <c r="B724" s="1"/>
      <c r="C724" s="45"/>
      <c r="D724" s="45"/>
      <c r="E724" s="45"/>
      <c r="F724" s="45"/>
      <c r="G724" s="45"/>
      <c r="H724" s="45"/>
      <c r="I724" s="45"/>
      <c r="J724" s="45"/>
      <c r="K724" s="45"/>
    </row>
    <row r="725" spans="1:11" x14ac:dyDescent="0.25">
      <c r="A725" s="1"/>
      <c r="B725" s="1"/>
      <c r="C725" s="45"/>
      <c r="D725" s="45"/>
      <c r="E725" s="45"/>
      <c r="F725" s="45"/>
      <c r="G725" s="45"/>
      <c r="H725" s="45"/>
      <c r="I725" s="45"/>
      <c r="J725" s="45"/>
      <c r="K725" s="45"/>
    </row>
    <row r="726" spans="1:11" x14ac:dyDescent="0.25">
      <c r="A726" s="1"/>
      <c r="B726" s="1"/>
      <c r="C726" s="45"/>
      <c r="D726" s="45"/>
      <c r="E726" s="45"/>
      <c r="F726" s="45"/>
      <c r="G726" s="45"/>
      <c r="H726" s="45"/>
      <c r="I726" s="45"/>
      <c r="J726" s="45"/>
      <c r="K726" s="45"/>
    </row>
    <row r="727" spans="1:11" x14ac:dyDescent="0.25">
      <c r="A727" s="1"/>
      <c r="B727" s="1"/>
      <c r="C727" s="45"/>
      <c r="D727" s="45"/>
      <c r="E727" s="45"/>
      <c r="F727" s="45"/>
      <c r="G727" s="45"/>
      <c r="H727" s="45"/>
      <c r="I727" s="45"/>
      <c r="J727" s="45"/>
      <c r="K727" s="45"/>
    </row>
    <row r="728" spans="1:11" x14ac:dyDescent="0.25">
      <c r="A728" s="1"/>
      <c r="B728" s="1"/>
      <c r="C728" s="45"/>
      <c r="D728" s="45"/>
      <c r="E728" s="45"/>
      <c r="F728" s="45"/>
      <c r="G728" s="45"/>
      <c r="H728" s="45"/>
      <c r="I728" s="45"/>
      <c r="J728" s="45"/>
      <c r="K728" s="45"/>
    </row>
    <row r="729" spans="1:11" x14ac:dyDescent="0.25">
      <c r="A729" s="1"/>
      <c r="B729" s="1"/>
      <c r="C729" s="45"/>
      <c r="D729" s="45"/>
      <c r="E729" s="45"/>
      <c r="F729" s="45"/>
      <c r="G729" s="45"/>
      <c r="H729" s="45"/>
      <c r="I729" s="45"/>
      <c r="J729" s="45"/>
      <c r="K729" s="45"/>
    </row>
    <row r="730" spans="1:11" x14ac:dyDescent="0.25">
      <c r="A730" s="1"/>
      <c r="B730" s="1"/>
      <c r="C730" s="45"/>
      <c r="D730" s="45"/>
      <c r="E730" s="45"/>
      <c r="F730" s="45"/>
      <c r="G730" s="45"/>
      <c r="H730" s="45"/>
      <c r="I730" s="45"/>
      <c r="J730" s="45"/>
      <c r="K730" s="45"/>
    </row>
    <row r="731" spans="1:11" x14ac:dyDescent="0.25">
      <c r="A731" s="1"/>
      <c r="B731" s="1"/>
      <c r="C731" s="45"/>
      <c r="D731" s="45"/>
      <c r="E731" s="45"/>
      <c r="F731" s="45"/>
      <c r="G731" s="45"/>
      <c r="H731" s="45"/>
      <c r="I731" s="45"/>
      <c r="J731" s="45"/>
      <c r="K731" s="45"/>
    </row>
    <row r="732" spans="1:11" x14ac:dyDescent="0.25">
      <c r="A732" s="1"/>
      <c r="B732" s="1"/>
      <c r="C732" s="45"/>
      <c r="D732" s="45"/>
      <c r="E732" s="45"/>
      <c r="F732" s="45"/>
      <c r="G732" s="45"/>
      <c r="H732" s="45"/>
      <c r="I732" s="45"/>
      <c r="J732" s="45"/>
      <c r="K732" s="45"/>
    </row>
    <row r="733" spans="1:11" x14ac:dyDescent="0.25">
      <c r="A733" s="1"/>
      <c r="B733" s="1"/>
      <c r="C733" s="45"/>
      <c r="D733" s="45"/>
      <c r="E733" s="45"/>
      <c r="F733" s="45"/>
      <c r="G733" s="45"/>
      <c r="H733" s="45"/>
      <c r="I733" s="45"/>
      <c r="J733" s="45"/>
      <c r="K733" s="45"/>
    </row>
    <row r="734" spans="1:11" x14ac:dyDescent="0.25">
      <c r="A734" s="1"/>
      <c r="B734" s="1"/>
      <c r="C734" s="45"/>
      <c r="D734" s="45"/>
      <c r="E734" s="45"/>
      <c r="F734" s="45"/>
      <c r="G734" s="45"/>
      <c r="H734" s="45"/>
      <c r="I734" s="45"/>
      <c r="J734" s="45"/>
      <c r="K734" s="45"/>
    </row>
    <row r="735" spans="1:11" x14ac:dyDescent="0.25">
      <c r="A735" s="1"/>
      <c r="B735" s="1"/>
      <c r="C735" s="45"/>
      <c r="D735" s="45"/>
      <c r="E735" s="45"/>
      <c r="F735" s="45"/>
      <c r="G735" s="45"/>
      <c r="H735" s="45"/>
      <c r="I735" s="45"/>
      <c r="J735" s="45"/>
      <c r="K735" s="45"/>
    </row>
    <row r="736" spans="1:11" x14ac:dyDescent="0.25">
      <c r="A736" s="1"/>
      <c r="B736" s="1"/>
      <c r="C736" s="45"/>
      <c r="D736" s="45"/>
      <c r="E736" s="45"/>
      <c r="F736" s="45"/>
      <c r="G736" s="45"/>
      <c r="H736" s="45"/>
      <c r="I736" s="45"/>
      <c r="J736" s="45"/>
      <c r="K736" s="45"/>
    </row>
    <row r="737" spans="1:11" x14ac:dyDescent="0.25">
      <c r="A737" s="1"/>
      <c r="B737" s="1"/>
      <c r="C737" s="45"/>
      <c r="D737" s="45"/>
      <c r="E737" s="45"/>
      <c r="F737" s="45"/>
      <c r="G737" s="45"/>
      <c r="H737" s="45"/>
      <c r="I737" s="45"/>
      <c r="J737" s="45"/>
      <c r="K737" s="45"/>
    </row>
    <row r="738" spans="1:11" x14ac:dyDescent="0.25">
      <c r="A738" s="1"/>
      <c r="B738" s="1"/>
      <c r="C738" s="45"/>
      <c r="D738" s="45"/>
      <c r="E738" s="45"/>
      <c r="F738" s="45"/>
      <c r="G738" s="45"/>
      <c r="H738" s="45"/>
      <c r="I738" s="45"/>
      <c r="J738" s="45"/>
      <c r="K738" s="45"/>
    </row>
    <row r="739" spans="1:11" x14ac:dyDescent="0.25">
      <c r="A739" s="1"/>
      <c r="B739" s="1"/>
      <c r="C739" s="45"/>
      <c r="D739" s="45"/>
      <c r="E739" s="45"/>
      <c r="F739" s="45"/>
      <c r="G739" s="45"/>
      <c r="H739" s="45"/>
      <c r="I739" s="45"/>
      <c r="J739" s="45"/>
      <c r="K739" s="45"/>
    </row>
    <row r="740" spans="1:11" x14ac:dyDescent="0.25">
      <c r="A740" s="1"/>
      <c r="B740" s="1"/>
      <c r="C740" s="45"/>
      <c r="D740" s="45"/>
      <c r="E740" s="45"/>
      <c r="F740" s="45"/>
      <c r="G740" s="45"/>
      <c r="H740" s="45"/>
      <c r="I740" s="45"/>
      <c r="J740" s="45"/>
      <c r="K740" s="45"/>
    </row>
    <row r="741" spans="1:11" x14ac:dyDescent="0.25">
      <c r="A741" s="1"/>
      <c r="B741" s="1"/>
      <c r="C741" s="45"/>
      <c r="D741" s="45"/>
      <c r="E741" s="45"/>
      <c r="F741" s="45"/>
      <c r="G741" s="45"/>
      <c r="H741" s="45"/>
      <c r="I741" s="45"/>
      <c r="J741" s="45"/>
      <c r="K741" s="45"/>
    </row>
    <row r="742" spans="1:11" x14ac:dyDescent="0.25">
      <c r="A742" s="1"/>
      <c r="B742" s="1"/>
      <c r="C742" s="45"/>
      <c r="D742" s="45"/>
      <c r="E742" s="45"/>
      <c r="F742" s="45"/>
      <c r="G742" s="45"/>
      <c r="H742" s="45"/>
      <c r="I742" s="45"/>
      <c r="J742" s="45"/>
      <c r="K742" s="45"/>
    </row>
    <row r="743" spans="1:11" x14ac:dyDescent="0.25">
      <c r="A743" s="1"/>
      <c r="B743" s="1"/>
      <c r="C743" s="45"/>
      <c r="D743" s="45"/>
      <c r="E743" s="45"/>
      <c r="F743" s="45"/>
      <c r="G743" s="45"/>
      <c r="H743" s="45"/>
      <c r="I743" s="45"/>
      <c r="J743" s="45"/>
      <c r="K743" s="45"/>
    </row>
    <row r="744" spans="1:11" x14ac:dyDescent="0.25">
      <c r="A744" s="1"/>
      <c r="B744" s="1"/>
      <c r="C744" s="45"/>
      <c r="D744" s="45"/>
      <c r="E744" s="45"/>
      <c r="F744" s="45"/>
      <c r="G744" s="45"/>
      <c r="H744" s="45"/>
      <c r="I744" s="45"/>
      <c r="J744" s="45"/>
      <c r="K744" s="45"/>
    </row>
    <row r="745" spans="1:11" x14ac:dyDescent="0.25">
      <c r="A745" s="1"/>
      <c r="B745" s="1"/>
      <c r="C745" s="45"/>
      <c r="D745" s="45"/>
      <c r="E745" s="45"/>
      <c r="F745" s="45"/>
      <c r="G745" s="45"/>
      <c r="H745" s="45"/>
      <c r="I745" s="45"/>
      <c r="J745" s="45"/>
      <c r="K745" s="45"/>
    </row>
    <row r="746" spans="1:11" x14ac:dyDescent="0.25">
      <c r="A746" s="1"/>
      <c r="B746" s="1"/>
      <c r="C746" s="45"/>
      <c r="D746" s="45"/>
      <c r="E746" s="45"/>
      <c r="F746" s="45"/>
      <c r="G746" s="45"/>
      <c r="H746" s="45"/>
      <c r="I746" s="45"/>
      <c r="J746" s="45"/>
      <c r="K746" s="45"/>
    </row>
    <row r="747" spans="1:11" x14ac:dyDescent="0.25">
      <c r="A747" s="1"/>
      <c r="B747" s="1"/>
      <c r="C747" s="45"/>
      <c r="D747" s="45"/>
      <c r="E747" s="45"/>
      <c r="F747" s="45"/>
      <c r="G747" s="45"/>
      <c r="H747" s="45"/>
      <c r="I747" s="45"/>
      <c r="J747" s="45"/>
      <c r="K747" s="45"/>
    </row>
    <row r="748" spans="1:11" x14ac:dyDescent="0.25">
      <c r="A748" s="1"/>
      <c r="B748" s="1"/>
      <c r="C748" s="45"/>
      <c r="D748" s="45"/>
      <c r="E748" s="45"/>
      <c r="F748" s="45"/>
      <c r="G748" s="45"/>
      <c r="H748" s="45"/>
      <c r="I748" s="45"/>
      <c r="J748" s="45"/>
      <c r="K748" s="45"/>
    </row>
    <row r="749" spans="1:11" x14ac:dyDescent="0.25">
      <c r="A749" s="1"/>
      <c r="B749" s="1"/>
      <c r="C749" s="45"/>
      <c r="D749" s="45"/>
      <c r="E749" s="45"/>
      <c r="F749" s="45"/>
      <c r="G749" s="45"/>
      <c r="H749" s="45"/>
      <c r="I749" s="45"/>
      <c r="J749" s="45"/>
      <c r="K749" s="45"/>
    </row>
    <row r="750" spans="1:11" x14ac:dyDescent="0.25">
      <c r="A750" s="1"/>
      <c r="B750" s="1"/>
      <c r="C750" s="45"/>
      <c r="D750" s="45"/>
      <c r="E750" s="45"/>
      <c r="F750" s="45"/>
      <c r="G750" s="45"/>
      <c r="H750" s="45"/>
      <c r="I750" s="45"/>
      <c r="J750" s="45"/>
      <c r="K750" s="45"/>
    </row>
    <row r="751" spans="1:11" x14ac:dyDescent="0.25">
      <c r="A751" s="1"/>
      <c r="B751" s="1"/>
      <c r="C751" s="45"/>
      <c r="D751" s="45"/>
      <c r="E751" s="45"/>
      <c r="F751" s="45"/>
      <c r="G751" s="45"/>
      <c r="H751" s="45"/>
      <c r="I751" s="45"/>
      <c r="J751" s="45"/>
      <c r="K751" s="45"/>
    </row>
    <row r="752" spans="1:11" x14ac:dyDescent="0.25">
      <c r="A752" s="1"/>
      <c r="B752" s="1"/>
      <c r="C752" s="45"/>
      <c r="D752" s="45"/>
      <c r="E752" s="45"/>
      <c r="F752" s="45"/>
      <c r="G752" s="45"/>
      <c r="H752" s="45"/>
      <c r="I752" s="45"/>
      <c r="J752" s="45"/>
      <c r="K752" s="45"/>
    </row>
    <row r="753" spans="1:11" x14ac:dyDescent="0.25">
      <c r="A753" s="1"/>
      <c r="B753" s="1"/>
      <c r="C753" s="45"/>
      <c r="D753" s="45"/>
      <c r="E753" s="45"/>
      <c r="F753" s="45"/>
      <c r="G753" s="45"/>
      <c r="H753" s="45"/>
      <c r="I753" s="45"/>
      <c r="J753" s="45"/>
      <c r="K753" s="45"/>
    </row>
    <row r="754" spans="1:11" x14ac:dyDescent="0.25">
      <c r="A754" s="1"/>
      <c r="B754" s="1"/>
      <c r="C754" s="45"/>
      <c r="D754" s="45"/>
      <c r="E754" s="45"/>
      <c r="F754" s="45"/>
      <c r="G754" s="45"/>
      <c r="H754" s="45"/>
      <c r="I754" s="45"/>
      <c r="J754" s="45"/>
      <c r="K754" s="45"/>
    </row>
    <row r="755" spans="1:11" x14ac:dyDescent="0.25">
      <c r="A755" s="1"/>
      <c r="B755" s="1"/>
      <c r="C755" s="45"/>
      <c r="D755" s="45"/>
      <c r="E755" s="45"/>
      <c r="F755" s="45"/>
      <c r="G755" s="45"/>
      <c r="H755" s="45"/>
      <c r="I755" s="45"/>
      <c r="J755" s="45"/>
      <c r="K755" s="45"/>
    </row>
    <row r="756" spans="1:11" x14ac:dyDescent="0.25">
      <c r="A756" s="1"/>
      <c r="B756" s="1"/>
      <c r="C756" s="45"/>
      <c r="D756" s="45"/>
      <c r="E756" s="45"/>
      <c r="F756" s="45"/>
      <c r="G756" s="45"/>
      <c r="H756" s="45"/>
      <c r="I756" s="45"/>
      <c r="J756" s="45"/>
      <c r="K756" s="45"/>
    </row>
    <row r="757" spans="1:11" x14ac:dyDescent="0.25">
      <c r="A757" s="1"/>
      <c r="B757" s="1"/>
      <c r="C757" s="45"/>
      <c r="D757" s="45"/>
      <c r="E757" s="45"/>
      <c r="F757" s="45"/>
      <c r="G757" s="45"/>
      <c r="H757" s="45"/>
      <c r="I757" s="45"/>
      <c r="J757" s="45"/>
      <c r="K757" s="45"/>
    </row>
    <row r="758" spans="1:11" x14ac:dyDescent="0.25">
      <c r="A758" s="1"/>
      <c r="B758" s="1"/>
      <c r="C758" s="45"/>
      <c r="D758" s="45"/>
      <c r="E758" s="45"/>
      <c r="F758" s="45"/>
      <c r="G758" s="45"/>
      <c r="H758" s="45"/>
      <c r="I758" s="45"/>
      <c r="J758" s="45"/>
      <c r="K758" s="45"/>
    </row>
    <row r="759" spans="1:11" x14ac:dyDescent="0.25">
      <c r="A759" s="1"/>
      <c r="B759" s="1"/>
      <c r="C759" s="45"/>
      <c r="D759" s="45"/>
      <c r="E759" s="45"/>
      <c r="F759" s="45"/>
      <c r="G759" s="45"/>
      <c r="H759" s="45"/>
      <c r="I759" s="45"/>
      <c r="J759" s="45"/>
      <c r="K759" s="45"/>
    </row>
    <row r="760" spans="1:11" x14ac:dyDescent="0.25">
      <c r="A760" s="1"/>
      <c r="B760" s="1"/>
      <c r="C760" s="45"/>
      <c r="D760" s="45"/>
      <c r="E760" s="45"/>
      <c r="F760" s="45"/>
      <c r="G760" s="45"/>
      <c r="H760" s="45"/>
      <c r="I760" s="45"/>
      <c r="J760" s="45"/>
      <c r="K760" s="45"/>
    </row>
    <row r="761" spans="1:11" x14ac:dyDescent="0.25">
      <c r="A761" s="1"/>
      <c r="B761" s="1"/>
      <c r="C761" s="45"/>
      <c r="D761" s="45"/>
      <c r="E761" s="45"/>
      <c r="F761" s="45"/>
      <c r="G761" s="45"/>
      <c r="H761" s="45"/>
      <c r="I761" s="45"/>
      <c r="J761" s="45"/>
      <c r="K761" s="45"/>
    </row>
    <row r="762" spans="1:11" x14ac:dyDescent="0.25">
      <c r="A762" s="1"/>
      <c r="B762" s="1"/>
      <c r="C762" s="45"/>
      <c r="D762" s="45"/>
      <c r="E762" s="45"/>
      <c r="F762" s="45"/>
      <c r="G762" s="45"/>
      <c r="H762" s="45"/>
      <c r="I762" s="45"/>
      <c r="J762" s="45"/>
      <c r="K762" s="45"/>
    </row>
    <row r="763" spans="1:11" x14ac:dyDescent="0.25">
      <c r="A763" s="1"/>
      <c r="B763" s="1"/>
      <c r="C763" s="45"/>
      <c r="D763" s="45"/>
      <c r="E763" s="45"/>
      <c r="F763" s="45"/>
      <c r="G763" s="45"/>
      <c r="H763" s="45"/>
      <c r="I763" s="45"/>
      <c r="J763" s="45"/>
      <c r="K763" s="45"/>
    </row>
    <row r="764" spans="1:11" x14ac:dyDescent="0.25">
      <c r="A764" s="1"/>
      <c r="B764" s="1"/>
      <c r="C764" s="45"/>
      <c r="D764" s="45"/>
      <c r="E764" s="45"/>
      <c r="F764" s="45"/>
      <c r="G764" s="45"/>
      <c r="H764" s="45"/>
      <c r="I764" s="45"/>
      <c r="J764" s="45"/>
      <c r="K764" s="45"/>
    </row>
    <row r="765" spans="1:11" x14ac:dyDescent="0.25">
      <c r="A765" s="1"/>
      <c r="B765" s="1"/>
      <c r="C765" s="45"/>
      <c r="D765" s="45"/>
      <c r="E765" s="45"/>
      <c r="F765" s="45"/>
      <c r="G765" s="45"/>
      <c r="H765" s="45"/>
      <c r="I765" s="45"/>
      <c r="J765" s="45"/>
      <c r="K765" s="45"/>
    </row>
    <row r="766" spans="1:11" x14ac:dyDescent="0.25">
      <c r="A766" s="1"/>
      <c r="B766" s="1"/>
      <c r="C766" s="45"/>
      <c r="D766" s="45"/>
      <c r="E766" s="45"/>
      <c r="F766" s="45"/>
      <c r="G766" s="45"/>
      <c r="H766" s="45"/>
      <c r="I766" s="45"/>
      <c r="J766" s="45"/>
      <c r="K766" s="45"/>
    </row>
    <row r="767" spans="1:11" x14ac:dyDescent="0.25">
      <c r="A767" s="1"/>
      <c r="B767" s="1"/>
      <c r="C767" s="45"/>
      <c r="D767" s="45"/>
      <c r="E767" s="45"/>
      <c r="F767" s="45"/>
      <c r="G767" s="45"/>
      <c r="H767" s="45"/>
      <c r="I767" s="45"/>
      <c r="J767" s="45"/>
      <c r="K767" s="45"/>
    </row>
    <row r="768" spans="1:11" x14ac:dyDescent="0.25">
      <c r="A768" s="1"/>
      <c r="B768" s="1"/>
      <c r="C768" s="45"/>
      <c r="D768" s="45"/>
      <c r="E768" s="45"/>
      <c r="F768" s="45"/>
      <c r="G768" s="45"/>
      <c r="H768" s="45"/>
      <c r="I768" s="45"/>
      <c r="J768" s="45"/>
      <c r="K768" s="45"/>
    </row>
    <row r="769" spans="1:11" x14ac:dyDescent="0.25">
      <c r="A769" s="1"/>
      <c r="B769" s="1"/>
      <c r="C769" s="45"/>
      <c r="D769" s="45"/>
      <c r="E769" s="45"/>
      <c r="F769" s="45"/>
      <c r="G769" s="45"/>
      <c r="H769" s="45"/>
      <c r="I769" s="45"/>
      <c r="J769" s="45"/>
      <c r="K769" s="45"/>
    </row>
    <row r="770" spans="1:11" x14ac:dyDescent="0.25">
      <c r="A770" s="1"/>
      <c r="B770" s="1"/>
      <c r="C770" s="45"/>
      <c r="D770" s="45"/>
      <c r="E770" s="45"/>
      <c r="F770" s="45"/>
      <c r="G770" s="45"/>
      <c r="H770" s="45"/>
      <c r="I770" s="45"/>
      <c r="J770" s="45"/>
      <c r="K770" s="45"/>
    </row>
    <row r="771" spans="1:11" x14ac:dyDescent="0.25">
      <c r="A771" s="1"/>
      <c r="B771" s="1"/>
      <c r="C771" s="45"/>
      <c r="D771" s="45"/>
      <c r="E771" s="45"/>
      <c r="F771" s="45"/>
      <c r="G771" s="45"/>
      <c r="H771" s="45"/>
      <c r="I771" s="45"/>
      <c r="J771" s="45"/>
      <c r="K771" s="45"/>
    </row>
    <row r="772" spans="1:11" x14ac:dyDescent="0.25">
      <c r="A772" s="1"/>
      <c r="B772" s="1"/>
      <c r="C772" s="45"/>
      <c r="D772" s="45"/>
      <c r="E772" s="45"/>
      <c r="F772" s="45"/>
      <c r="G772" s="45"/>
      <c r="H772" s="45"/>
      <c r="I772" s="45"/>
      <c r="J772" s="45"/>
      <c r="K772" s="45"/>
    </row>
    <row r="773" spans="1:11" x14ac:dyDescent="0.25">
      <c r="A773" s="1"/>
      <c r="B773" s="1"/>
      <c r="C773" s="45"/>
      <c r="D773" s="45"/>
      <c r="E773" s="45"/>
      <c r="F773" s="45"/>
      <c r="G773" s="45"/>
      <c r="H773" s="45"/>
      <c r="I773" s="45"/>
      <c r="J773" s="45"/>
      <c r="K773" s="45"/>
    </row>
    <row r="774" spans="1:11" x14ac:dyDescent="0.25">
      <c r="A774" s="1"/>
      <c r="B774" s="1"/>
      <c r="C774" s="45"/>
      <c r="D774" s="45"/>
      <c r="E774" s="45"/>
      <c r="F774" s="45"/>
      <c r="G774" s="45"/>
      <c r="H774" s="45"/>
      <c r="I774" s="45"/>
      <c r="J774" s="45"/>
      <c r="K774" s="45"/>
    </row>
    <row r="775" spans="1:11" x14ac:dyDescent="0.25">
      <c r="A775" s="1"/>
      <c r="B775" s="1"/>
      <c r="C775" s="45"/>
      <c r="D775" s="45"/>
      <c r="E775" s="45"/>
      <c r="F775" s="45"/>
      <c r="G775" s="45"/>
      <c r="H775" s="45"/>
      <c r="I775" s="45"/>
      <c r="J775" s="45"/>
      <c r="K775" s="45"/>
    </row>
    <row r="776" spans="1:11" x14ac:dyDescent="0.25">
      <c r="A776" s="1"/>
      <c r="B776" s="1"/>
      <c r="C776" s="45"/>
      <c r="D776" s="45"/>
      <c r="E776" s="45"/>
      <c r="F776" s="45"/>
      <c r="G776" s="45"/>
      <c r="H776" s="45"/>
      <c r="I776" s="45"/>
      <c r="J776" s="45"/>
      <c r="K776" s="45"/>
    </row>
    <row r="777" spans="1:11" x14ac:dyDescent="0.25">
      <c r="A777" s="1"/>
      <c r="B777" s="1"/>
      <c r="C777" s="45"/>
      <c r="D777" s="45"/>
      <c r="E777" s="45"/>
      <c r="F777" s="45"/>
      <c r="G777" s="45"/>
      <c r="H777" s="45"/>
      <c r="I777" s="45"/>
      <c r="J777" s="45"/>
      <c r="K777" s="45"/>
    </row>
    <row r="778" spans="1:11" x14ac:dyDescent="0.25">
      <c r="A778" s="1"/>
      <c r="B778" s="1"/>
      <c r="C778" s="45"/>
      <c r="D778" s="45"/>
      <c r="E778" s="45"/>
      <c r="F778" s="45"/>
      <c r="G778" s="45"/>
      <c r="H778" s="45"/>
      <c r="I778" s="45"/>
      <c r="J778" s="45"/>
      <c r="K778" s="45"/>
    </row>
    <row r="779" spans="1:11" x14ac:dyDescent="0.25">
      <c r="A779" s="1"/>
      <c r="B779" s="1"/>
      <c r="C779" s="45"/>
      <c r="D779" s="45"/>
      <c r="E779" s="45"/>
      <c r="F779" s="45"/>
      <c r="G779" s="45"/>
      <c r="H779" s="45"/>
      <c r="I779" s="45"/>
      <c r="J779" s="45"/>
      <c r="K779" s="45"/>
    </row>
    <row r="780" spans="1:11" x14ac:dyDescent="0.25">
      <c r="A780" s="1"/>
      <c r="B780" s="1"/>
      <c r="C780" s="45"/>
      <c r="D780" s="45"/>
      <c r="E780" s="45"/>
      <c r="F780" s="45"/>
      <c r="G780" s="45"/>
      <c r="H780" s="45"/>
      <c r="I780" s="45"/>
      <c r="J780" s="45"/>
      <c r="K780" s="45"/>
    </row>
    <row r="781" spans="1:11" x14ac:dyDescent="0.25">
      <c r="A781" s="1"/>
      <c r="B781" s="1"/>
      <c r="C781" s="45"/>
      <c r="D781" s="45"/>
      <c r="E781" s="45"/>
      <c r="F781" s="45"/>
      <c r="G781" s="45"/>
      <c r="H781" s="45"/>
      <c r="I781" s="45"/>
      <c r="J781" s="45"/>
      <c r="K781" s="45"/>
    </row>
    <row r="782" spans="1:11" x14ac:dyDescent="0.25">
      <c r="A782" s="1"/>
      <c r="B782" s="1"/>
      <c r="C782" s="45"/>
      <c r="D782" s="45"/>
      <c r="E782" s="45"/>
      <c r="F782" s="45"/>
      <c r="G782" s="45"/>
      <c r="H782" s="45"/>
      <c r="I782" s="45"/>
      <c r="J782" s="45"/>
      <c r="K782" s="45"/>
    </row>
    <row r="783" spans="1:11" x14ac:dyDescent="0.25">
      <c r="A783" s="1"/>
      <c r="B783" s="1"/>
      <c r="C783" s="45"/>
      <c r="D783" s="45"/>
      <c r="E783" s="45"/>
      <c r="F783" s="45"/>
      <c r="G783" s="45"/>
      <c r="H783" s="45"/>
      <c r="I783" s="45"/>
      <c r="J783" s="45"/>
      <c r="K783" s="45"/>
    </row>
    <row r="784" spans="1:11" x14ac:dyDescent="0.25">
      <c r="A784" s="1"/>
      <c r="B784" s="1"/>
      <c r="C784" s="45"/>
      <c r="D784" s="45"/>
      <c r="E784" s="45"/>
      <c r="F784" s="45"/>
      <c r="G784" s="45"/>
      <c r="H784" s="45"/>
      <c r="I784" s="45"/>
      <c r="J784" s="45"/>
      <c r="K784" s="45"/>
    </row>
    <row r="785" spans="1:11" x14ac:dyDescent="0.25">
      <c r="A785" s="1"/>
      <c r="B785" s="1"/>
      <c r="C785" s="45"/>
      <c r="D785" s="45"/>
      <c r="E785" s="45"/>
      <c r="F785" s="45"/>
      <c r="G785" s="45"/>
      <c r="H785" s="45"/>
      <c r="I785" s="45"/>
      <c r="J785" s="45"/>
      <c r="K785" s="45"/>
    </row>
    <row r="786" spans="1:11" x14ac:dyDescent="0.25">
      <c r="A786" s="1"/>
      <c r="B786" s="1"/>
      <c r="C786" s="45"/>
      <c r="D786" s="45"/>
      <c r="E786" s="45"/>
      <c r="F786" s="45"/>
      <c r="G786" s="45"/>
      <c r="H786" s="45"/>
      <c r="I786" s="45"/>
      <c r="J786" s="45"/>
      <c r="K786" s="45"/>
    </row>
    <row r="787" spans="1:11" x14ac:dyDescent="0.25">
      <c r="A787" s="1"/>
      <c r="B787" s="1"/>
      <c r="C787" s="45"/>
      <c r="D787" s="45"/>
      <c r="E787" s="45"/>
      <c r="F787" s="45"/>
      <c r="G787" s="45"/>
      <c r="H787" s="45"/>
      <c r="I787" s="45"/>
      <c r="J787" s="45"/>
      <c r="K787" s="45"/>
    </row>
    <row r="788" spans="1:11" x14ac:dyDescent="0.25">
      <c r="A788" s="1"/>
      <c r="B788" s="1"/>
      <c r="C788" s="45"/>
      <c r="D788" s="45"/>
      <c r="E788" s="45"/>
      <c r="F788" s="45"/>
      <c r="G788" s="45"/>
      <c r="H788" s="45"/>
      <c r="I788" s="45"/>
      <c r="J788" s="45"/>
      <c r="K788" s="45"/>
    </row>
    <row r="789" spans="1:11" x14ac:dyDescent="0.25">
      <c r="A789" s="1"/>
      <c r="B789" s="1"/>
      <c r="C789" s="45"/>
      <c r="D789" s="45"/>
      <c r="E789" s="45"/>
      <c r="F789" s="45"/>
      <c r="G789" s="45"/>
      <c r="H789" s="45"/>
      <c r="I789" s="45"/>
      <c r="J789" s="45"/>
      <c r="K789" s="45"/>
    </row>
    <row r="790" spans="1:11" x14ac:dyDescent="0.25">
      <c r="A790" s="1"/>
      <c r="B790" s="1"/>
      <c r="C790" s="45"/>
      <c r="D790" s="45"/>
      <c r="E790" s="45"/>
      <c r="F790" s="45"/>
      <c r="G790" s="45"/>
      <c r="H790" s="45"/>
      <c r="I790" s="45"/>
      <c r="J790" s="45"/>
      <c r="K790" s="45"/>
    </row>
    <row r="791" spans="1:11" x14ac:dyDescent="0.25">
      <c r="A791" s="1"/>
      <c r="B791" s="1"/>
      <c r="C791" s="45"/>
      <c r="D791" s="45"/>
      <c r="E791" s="45"/>
      <c r="F791" s="45"/>
      <c r="G791" s="45"/>
      <c r="H791" s="45"/>
      <c r="I791" s="45"/>
      <c r="J791" s="45"/>
      <c r="K791" s="45"/>
    </row>
    <row r="792" spans="1:11" x14ac:dyDescent="0.25">
      <c r="A792" s="1"/>
      <c r="B792" s="1"/>
      <c r="C792" s="45"/>
      <c r="D792" s="45"/>
      <c r="E792" s="45"/>
      <c r="F792" s="45"/>
      <c r="G792" s="45"/>
      <c r="H792" s="45"/>
      <c r="I792" s="45"/>
      <c r="J792" s="45"/>
      <c r="K792" s="45"/>
    </row>
    <row r="793" spans="1:11" x14ac:dyDescent="0.25">
      <c r="A793" s="1"/>
      <c r="B793" s="1"/>
      <c r="C793" s="45"/>
      <c r="D793" s="45"/>
      <c r="E793" s="45"/>
      <c r="F793" s="45"/>
      <c r="G793" s="45"/>
      <c r="H793" s="45"/>
      <c r="I793" s="45"/>
      <c r="J793" s="45"/>
      <c r="K793" s="45"/>
    </row>
    <row r="794" spans="1:11" x14ac:dyDescent="0.25">
      <c r="A794" s="1"/>
      <c r="B794" s="1"/>
      <c r="C794" s="45"/>
      <c r="D794" s="45"/>
      <c r="E794" s="45"/>
      <c r="F794" s="45"/>
      <c r="G794" s="45"/>
      <c r="H794" s="45"/>
      <c r="I794" s="45"/>
      <c r="J794" s="45"/>
      <c r="K794" s="45"/>
    </row>
    <row r="795" spans="1:11" x14ac:dyDescent="0.25">
      <c r="A795" s="1"/>
      <c r="B795" s="1"/>
      <c r="C795" s="45"/>
      <c r="D795" s="45"/>
      <c r="E795" s="45"/>
      <c r="F795" s="45"/>
      <c r="G795" s="45"/>
      <c r="H795" s="45"/>
      <c r="I795" s="45"/>
      <c r="J795" s="45"/>
      <c r="K795" s="45"/>
    </row>
    <row r="796" spans="1:11" x14ac:dyDescent="0.25">
      <c r="A796" s="1"/>
      <c r="B796" s="1"/>
      <c r="C796" s="45"/>
      <c r="D796" s="45"/>
      <c r="E796" s="45"/>
      <c r="F796" s="45"/>
      <c r="G796" s="45"/>
      <c r="H796" s="45"/>
      <c r="I796" s="45"/>
      <c r="J796" s="45"/>
      <c r="K796" s="45"/>
    </row>
    <row r="797" spans="1:11" x14ac:dyDescent="0.25">
      <c r="A797" s="1"/>
      <c r="B797" s="1"/>
      <c r="C797" s="45"/>
      <c r="D797" s="45"/>
      <c r="E797" s="45"/>
      <c r="F797" s="45"/>
      <c r="G797" s="45"/>
      <c r="H797" s="45"/>
      <c r="I797" s="45"/>
      <c r="J797" s="45"/>
      <c r="K797" s="45"/>
    </row>
    <row r="798" spans="1:11" x14ac:dyDescent="0.25">
      <c r="A798" s="1"/>
      <c r="B798" s="1"/>
      <c r="C798" s="45"/>
      <c r="D798" s="45"/>
      <c r="E798" s="45"/>
      <c r="F798" s="45"/>
      <c r="G798" s="45"/>
      <c r="H798" s="45"/>
      <c r="I798" s="45"/>
      <c r="J798" s="45"/>
      <c r="K798" s="45"/>
    </row>
    <row r="799" spans="1:11" x14ac:dyDescent="0.25">
      <c r="A799" s="1"/>
      <c r="B799" s="1"/>
      <c r="C799" s="45"/>
      <c r="D799" s="45"/>
      <c r="E799" s="45"/>
      <c r="F799" s="45"/>
      <c r="G799" s="45"/>
      <c r="H799" s="45"/>
      <c r="I799" s="45"/>
      <c r="J799" s="45"/>
      <c r="K799" s="45"/>
    </row>
    <row r="800" spans="1:11" x14ac:dyDescent="0.25">
      <c r="A800" s="1"/>
      <c r="B800" s="1"/>
      <c r="C800" s="45"/>
      <c r="D800" s="45"/>
      <c r="E800" s="45"/>
      <c r="F800" s="45"/>
      <c r="G800" s="45"/>
      <c r="H800" s="45"/>
      <c r="I800" s="45"/>
      <c r="J800" s="45"/>
      <c r="K800" s="45"/>
    </row>
    <row r="801" spans="1:11" x14ac:dyDescent="0.25">
      <c r="A801" s="1"/>
      <c r="B801" s="1"/>
      <c r="C801" s="45"/>
      <c r="D801" s="45"/>
      <c r="E801" s="45"/>
      <c r="F801" s="45"/>
      <c r="G801" s="45"/>
      <c r="H801" s="45"/>
      <c r="I801" s="45"/>
      <c r="J801" s="45"/>
      <c r="K801" s="45"/>
    </row>
    <row r="802" spans="1:11" x14ac:dyDescent="0.25">
      <c r="A802" s="1"/>
      <c r="B802" s="1"/>
      <c r="C802" s="45"/>
      <c r="D802" s="45"/>
      <c r="E802" s="45"/>
      <c r="F802" s="45"/>
      <c r="G802" s="45"/>
      <c r="H802" s="45"/>
      <c r="I802" s="45"/>
      <c r="J802" s="45"/>
      <c r="K802" s="45"/>
    </row>
    <row r="803" spans="1:11" x14ac:dyDescent="0.25">
      <c r="A803" s="1"/>
      <c r="B803" s="1"/>
      <c r="C803" s="45"/>
      <c r="D803" s="45"/>
      <c r="E803" s="45"/>
      <c r="F803" s="45"/>
      <c r="G803" s="45"/>
      <c r="H803" s="45"/>
      <c r="I803" s="45"/>
      <c r="J803" s="45"/>
      <c r="K803" s="45"/>
    </row>
    <row r="804" spans="1:11" x14ac:dyDescent="0.25">
      <c r="A804" s="1"/>
      <c r="B804" s="1"/>
      <c r="C804" s="45"/>
      <c r="D804" s="45"/>
      <c r="E804" s="45"/>
      <c r="F804" s="45"/>
      <c r="G804" s="45"/>
      <c r="H804" s="45"/>
      <c r="I804" s="45"/>
      <c r="J804" s="45"/>
      <c r="K804" s="45"/>
    </row>
    <row r="805" spans="1:11" x14ac:dyDescent="0.25">
      <c r="A805" s="1"/>
      <c r="B805" s="1"/>
      <c r="C805" s="45"/>
      <c r="D805" s="45"/>
      <c r="E805" s="45"/>
      <c r="F805" s="45"/>
      <c r="G805" s="45"/>
      <c r="H805" s="45"/>
      <c r="I805" s="45"/>
      <c r="J805" s="45"/>
      <c r="K805" s="45"/>
    </row>
    <row r="806" spans="1:11" x14ac:dyDescent="0.25">
      <c r="A806" s="1"/>
      <c r="B806" s="1"/>
      <c r="C806" s="45"/>
      <c r="D806" s="45"/>
      <c r="E806" s="45"/>
      <c r="F806" s="45"/>
      <c r="G806" s="45"/>
      <c r="H806" s="45"/>
      <c r="I806" s="45"/>
      <c r="J806" s="45"/>
      <c r="K806" s="45"/>
    </row>
    <row r="807" spans="1:11" x14ac:dyDescent="0.25">
      <c r="A807" s="1"/>
      <c r="B807" s="1"/>
      <c r="C807" s="45"/>
      <c r="D807" s="45"/>
      <c r="E807" s="45"/>
      <c r="F807" s="45"/>
      <c r="G807" s="45"/>
      <c r="H807" s="45"/>
      <c r="I807" s="45"/>
      <c r="J807" s="45"/>
      <c r="K807" s="45"/>
    </row>
    <row r="808" spans="1:11" x14ac:dyDescent="0.25">
      <c r="A808" s="1"/>
      <c r="B808" s="1"/>
      <c r="C808" s="45"/>
      <c r="D808" s="45"/>
      <c r="E808" s="45"/>
      <c r="F808" s="45"/>
      <c r="G808" s="45"/>
      <c r="H808" s="45"/>
      <c r="I808" s="45"/>
      <c r="J808" s="45"/>
      <c r="K808" s="45"/>
    </row>
    <row r="809" spans="1:11" x14ac:dyDescent="0.25">
      <c r="A809" s="1"/>
      <c r="B809" s="1"/>
      <c r="C809" s="45"/>
      <c r="D809" s="45"/>
      <c r="E809" s="45"/>
      <c r="F809" s="45"/>
      <c r="G809" s="45"/>
      <c r="H809" s="45"/>
      <c r="I809" s="45"/>
      <c r="J809" s="45"/>
      <c r="K809" s="45"/>
    </row>
    <row r="810" spans="1:11" x14ac:dyDescent="0.25">
      <c r="A810" s="1"/>
      <c r="B810" s="1"/>
      <c r="C810" s="45"/>
      <c r="D810" s="45"/>
      <c r="E810" s="45"/>
      <c r="F810" s="45"/>
      <c r="G810" s="45"/>
      <c r="H810" s="45"/>
      <c r="I810" s="45"/>
      <c r="J810" s="45"/>
      <c r="K810" s="45"/>
    </row>
    <row r="811" spans="1:11" x14ac:dyDescent="0.25">
      <c r="A811" s="1"/>
      <c r="B811" s="1"/>
      <c r="C811" s="45"/>
      <c r="D811" s="45"/>
      <c r="E811" s="45"/>
      <c r="F811" s="45"/>
      <c r="G811" s="45"/>
      <c r="H811" s="45"/>
      <c r="I811" s="45"/>
      <c r="J811" s="45"/>
      <c r="K811" s="45"/>
    </row>
    <row r="812" spans="1:11" x14ac:dyDescent="0.25">
      <c r="A812" s="1"/>
      <c r="B812" s="1"/>
      <c r="C812" s="45"/>
      <c r="D812" s="45"/>
      <c r="E812" s="45"/>
      <c r="F812" s="45"/>
      <c r="G812" s="45"/>
      <c r="H812" s="45"/>
      <c r="I812" s="45"/>
      <c r="J812" s="45"/>
      <c r="K812" s="45"/>
    </row>
    <row r="813" spans="1:11" x14ac:dyDescent="0.25">
      <c r="A813" s="1"/>
      <c r="B813" s="1"/>
      <c r="C813" s="45"/>
      <c r="D813" s="45"/>
      <c r="E813" s="45"/>
      <c r="F813" s="45"/>
      <c r="G813" s="45"/>
      <c r="H813" s="45"/>
      <c r="I813" s="45"/>
      <c r="J813" s="45"/>
      <c r="K813" s="45"/>
    </row>
    <row r="814" spans="1:11" x14ac:dyDescent="0.25">
      <c r="A814" s="1"/>
      <c r="B814" s="1"/>
      <c r="C814" s="45"/>
      <c r="D814" s="45"/>
      <c r="E814" s="45"/>
      <c r="F814" s="45"/>
      <c r="G814" s="45"/>
      <c r="H814" s="45"/>
      <c r="I814" s="45"/>
      <c r="J814" s="45"/>
      <c r="K814" s="45"/>
    </row>
    <row r="815" spans="1:11" x14ac:dyDescent="0.25">
      <c r="A815" s="1"/>
      <c r="B815" s="1"/>
      <c r="C815" s="45"/>
      <c r="D815" s="45"/>
      <c r="E815" s="45"/>
      <c r="F815" s="45"/>
      <c r="G815" s="45"/>
      <c r="H815" s="45"/>
      <c r="I815" s="45"/>
      <c r="J815" s="45"/>
      <c r="K815" s="45"/>
    </row>
    <row r="816" spans="1:11" x14ac:dyDescent="0.25">
      <c r="A816" s="1"/>
      <c r="B816" s="1"/>
      <c r="C816" s="45"/>
      <c r="D816" s="45"/>
      <c r="E816" s="45"/>
      <c r="F816" s="45"/>
      <c r="G816" s="45"/>
      <c r="H816" s="45"/>
      <c r="I816" s="45"/>
      <c r="J816" s="45"/>
      <c r="K816" s="45"/>
    </row>
    <row r="817" spans="1:11" x14ac:dyDescent="0.25">
      <c r="A817" s="1"/>
      <c r="B817" s="1"/>
      <c r="C817" s="45"/>
      <c r="D817" s="45"/>
      <c r="E817" s="45"/>
      <c r="F817" s="45"/>
      <c r="G817" s="45"/>
      <c r="H817" s="45"/>
      <c r="I817" s="45"/>
      <c r="J817" s="45"/>
      <c r="K817" s="45"/>
    </row>
    <row r="818" spans="1:11" x14ac:dyDescent="0.25">
      <c r="A818" s="1"/>
      <c r="B818" s="1"/>
      <c r="C818" s="45"/>
      <c r="D818" s="45"/>
      <c r="E818" s="45"/>
      <c r="F818" s="45"/>
      <c r="G818" s="45"/>
      <c r="H818" s="45"/>
      <c r="I818" s="45"/>
      <c r="J818" s="45"/>
      <c r="K818" s="45"/>
    </row>
    <row r="819" spans="1:11" x14ac:dyDescent="0.25">
      <c r="A819" s="1"/>
      <c r="B819" s="1"/>
      <c r="C819" s="45"/>
      <c r="D819" s="45"/>
      <c r="E819" s="45"/>
      <c r="F819" s="45"/>
      <c r="G819" s="45"/>
      <c r="H819" s="45"/>
      <c r="I819" s="45"/>
      <c r="J819" s="45"/>
      <c r="K819" s="45"/>
    </row>
    <row r="820" spans="1:11" x14ac:dyDescent="0.25">
      <c r="A820" s="1"/>
      <c r="B820" s="1"/>
      <c r="C820" s="45"/>
      <c r="D820" s="45"/>
      <c r="E820" s="45"/>
      <c r="F820" s="45"/>
      <c r="G820" s="45"/>
      <c r="H820" s="45"/>
      <c r="I820" s="45"/>
      <c r="J820" s="45"/>
      <c r="K820" s="45"/>
    </row>
    <row r="821" spans="1:11" x14ac:dyDescent="0.25">
      <c r="A821" s="1"/>
      <c r="B821" s="1"/>
      <c r="C821" s="45"/>
      <c r="D821" s="45"/>
      <c r="E821" s="45"/>
      <c r="F821" s="45"/>
      <c r="G821" s="45"/>
      <c r="H821" s="45"/>
      <c r="I821" s="45"/>
      <c r="J821" s="45"/>
      <c r="K821" s="45"/>
    </row>
    <row r="822" spans="1:11" x14ac:dyDescent="0.25">
      <c r="A822" s="1"/>
      <c r="B822" s="1"/>
      <c r="C822" s="45"/>
      <c r="D822" s="45"/>
      <c r="E822" s="45"/>
      <c r="F822" s="45"/>
      <c r="G822" s="45"/>
      <c r="H822" s="45"/>
      <c r="I822" s="45"/>
      <c r="J822" s="45"/>
      <c r="K822" s="45"/>
    </row>
    <row r="823" spans="1:11" x14ac:dyDescent="0.25">
      <c r="A823" s="1"/>
      <c r="B823" s="1"/>
      <c r="C823" s="45"/>
      <c r="D823" s="45"/>
      <c r="E823" s="45"/>
      <c r="F823" s="45"/>
      <c r="G823" s="45"/>
      <c r="H823" s="45"/>
      <c r="I823" s="45"/>
      <c r="J823" s="45"/>
      <c r="K823" s="45"/>
    </row>
    <row r="824" spans="1:11" x14ac:dyDescent="0.25">
      <c r="A824" s="1"/>
      <c r="B824" s="1"/>
      <c r="C824" s="45"/>
      <c r="D824" s="45"/>
      <c r="E824" s="45"/>
      <c r="F824" s="45"/>
      <c r="G824" s="45"/>
      <c r="H824" s="45"/>
      <c r="I824" s="45"/>
      <c r="J824" s="45"/>
      <c r="K824" s="45"/>
    </row>
    <row r="825" spans="1:11" x14ac:dyDescent="0.25">
      <c r="A825" s="1"/>
      <c r="B825" s="1"/>
      <c r="C825" s="45"/>
      <c r="D825" s="45"/>
      <c r="E825" s="45"/>
      <c r="F825" s="45"/>
      <c r="G825" s="45"/>
      <c r="H825" s="45"/>
      <c r="I825" s="45"/>
      <c r="J825" s="45"/>
      <c r="K825" s="45"/>
    </row>
    <row r="826" spans="1:11" x14ac:dyDescent="0.25">
      <c r="A826" s="1"/>
      <c r="B826" s="1"/>
      <c r="C826" s="45"/>
      <c r="D826" s="45"/>
      <c r="E826" s="45"/>
      <c r="F826" s="45"/>
      <c r="G826" s="45"/>
      <c r="H826" s="45"/>
      <c r="I826" s="45"/>
      <c r="J826" s="45"/>
      <c r="K826" s="45"/>
    </row>
    <row r="827" spans="1:11" x14ac:dyDescent="0.25">
      <c r="A827" s="1"/>
      <c r="B827" s="1"/>
      <c r="C827" s="45"/>
      <c r="D827" s="45"/>
      <c r="E827" s="45"/>
      <c r="F827" s="45"/>
      <c r="G827" s="45"/>
      <c r="H827" s="45"/>
      <c r="I827" s="45"/>
      <c r="J827" s="45"/>
      <c r="K827" s="45"/>
    </row>
    <row r="828" spans="1:11" x14ac:dyDescent="0.25">
      <c r="A828" s="1"/>
      <c r="B828" s="1"/>
      <c r="C828" s="45"/>
      <c r="D828" s="45"/>
      <c r="E828" s="45"/>
      <c r="F828" s="45"/>
      <c r="G828" s="45"/>
      <c r="H828" s="45"/>
      <c r="I828" s="45"/>
      <c r="J828" s="45"/>
      <c r="K828" s="45"/>
    </row>
    <row r="829" spans="1:11" x14ac:dyDescent="0.25">
      <c r="A829" s="1"/>
      <c r="B829" s="1"/>
      <c r="C829" s="45"/>
      <c r="D829" s="45"/>
      <c r="E829" s="45"/>
      <c r="F829" s="45"/>
      <c r="G829" s="45"/>
      <c r="H829" s="45"/>
      <c r="I829" s="45"/>
      <c r="J829" s="45"/>
      <c r="K829" s="45"/>
    </row>
    <row r="830" spans="1:11" x14ac:dyDescent="0.25">
      <c r="A830" s="1"/>
      <c r="B830" s="1"/>
      <c r="C830" s="45"/>
      <c r="D830" s="45"/>
      <c r="E830" s="45"/>
      <c r="F830" s="45"/>
      <c r="G830" s="45"/>
      <c r="H830" s="45"/>
      <c r="I830" s="45"/>
      <c r="J830" s="45"/>
      <c r="K830" s="45"/>
    </row>
    <row r="831" spans="1:11" x14ac:dyDescent="0.25">
      <c r="A831" s="1"/>
      <c r="B831" s="1"/>
      <c r="C831" s="45"/>
      <c r="D831" s="45"/>
      <c r="E831" s="45"/>
      <c r="F831" s="45"/>
      <c r="G831" s="45"/>
      <c r="H831" s="45"/>
      <c r="I831" s="45"/>
      <c r="J831" s="45"/>
      <c r="K831" s="45"/>
    </row>
    <row r="832" spans="1:11" x14ac:dyDescent="0.25">
      <c r="A832" s="1"/>
      <c r="B832" s="1"/>
      <c r="C832" s="45"/>
      <c r="D832" s="45"/>
      <c r="E832" s="45"/>
      <c r="F832" s="45"/>
      <c r="G832" s="45"/>
      <c r="H832" s="45"/>
      <c r="I832" s="45"/>
      <c r="J832" s="45"/>
      <c r="K832" s="45"/>
    </row>
    <row r="833" spans="1:11" x14ac:dyDescent="0.25">
      <c r="A833" s="1"/>
      <c r="B833" s="1"/>
      <c r="C833" s="45"/>
      <c r="D833" s="45"/>
      <c r="E833" s="45"/>
      <c r="F833" s="45"/>
      <c r="G833" s="45"/>
      <c r="H833" s="45"/>
      <c r="I833" s="45"/>
      <c r="J833" s="45"/>
      <c r="K833" s="45"/>
    </row>
    <row r="834" spans="1:11" x14ac:dyDescent="0.25">
      <c r="A834" s="1"/>
      <c r="B834" s="1"/>
      <c r="C834" s="45"/>
      <c r="D834" s="45"/>
      <c r="E834" s="45"/>
      <c r="F834" s="45"/>
      <c r="G834" s="45"/>
      <c r="H834" s="45"/>
      <c r="I834" s="45"/>
      <c r="J834" s="45"/>
      <c r="K834" s="45"/>
    </row>
    <row r="835" spans="1:11" x14ac:dyDescent="0.25">
      <c r="A835" s="1"/>
      <c r="B835" s="1"/>
      <c r="C835" s="45"/>
      <c r="D835" s="45"/>
      <c r="E835" s="45"/>
      <c r="F835" s="45"/>
      <c r="G835" s="45"/>
      <c r="H835" s="45"/>
      <c r="I835" s="45"/>
      <c r="J835" s="45"/>
      <c r="K835" s="45"/>
    </row>
    <row r="836" spans="1:11" x14ac:dyDescent="0.25">
      <c r="A836" s="1"/>
      <c r="B836" s="1"/>
      <c r="C836" s="45"/>
      <c r="D836" s="45"/>
      <c r="E836" s="45"/>
      <c r="F836" s="45"/>
      <c r="G836" s="45"/>
      <c r="H836" s="45"/>
      <c r="I836" s="45"/>
      <c r="J836" s="45"/>
      <c r="K836" s="45"/>
    </row>
    <row r="837" spans="1:11" x14ac:dyDescent="0.25">
      <c r="A837" s="1"/>
      <c r="B837" s="1"/>
      <c r="C837" s="45"/>
      <c r="D837" s="45"/>
      <c r="E837" s="45"/>
      <c r="F837" s="45"/>
      <c r="G837" s="45"/>
      <c r="H837" s="45"/>
      <c r="I837" s="45"/>
      <c r="J837" s="45"/>
      <c r="K837" s="45"/>
    </row>
    <row r="838" spans="1:11" x14ac:dyDescent="0.25">
      <c r="A838" s="1"/>
      <c r="B838" s="1"/>
      <c r="C838" s="45"/>
      <c r="D838" s="45"/>
      <c r="E838" s="45"/>
      <c r="F838" s="45"/>
      <c r="G838" s="45"/>
      <c r="H838" s="45"/>
      <c r="I838" s="45"/>
      <c r="J838" s="45"/>
      <c r="K838" s="45"/>
    </row>
    <row r="839" spans="1:11" x14ac:dyDescent="0.25">
      <c r="A839" s="1"/>
      <c r="B839" s="1"/>
      <c r="C839" s="45"/>
      <c r="D839" s="45"/>
      <c r="E839" s="45"/>
      <c r="F839" s="45"/>
      <c r="G839" s="45"/>
      <c r="H839" s="45"/>
      <c r="I839" s="45"/>
      <c r="J839" s="45"/>
      <c r="K839" s="45"/>
    </row>
    <row r="840" spans="1:11" x14ac:dyDescent="0.25">
      <c r="A840" s="1"/>
      <c r="B840" s="1"/>
      <c r="C840" s="45"/>
      <c r="D840" s="45"/>
      <c r="E840" s="45"/>
      <c r="F840" s="45"/>
      <c r="G840" s="45"/>
      <c r="H840" s="45"/>
      <c r="I840" s="45"/>
      <c r="J840" s="45"/>
      <c r="K840" s="45"/>
    </row>
    <row r="841" spans="1:11" x14ac:dyDescent="0.25">
      <c r="A841" s="1"/>
      <c r="B841" s="1"/>
      <c r="C841" s="45"/>
      <c r="D841" s="45"/>
      <c r="E841" s="45"/>
      <c r="F841" s="45"/>
      <c r="G841" s="45"/>
      <c r="H841" s="45"/>
      <c r="I841" s="45"/>
      <c r="J841" s="45"/>
      <c r="K841" s="45"/>
    </row>
    <row r="842" spans="1:11" x14ac:dyDescent="0.25">
      <c r="A842" s="1"/>
      <c r="B842" s="1"/>
      <c r="C842" s="45"/>
      <c r="D842" s="45"/>
      <c r="E842" s="45"/>
      <c r="F842" s="45"/>
      <c r="G842" s="45"/>
      <c r="H842" s="45"/>
      <c r="I842" s="45"/>
      <c r="J842" s="45"/>
      <c r="K842" s="45"/>
    </row>
    <row r="843" spans="1:11" x14ac:dyDescent="0.25">
      <c r="A843" s="1"/>
      <c r="B843" s="1"/>
      <c r="C843" s="45"/>
      <c r="D843" s="45"/>
      <c r="E843" s="45"/>
      <c r="F843" s="45"/>
      <c r="G843" s="45"/>
      <c r="H843" s="45"/>
      <c r="I843" s="45"/>
      <c r="J843" s="45"/>
      <c r="K843" s="45"/>
    </row>
    <row r="844" spans="1:11" x14ac:dyDescent="0.25">
      <c r="A844" s="1"/>
      <c r="B844" s="1"/>
      <c r="C844" s="45"/>
      <c r="D844" s="45"/>
      <c r="E844" s="45"/>
      <c r="F844" s="45"/>
      <c r="G844" s="45"/>
      <c r="H844" s="45"/>
      <c r="I844" s="45"/>
      <c r="J844" s="45"/>
      <c r="K844" s="45"/>
    </row>
    <row r="845" spans="1:11" x14ac:dyDescent="0.25">
      <c r="A845" s="1"/>
      <c r="B845" s="1"/>
      <c r="C845" s="45"/>
      <c r="D845" s="45"/>
      <c r="E845" s="45"/>
      <c r="F845" s="45"/>
      <c r="G845" s="45"/>
      <c r="H845" s="45"/>
      <c r="I845" s="45"/>
      <c r="J845" s="45"/>
      <c r="K845" s="45"/>
    </row>
    <row r="846" spans="1:11" x14ac:dyDescent="0.25">
      <c r="A846" s="1"/>
      <c r="B846" s="1"/>
      <c r="C846" s="45"/>
      <c r="D846" s="45"/>
      <c r="E846" s="45"/>
      <c r="F846" s="45"/>
      <c r="G846" s="45"/>
      <c r="H846" s="45"/>
      <c r="I846" s="45"/>
      <c r="J846" s="45"/>
      <c r="K846" s="45"/>
    </row>
    <row r="847" spans="1:11" x14ac:dyDescent="0.25">
      <c r="A847" s="1"/>
      <c r="B847" s="1"/>
      <c r="C847" s="45"/>
      <c r="D847" s="45"/>
      <c r="E847" s="45"/>
      <c r="F847" s="45"/>
      <c r="G847" s="45"/>
      <c r="H847" s="45"/>
      <c r="I847" s="45"/>
      <c r="J847" s="45"/>
      <c r="K847" s="45"/>
    </row>
    <row r="848" spans="1:11" x14ac:dyDescent="0.25">
      <c r="A848" s="1"/>
      <c r="B848" s="1"/>
      <c r="C848" s="45"/>
      <c r="D848" s="45"/>
      <c r="E848" s="45"/>
      <c r="F848" s="45"/>
      <c r="G848" s="45"/>
      <c r="H848" s="45"/>
      <c r="I848" s="45"/>
      <c r="J848" s="45"/>
      <c r="K848" s="45"/>
    </row>
    <row r="849" spans="1:11" x14ac:dyDescent="0.25">
      <c r="A849" s="1"/>
      <c r="B849" s="1"/>
      <c r="C849" s="45"/>
      <c r="D849" s="45"/>
      <c r="E849" s="45"/>
      <c r="F849" s="45"/>
      <c r="G849" s="45"/>
      <c r="H849" s="45"/>
      <c r="I849" s="45"/>
      <c r="J849" s="45"/>
      <c r="K849" s="45"/>
    </row>
    <row r="850" spans="1:11" x14ac:dyDescent="0.25">
      <c r="A850" s="1"/>
      <c r="B850" s="1"/>
      <c r="C850" s="45"/>
      <c r="D850" s="45"/>
      <c r="E850" s="45"/>
      <c r="F850" s="45"/>
      <c r="G850" s="45"/>
      <c r="H850" s="45"/>
      <c r="I850" s="45"/>
      <c r="J850" s="45"/>
      <c r="K850" s="45"/>
    </row>
    <row r="851" spans="1:11" x14ac:dyDescent="0.25">
      <c r="A851" s="1"/>
      <c r="B851" s="1"/>
      <c r="C851" s="45"/>
      <c r="D851" s="45"/>
      <c r="E851" s="45"/>
      <c r="F851" s="45"/>
      <c r="G851" s="45"/>
      <c r="H851" s="45"/>
      <c r="I851" s="45"/>
      <c r="J851" s="45"/>
      <c r="K851" s="45"/>
    </row>
    <row r="852" spans="1:11" x14ac:dyDescent="0.25">
      <c r="A852" s="1"/>
      <c r="B852" s="1"/>
      <c r="C852" s="45"/>
      <c r="D852" s="45"/>
      <c r="E852" s="45"/>
      <c r="F852" s="45"/>
      <c r="G852" s="45"/>
      <c r="H852" s="45"/>
      <c r="I852" s="45"/>
      <c r="J852" s="45"/>
      <c r="K852" s="45"/>
    </row>
    <row r="853" spans="1:11" x14ac:dyDescent="0.25">
      <c r="A853" s="1"/>
      <c r="B853" s="1"/>
      <c r="C853" s="45"/>
      <c r="D853" s="45"/>
      <c r="E853" s="45"/>
      <c r="F853" s="45"/>
      <c r="G853" s="45"/>
      <c r="H853" s="45"/>
      <c r="I853" s="45"/>
      <c r="J853" s="45"/>
      <c r="K853" s="45"/>
    </row>
    <row r="854" spans="1:11" x14ac:dyDescent="0.25">
      <c r="A854" s="1"/>
      <c r="B854" s="1"/>
      <c r="C854" s="45"/>
      <c r="D854" s="45"/>
      <c r="E854" s="45"/>
      <c r="F854" s="45"/>
      <c r="G854" s="45"/>
      <c r="H854" s="45"/>
      <c r="I854" s="45"/>
      <c r="J854" s="45"/>
      <c r="K854" s="45"/>
    </row>
    <row r="855" spans="1:11" x14ac:dyDescent="0.25">
      <c r="A855" s="1"/>
      <c r="B855" s="1"/>
      <c r="C855" s="45"/>
      <c r="D855" s="45"/>
      <c r="E855" s="45"/>
      <c r="F855" s="45"/>
      <c r="G855" s="45"/>
      <c r="H855" s="45"/>
      <c r="I855" s="45"/>
      <c r="J855" s="45"/>
      <c r="K855" s="45"/>
    </row>
    <row r="856" spans="1:11" x14ac:dyDescent="0.25">
      <c r="A856" s="1"/>
      <c r="B856" s="1"/>
      <c r="C856" s="45"/>
      <c r="D856" s="45"/>
      <c r="E856" s="45"/>
      <c r="F856" s="45"/>
      <c r="G856" s="45"/>
      <c r="H856" s="45"/>
      <c r="I856" s="45"/>
      <c r="J856" s="45"/>
      <c r="K856" s="45"/>
    </row>
    <row r="857" spans="1:11" x14ac:dyDescent="0.25">
      <c r="A857" s="1"/>
      <c r="B857" s="1"/>
      <c r="C857" s="45"/>
      <c r="D857" s="45"/>
      <c r="E857" s="45"/>
      <c r="F857" s="45"/>
      <c r="G857" s="45"/>
      <c r="H857" s="45"/>
      <c r="I857" s="45"/>
      <c r="J857" s="45"/>
      <c r="K857" s="45"/>
    </row>
    <row r="858" spans="1:11" x14ac:dyDescent="0.25">
      <c r="A858" s="1"/>
      <c r="B858" s="1"/>
      <c r="C858" s="45"/>
      <c r="D858" s="45"/>
      <c r="E858" s="45"/>
      <c r="F858" s="45"/>
      <c r="G858" s="45"/>
      <c r="H858" s="45"/>
      <c r="I858" s="45"/>
      <c r="J858" s="45"/>
      <c r="K858" s="45"/>
    </row>
    <row r="859" spans="1:11" x14ac:dyDescent="0.25">
      <c r="A859" s="1"/>
      <c r="B859" s="1"/>
      <c r="C859" s="45"/>
      <c r="D859" s="45"/>
      <c r="E859" s="45"/>
      <c r="F859" s="45"/>
      <c r="G859" s="45"/>
      <c r="H859" s="45"/>
      <c r="I859" s="45"/>
      <c r="J859" s="45"/>
      <c r="K859" s="45"/>
    </row>
    <row r="860" spans="1:11" x14ac:dyDescent="0.25">
      <c r="A860" s="1"/>
      <c r="B860" s="1"/>
      <c r="C860" s="45"/>
      <c r="D860" s="45"/>
      <c r="E860" s="45"/>
      <c r="F860" s="45"/>
      <c r="G860" s="45"/>
      <c r="H860" s="45"/>
      <c r="I860" s="45"/>
      <c r="J860" s="45"/>
      <c r="K860" s="45"/>
    </row>
    <row r="861" spans="1:11" x14ac:dyDescent="0.25">
      <c r="A861" s="1"/>
      <c r="B861" s="1"/>
      <c r="C861" s="45"/>
      <c r="D861" s="45"/>
      <c r="E861" s="45"/>
      <c r="F861" s="45"/>
      <c r="G861" s="45"/>
      <c r="H861" s="45"/>
      <c r="I861" s="45"/>
      <c r="J861" s="45"/>
      <c r="K861" s="45"/>
    </row>
    <row r="862" spans="1:11" x14ac:dyDescent="0.25">
      <c r="A862" s="1"/>
      <c r="B862" s="1"/>
      <c r="C862" s="45"/>
      <c r="D862" s="45"/>
      <c r="E862" s="45"/>
      <c r="F862" s="45"/>
      <c r="G862" s="45"/>
      <c r="H862" s="45"/>
      <c r="I862" s="45"/>
      <c r="J862" s="45"/>
      <c r="K862" s="45"/>
    </row>
    <row r="863" spans="1:11" x14ac:dyDescent="0.25">
      <c r="A863" s="1"/>
      <c r="B863" s="1"/>
      <c r="C863" s="45"/>
      <c r="D863" s="45"/>
      <c r="E863" s="45"/>
      <c r="F863" s="45"/>
      <c r="G863" s="45"/>
      <c r="H863" s="45"/>
      <c r="I863" s="45"/>
      <c r="J863" s="45"/>
      <c r="K863" s="45"/>
    </row>
    <row r="864" spans="1:11" x14ac:dyDescent="0.25">
      <c r="A864" s="1"/>
      <c r="B864" s="1"/>
      <c r="C864" s="45"/>
      <c r="D864" s="45"/>
      <c r="E864" s="45"/>
      <c r="F864" s="45"/>
      <c r="G864" s="45"/>
      <c r="H864" s="45"/>
      <c r="I864" s="45"/>
      <c r="J864" s="45"/>
      <c r="K864" s="45"/>
    </row>
    <row r="865" spans="1:11" x14ac:dyDescent="0.25">
      <c r="A865" s="1"/>
      <c r="B865" s="1"/>
      <c r="C865" s="45"/>
      <c r="D865" s="45"/>
      <c r="E865" s="45"/>
      <c r="F865" s="45"/>
      <c r="G865" s="45"/>
      <c r="H865" s="45"/>
      <c r="I865" s="45"/>
      <c r="J865" s="45"/>
      <c r="K865" s="45"/>
    </row>
    <row r="866" spans="1:11" x14ac:dyDescent="0.25">
      <c r="A866" s="1"/>
      <c r="B866" s="1"/>
      <c r="C866" s="45"/>
      <c r="D866" s="45"/>
      <c r="E866" s="45"/>
      <c r="F866" s="45"/>
      <c r="G866" s="45"/>
      <c r="H866" s="45"/>
      <c r="I866" s="45"/>
      <c r="J866" s="45"/>
      <c r="K866" s="45"/>
    </row>
    <row r="867" spans="1:11" x14ac:dyDescent="0.25">
      <c r="A867" s="1"/>
      <c r="B867" s="1"/>
      <c r="C867" s="45"/>
      <c r="D867" s="45"/>
      <c r="E867" s="45"/>
      <c r="F867" s="45"/>
      <c r="G867" s="45"/>
      <c r="H867" s="45"/>
      <c r="I867" s="45"/>
      <c r="J867" s="45"/>
      <c r="K867" s="45"/>
    </row>
    <row r="868" spans="1:11" x14ac:dyDescent="0.25">
      <c r="A868" s="1"/>
      <c r="B868" s="1"/>
      <c r="C868" s="45"/>
      <c r="D868" s="45"/>
      <c r="E868" s="45"/>
      <c r="F868" s="45"/>
      <c r="G868" s="45"/>
      <c r="H868" s="45"/>
      <c r="I868" s="45"/>
      <c r="J868" s="45"/>
      <c r="K868" s="45"/>
    </row>
    <row r="869" spans="1:11" x14ac:dyDescent="0.25">
      <c r="A869" s="1"/>
      <c r="B869" s="1"/>
      <c r="C869" s="45"/>
      <c r="D869" s="45"/>
      <c r="E869" s="45"/>
      <c r="F869" s="45"/>
      <c r="G869" s="45"/>
      <c r="H869" s="45"/>
      <c r="I869" s="45"/>
      <c r="J869" s="45"/>
      <c r="K869" s="45"/>
    </row>
    <row r="870" spans="1:11" x14ac:dyDescent="0.25">
      <c r="A870" s="1"/>
      <c r="B870" s="1"/>
      <c r="C870" s="45"/>
      <c r="D870" s="45"/>
      <c r="E870" s="45"/>
      <c r="F870" s="45"/>
      <c r="G870" s="45"/>
      <c r="H870" s="45"/>
      <c r="I870" s="45"/>
      <c r="J870" s="45"/>
      <c r="K870" s="45"/>
    </row>
    <row r="871" spans="1:11" x14ac:dyDescent="0.25">
      <c r="A871" s="1"/>
      <c r="B871" s="1"/>
      <c r="C871" s="45"/>
      <c r="D871" s="45"/>
      <c r="E871" s="45"/>
      <c r="F871" s="45"/>
      <c r="G871" s="45"/>
      <c r="H871" s="45"/>
      <c r="I871" s="45"/>
      <c r="J871" s="45"/>
      <c r="K871" s="45"/>
    </row>
    <row r="872" spans="1:11" x14ac:dyDescent="0.25">
      <c r="A872" s="1"/>
      <c r="B872" s="1"/>
      <c r="C872" s="45"/>
      <c r="D872" s="45"/>
      <c r="E872" s="45"/>
      <c r="F872" s="45"/>
      <c r="G872" s="45"/>
      <c r="H872" s="45"/>
      <c r="I872" s="45"/>
      <c r="J872" s="45"/>
      <c r="K872" s="45"/>
    </row>
    <row r="873" spans="1:11" x14ac:dyDescent="0.25">
      <c r="A873" s="1"/>
      <c r="B873" s="1"/>
      <c r="C873" s="45"/>
      <c r="D873" s="45"/>
      <c r="E873" s="45"/>
      <c r="F873" s="45"/>
      <c r="G873" s="45"/>
      <c r="H873" s="45"/>
      <c r="I873" s="45"/>
      <c r="J873" s="45"/>
      <c r="K873" s="45"/>
    </row>
    <row r="874" spans="1:11" x14ac:dyDescent="0.25">
      <c r="A874" s="1"/>
      <c r="B874" s="1"/>
      <c r="C874" s="45"/>
      <c r="D874" s="45"/>
      <c r="E874" s="45"/>
      <c r="F874" s="45"/>
      <c r="G874" s="45"/>
      <c r="H874" s="45"/>
      <c r="I874" s="45"/>
      <c r="J874" s="45"/>
      <c r="K874" s="45"/>
    </row>
    <row r="875" spans="1:11" x14ac:dyDescent="0.25">
      <c r="A875" s="1"/>
      <c r="B875" s="1"/>
      <c r="C875" s="45"/>
      <c r="D875" s="45"/>
      <c r="E875" s="45"/>
      <c r="F875" s="45"/>
      <c r="G875" s="45"/>
      <c r="H875" s="45"/>
      <c r="I875" s="45"/>
      <c r="J875" s="45"/>
      <c r="K875" s="45"/>
    </row>
    <row r="876" spans="1:11" x14ac:dyDescent="0.25">
      <c r="A876" s="1"/>
      <c r="B876" s="1"/>
      <c r="C876" s="45"/>
      <c r="D876" s="45"/>
      <c r="E876" s="45"/>
      <c r="F876" s="45"/>
      <c r="G876" s="45"/>
      <c r="H876" s="45"/>
      <c r="I876" s="45"/>
      <c r="J876" s="45"/>
      <c r="K876" s="45"/>
    </row>
    <row r="877" spans="1:11" x14ac:dyDescent="0.25">
      <c r="A877" s="1"/>
      <c r="B877" s="1"/>
      <c r="C877" s="45"/>
      <c r="D877" s="45"/>
      <c r="E877" s="45"/>
      <c r="F877" s="45"/>
      <c r="G877" s="45"/>
      <c r="H877" s="45"/>
      <c r="I877" s="45"/>
      <c r="J877" s="45"/>
      <c r="K877" s="45"/>
    </row>
    <row r="878" spans="1:11" x14ac:dyDescent="0.25">
      <c r="A878" s="1"/>
      <c r="B878" s="1"/>
      <c r="C878" s="45"/>
      <c r="D878" s="45"/>
      <c r="E878" s="45"/>
      <c r="F878" s="45"/>
      <c r="G878" s="45"/>
      <c r="H878" s="45"/>
      <c r="I878" s="45"/>
      <c r="J878" s="45"/>
      <c r="K878" s="45"/>
    </row>
    <row r="879" spans="1:11" x14ac:dyDescent="0.25">
      <c r="A879" s="1"/>
      <c r="B879" s="1"/>
      <c r="C879" s="45"/>
      <c r="D879" s="45"/>
      <c r="E879" s="45"/>
      <c r="F879" s="45"/>
      <c r="G879" s="45"/>
      <c r="H879" s="45"/>
      <c r="I879" s="45"/>
      <c r="J879" s="45"/>
      <c r="K879" s="45"/>
    </row>
    <row r="880" spans="1:11" x14ac:dyDescent="0.25">
      <c r="A880" s="1"/>
      <c r="B880" s="1"/>
      <c r="C880" s="45"/>
      <c r="D880" s="45"/>
      <c r="E880" s="45"/>
      <c r="F880" s="45"/>
      <c r="G880" s="45"/>
      <c r="H880" s="45"/>
      <c r="I880" s="45"/>
      <c r="J880" s="45"/>
      <c r="K880" s="45"/>
    </row>
    <row r="881" spans="1:11" x14ac:dyDescent="0.25">
      <c r="A881" s="1"/>
      <c r="B881" s="1"/>
      <c r="C881" s="45"/>
      <c r="D881" s="45"/>
      <c r="E881" s="45"/>
      <c r="F881" s="45"/>
      <c r="G881" s="45"/>
      <c r="H881" s="45"/>
      <c r="I881" s="45"/>
      <c r="J881" s="45"/>
      <c r="K881" s="45"/>
    </row>
    <row r="882" spans="1:11" x14ac:dyDescent="0.25">
      <c r="A882" s="1"/>
      <c r="B882" s="1"/>
      <c r="C882" s="45"/>
      <c r="D882" s="45"/>
      <c r="E882" s="45"/>
      <c r="F882" s="45"/>
      <c r="G882" s="45"/>
      <c r="H882" s="45"/>
      <c r="I882" s="45"/>
      <c r="J882" s="45"/>
      <c r="K882" s="45"/>
    </row>
    <row r="883" spans="1:11" x14ac:dyDescent="0.25">
      <c r="A883" s="1"/>
      <c r="B883" s="1"/>
      <c r="C883" s="45"/>
      <c r="D883" s="45"/>
      <c r="E883" s="45"/>
      <c r="F883" s="45"/>
      <c r="G883" s="45"/>
      <c r="H883" s="45"/>
      <c r="I883" s="45"/>
      <c r="J883" s="45"/>
      <c r="K883" s="45"/>
    </row>
    <row r="884" spans="1:11" x14ac:dyDescent="0.25">
      <c r="A884" s="1"/>
      <c r="B884" s="1"/>
      <c r="C884" s="45"/>
      <c r="D884" s="45"/>
      <c r="E884" s="45"/>
      <c r="F884" s="45"/>
      <c r="G884" s="45"/>
      <c r="H884" s="45"/>
      <c r="I884" s="45"/>
      <c r="J884" s="45"/>
      <c r="K884" s="45"/>
    </row>
    <row r="885" spans="1:11" x14ac:dyDescent="0.25">
      <c r="A885" s="1"/>
      <c r="B885" s="1"/>
      <c r="C885" s="45"/>
      <c r="D885" s="45"/>
      <c r="E885" s="45"/>
      <c r="F885" s="45"/>
      <c r="G885" s="45"/>
      <c r="H885" s="45"/>
      <c r="I885" s="45"/>
      <c r="J885" s="45"/>
      <c r="K885" s="45"/>
    </row>
    <row r="886" spans="1:11" x14ac:dyDescent="0.25">
      <c r="A886" s="1"/>
      <c r="B886" s="1"/>
      <c r="C886" s="45"/>
      <c r="D886" s="45"/>
      <c r="E886" s="45"/>
      <c r="F886" s="45"/>
      <c r="G886" s="45"/>
      <c r="H886" s="45"/>
      <c r="I886" s="45"/>
      <c r="J886" s="45"/>
      <c r="K886" s="45"/>
    </row>
    <row r="887" spans="1:11" x14ac:dyDescent="0.25">
      <c r="A887" s="1"/>
      <c r="B887" s="1"/>
      <c r="C887" s="45"/>
      <c r="D887" s="45"/>
      <c r="E887" s="45"/>
      <c r="F887" s="45"/>
      <c r="G887" s="45"/>
      <c r="H887" s="45"/>
      <c r="I887" s="45"/>
      <c r="J887" s="45"/>
      <c r="K887" s="45"/>
    </row>
    <row r="888" spans="1:11" x14ac:dyDescent="0.25">
      <c r="A888" s="1"/>
      <c r="B888" s="1"/>
      <c r="C888" s="45"/>
      <c r="D888" s="45"/>
      <c r="E888" s="45"/>
      <c r="F888" s="45"/>
      <c r="G888" s="45"/>
      <c r="H888" s="45"/>
      <c r="I888" s="45"/>
      <c r="J888" s="45"/>
      <c r="K888" s="45"/>
    </row>
    <row r="889" spans="1:11" x14ac:dyDescent="0.25">
      <c r="A889" s="1"/>
      <c r="B889" s="1"/>
      <c r="C889" s="45"/>
      <c r="D889" s="45"/>
      <c r="E889" s="45"/>
      <c r="F889" s="45"/>
      <c r="G889" s="45"/>
      <c r="H889" s="45"/>
      <c r="I889" s="45"/>
      <c r="J889" s="45"/>
      <c r="K889" s="45"/>
    </row>
    <row r="890" spans="1:11" x14ac:dyDescent="0.25">
      <c r="A890" s="1"/>
      <c r="B890" s="1"/>
      <c r="C890" s="45"/>
      <c r="D890" s="45"/>
      <c r="E890" s="45"/>
      <c r="F890" s="45"/>
      <c r="G890" s="45"/>
      <c r="H890" s="45"/>
      <c r="I890" s="45"/>
      <c r="J890" s="45"/>
      <c r="K890" s="45"/>
    </row>
    <row r="891" spans="1:11" x14ac:dyDescent="0.25">
      <c r="A891" s="1"/>
      <c r="B891" s="1"/>
      <c r="C891" s="45"/>
      <c r="D891" s="45"/>
      <c r="E891" s="45"/>
      <c r="F891" s="45"/>
      <c r="G891" s="45"/>
      <c r="H891" s="45"/>
      <c r="I891" s="45"/>
      <c r="J891" s="45"/>
      <c r="K891" s="45"/>
    </row>
    <row r="892" spans="1:11" x14ac:dyDescent="0.25">
      <c r="A892" s="1"/>
      <c r="B892" s="1"/>
      <c r="C892" s="45"/>
      <c r="D892" s="45"/>
      <c r="E892" s="45"/>
      <c r="F892" s="45"/>
      <c r="G892" s="45"/>
      <c r="H892" s="45"/>
      <c r="I892" s="45"/>
      <c r="J892" s="45"/>
      <c r="K892" s="45"/>
    </row>
    <row r="893" spans="1:11" x14ac:dyDescent="0.25">
      <c r="A893" s="1"/>
      <c r="B893" s="1"/>
      <c r="C893" s="45"/>
      <c r="D893" s="45"/>
      <c r="E893" s="45"/>
      <c r="F893" s="45"/>
      <c r="G893" s="45"/>
      <c r="H893" s="45"/>
      <c r="I893" s="45"/>
      <c r="J893" s="45"/>
      <c r="K893" s="45"/>
    </row>
    <row r="894" spans="1:11" x14ac:dyDescent="0.25">
      <c r="A894" s="1"/>
      <c r="B894" s="1"/>
      <c r="C894" s="45"/>
      <c r="D894" s="45"/>
      <c r="E894" s="45"/>
      <c r="F894" s="45"/>
      <c r="G894" s="45"/>
      <c r="H894" s="45"/>
      <c r="I894" s="45"/>
      <c r="J894" s="45"/>
      <c r="K894" s="45"/>
    </row>
    <row r="895" spans="1:11" x14ac:dyDescent="0.25">
      <c r="A895" s="1"/>
      <c r="B895" s="1"/>
      <c r="C895" s="45"/>
      <c r="D895" s="45"/>
      <c r="E895" s="45"/>
      <c r="F895" s="45"/>
      <c r="G895" s="45"/>
      <c r="H895" s="45"/>
      <c r="I895" s="45"/>
      <c r="J895" s="45"/>
      <c r="K895" s="45"/>
    </row>
    <row r="896" spans="1:11" x14ac:dyDescent="0.25">
      <c r="A896" s="1"/>
      <c r="B896" s="1"/>
      <c r="C896" s="45"/>
      <c r="D896" s="45"/>
      <c r="E896" s="45"/>
      <c r="F896" s="45"/>
      <c r="G896" s="45"/>
      <c r="H896" s="45"/>
      <c r="I896" s="45"/>
      <c r="J896" s="45"/>
      <c r="K896" s="45"/>
    </row>
    <row r="897" spans="1:11" x14ac:dyDescent="0.25">
      <c r="A897" s="1"/>
      <c r="B897" s="1"/>
      <c r="C897" s="45"/>
      <c r="D897" s="45"/>
      <c r="E897" s="45"/>
      <c r="F897" s="45"/>
      <c r="G897" s="45"/>
      <c r="H897" s="45"/>
      <c r="I897" s="45"/>
      <c r="J897" s="45"/>
      <c r="K897" s="45"/>
    </row>
    <row r="898" spans="1:11" x14ac:dyDescent="0.25">
      <c r="A898" s="1"/>
      <c r="B898" s="1"/>
      <c r="C898" s="45"/>
      <c r="D898" s="45"/>
      <c r="E898" s="45"/>
      <c r="F898" s="45"/>
      <c r="G898" s="45"/>
      <c r="H898" s="45"/>
      <c r="I898" s="45"/>
      <c r="J898" s="45"/>
      <c r="K898" s="45"/>
    </row>
    <row r="899" spans="1:11" x14ac:dyDescent="0.25">
      <c r="A899" s="1"/>
      <c r="B899" s="1"/>
      <c r="C899" s="45"/>
      <c r="D899" s="45"/>
      <c r="E899" s="45"/>
      <c r="F899" s="45"/>
      <c r="G899" s="45"/>
      <c r="H899" s="45"/>
      <c r="I899" s="45"/>
      <c r="J899" s="45"/>
      <c r="K899" s="45"/>
    </row>
    <row r="900" spans="1:11" x14ac:dyDescent="0.25">
      <c r="A900" s="1"/>
      <c r="B900" s="1"/>
      <c r="C900" s="45"/>
      <c r="D900" s="45"/>
      <c r="E900" s="45"/>
      <c r="F900" s="45"/>
      <c r="G900" s="45"/>
      <c r="H900" s="45"/>
      <c r="I900" s="45"/>
      <c r="J900" s="45"/>
      <c r="K900" s="45"/>
    </row>
    <row r="901" spans="1:11" x14ac:dyDescent="0.25">
      <c r="A901" s="1"/>
      <c r="B901" s="1"/>
      <c r="C901" s="45"/>
      <c r="D901" s="45"/>
      <c r="E901" s="45"/>
      <c r="F901" s="45"/>
      <c r="G901" s="45"/>
      <c r="H901" s="45"/>
      <c r="I901" s="45"/>
      <c r="J901" s="45"/>
      <c r="K901" s="45"/>
    </row>
    <row r="902" spans="1:11" x14ac:dyDescent="0.25">
      <c r="A902" s="1"/>
      <c r="B902" s="1"/>
      <c r="C902" s="45"/>
      <c r="D902" s="45"/>
      <c r="E902" s="45"/>
      <c r="F902" s="45"/>
      <c r="G902" s="45"/>
      <c r="H902" s="45"/>
      <c r="I902" s="45"/>
      <c r="J902" s="45"/>
      <c r="K902" s="45"/>
    </row>
    <row r="903" spans="1:11" x14ac:dyDescent="0.25">
      <c r="A903" s="1"/>
      <c r="B903" s="1"/>
      <c r="C903" s="45"/>
      <c r="D903" s="45"/>
      <c r="E903" s="45"/>
      <c r="F903" s="45"/>
      <c r="G903" s="45"/>
      <c r="H903" s="45"/>
      <c r="I903" s="45"/>
      <c r="J903" s="45"/>
      <c r="K903" s="45"/>
    </row>
    <row r="904" spans="1:11" x14ac:dyDescent="0.25">
      <c r="A904" s="1"/>
      <c r="B904" s="1"/>
      <c r="C904" s="45"/>
      <c r="D904" s="45"/>
      <c r="E904" s="45"/>
      <c r="F904" s="45"/>
      <c r="G904" s="45"/>
      <c r="H904" s="45"/>
      <c r="I904" s="45"/>
      <c r="J904" s="45"/>
      <c r="K904" s="45"/>
    </row>
    <row r="905" spans="1:11" x14ac:dyDescent="0.25">
      <c r="A905" s="1"/>
      <c r="B905" s="1"/>
      <c r="C905" s="45"/>
      <c r="D905" s="45"/>
      <c r="E905" s="45"/>
      <c r="F905" s="45"/>
      <c r="G905" s="45"/>
      <c r="H905" s="45"/>
      <c r="I905" s="45"/>
      <c r="J905" s="45"/>
      <c r="K905" s="45"/>
    </row>
    <row r="906" spans="1:11" x14ac:dyDescent="0.25">
      <c r="A906" s="1"/>
      <c r="B906" s="1"/>
      <c r="C906" s="45"/>
      <c r="D906" s="45"/>
      <c r="E906" s="45"/>
      <c r="F906" s="45"/>
      <c r="G906" s="45"/>
      <c r="H906" s="45"/>
      <c r="I906" s="45"/>
      <c r="J906" s="45"/>
      <c r="K906" s="45"/>
    </row>
    <row r="907" spans="1:11" x14ac:dyDescent="0.25">
      <c r="A907" s="1"/>
      <c r="B907" s="1"/>
      <c r="C907" s="45"/>
      <c r="D907" s="45"/>
      <c r="E907" s="45"/>
      <c r="F907" s="45"/>
      <c r="G907" s="45"/>
      <c r="H907" s="45"/>
      <c r="I907" s="45"/>
      <c r="J907" s="45"/>
      <c r="K907" s="45"/>
    </row>
    <row r="908" spans="1:11" x14ac:dyDescent="0.25">
      <c r="A908" s="1"/>
      <c r="B908" s="1"/>
      <c r="C908" s="45"/>
      <c r="D908" s="45"/>
      <c r="E908" s="45"/>
      <c r="F908" s="45"/>
      <c r="G908" s="45"/>
      <c r="H908" s="45"/>
      <c r="I908" s="45"/>
      <c r="J908" s="45"/>
      <c r="K908" s="45"/>
    </row>
    <row r="909" spans="1:11" x14ac:dyDescent="0.25">
      <c r="A909" s="1"/>
      <c r="B909" s="1"/>
      <c r="C909" s="45"/>
      <c r="D909" s="45"/>
      <c r="E909" s="45"/>
      <c r="F909" s="45"/>
      <c r="G909" s="45"/>
      <c r="H909" s="45"/>
      <c r="I909" s="45"/>
      <c r="J909" s="45"/>
      <c r="K909" s="45"/>
    </row>
    <row r="910" spans="1:11" x14ac:dyDescent="0.25">
      <c r="A910" s="1"/>
      <c r="B910" s="1"/>
      <c r="C910" s="45"/>
      <c r="D910" s="45"/>
      <c r="E910" s="45"/>
      <c r="F910" s="45"/>
      <c r="G910" s="45"/>
      <c r="H910" s="45"/>
      <c r="I910" s="45"/>
      <c r="J910" s="45"/>
      <c r="K910" s="45"/>
    </row>
    <row r="911" spans="1:11" x14ac:dyDescent="0.25">
      <c r="A911" s="1"/>
      <c r="B911" s="1"/>
      <c r="C911" s="45"/>
      <c r="D911" s="45"/>
      <c r="E911" s="45"/>
      <c r="F911" s="45"/>
      <c r="G911" s="45"/>
      <c r="H911" s="45"/>
      <c r="I911" s="45"/>
      <c r="J911" s="45"/>
      <c r="K911" s="45"/>
    </row>
    <row r="912" spans="1:11" x14ac:dyDescent="0.25">
      <c r="A912" s="1"/>
      <c r="B912" s="1"/>
      <c r="C912" s="45"/>
      <c r="D912" s="45"/>
      <c r="E912" s="45"/>
      <c r="F912" s="45"/>
      <c r="G912" s="45"/>
      <c r="H912" s="45"/>
      <c r="I912" s="45"/>
      <c r="J912" s="45"/>
      <c r="K912" s="45"/>
    </row>
    <row r="913" spans="1:11" x14ac:dyDescent="0.25">
      <c r="A913" s="1"/>
      <c r="B913" s="1"/>
      <c r="C913" s="45"/>
      <c r="D913" s="45"/>
      <c r="E913" s="45"/>
      <c r="F913" s="45"/>
      <c r="G913" s="45"/>
      <c r="H913" s="45"/>
      <c r="I913" s="45"/>
      <c r="J913" s="45"/>
      <c r="K913" s="45"/>
    </row>
    <row r="914" spans="1:11" x14ac:dyDescent="0.25">
      <c r="A914" s="1"/>
      <c r="B914" s="1"/>
      <c r="C914" s="45"/>
      <c r="D914" s="45"/>
      <c r="E914" s="45"/>
      <c r="F914" s="45"/>
      <c r="G914" s="45"/>
      <c r="H914" s="45"/>
      <c r="I914" s="45"/>
      <c r="J914" s="45"/>
      <c r="K914" s="45"/>
    </row>
    <row r="915" spans="1:11" x14ac:dyDescent="0.25">
      <c r="A915" s="1"/>
      <c r="B915" s="1"/>
      <c r="C915" s="45"/>
      <c r="D915" s="45"/>
      <c r="E915" s="45"/>
      <c r="F915" s="45"/>
      <c r="G915" s="45"/>
      <c r="H915" s="45"/>
      <c r="I915" s="45"/>
      <c r="J915" s="45"/>
      <c r="K915" s="45"/>
    </row>
    <row r="916" spans="1:11" x14ac:dyDescent="0.25">
      <c r="A916" s="1"/>
      <c r="B916" s="1"/>
      <c r="C916" s="45"/>
      <c r="D916" s="45"/>
      <c r="E916" s="45"/>
      <c r="F916" s="45"/>
      <c r="G916" s="45"/>
      <c r="H916" s="45"/>
      <c r="I916" s="45"/>
      <c r="J916" s="45"/>
      <c r="K916" s="45"/>
    </row>
    <row r="917" spans="1:11" x14ac:dyDescent="0.25">
      <c r="A917" s="1"/>
      <c r="B917" s="1"/>
      <c r="C917" s="45"/>
      <c r="D917" s="45"/>
      <c r="E917" s="45"/>
      <c r="F917" s="45"/>
      <c r="G917" s="45"/>
      <c r="H917" s="45"/>
      <c r="I917" s="45"/>
      <c r="J917" s="45"/>
      <c r="K917" s="45"/>
    </row>
    <row r="918" spans="1:11" x14ac:dyDescent="0.25">
      <c r="A918" s="1"/>
      <c r="B918" s="1"/>
      <c r="C918" s="45"/>
      <c r="D918" s="45"/>
      <c r="E918" s="45"/>
      <c r="F918" s="45"/>
      <c r="G918" s="45"/>
      <c r="H918" s="45"/>
      <c r="I918" s="45"/>
      <c r="J918" s="45"/>
      <c r="K918" s="45"/>
    </row>
    <row r="919" spans="1:11" x14ac:dyDescent="0.25">
      <c r="A919" s="1"/>
      <c r="B919" s="1"/>
      <c r="C919" s="45"/>
      <c r="D919" s="45"/>
      <c r="E919" s="45"/>
      <c r="F919" s="45"/>
      <c r="G919" s="45"/>
      <c r="H919" s="45"/>
      <c r="I919" s="45"/>
      <c r="J919" s="45"/>
      <c r="K919" s="45"/>
    </row>
    <row r="920" spans="1:11" x14ac:dyDescent="0.25">
      <c r="A920" s="1"/>
      <c r="B920" s="1"/>
      <c r="C920" s="45"/>
      <c r="D920" s="45"/>
      <c r="E920" s="45"/>
      <c r="F920" s="45"/>
      <c r="G920" s="45"/>
      <c r="H920" s="45"/>
      <c r="I920" s="45"/>
      <c r="J920" s="45"/>
      <c r="K920" s="45"/>
    </row>
    <row r="921" spans="1:11" x14ac:dyDescent="0.25">
      <c r="A921" s="1"/>
      <c r="B921" s="1"/>
      <c r="C921" s="45"/>
      <c r="D921" s="45"/>
      <c r="E921" s="45"/>
      <c r="F921" s="45"/>
      <c r="G921" s="45"/>
      <c r="H921" s="45"/>
      <c r="I921" s="45"/>
      <c r="J921" s="45"/>
      <c r="K921" s="45"/>
    </row>
    <row r="922" spans="1:11" x14ac:dyDescent="0.25">
      <c r="A922" s="1"/>
      <c r="B922" s="1"/>
      <c r="C922" s="45"/>
      <c r="D922" s="45"/>
      <c r="E922" s="45"/>
      <c r="F922" s="45"/>
      <c r="G922" s="45"/>
      <c r="H922" s="45"/>
      <c r="I922" s="45"/>
      <c r="J922" s="45"/>
      <c r="K922" s="45"/>
    </row>
    <row r="923" spans="1:11" x14ac:dyDescent="0.25">
      <c r="A923" s="1"/>
      <c r="B923" s="1"/>
      <c r="C923" s="45"/>
      <c r="D923" s="45"/>
      <c r="E923" s="45"/>
      <c r="F923" s="45"/>
      <c r="G923" s="45"/>
      <c r="H923" s="45"/>
      <c r="I923" s="45"/>
      <c r="J923" s="45"/>
      <c r="K923" s="45"/>
    </row>
    <row r="924" spans="1:11" x14ac:dyDescent="0.25">
      <c r="A924" s="1"/>
      <c r="B924" s="1"/>
      <c r="C924" s="45"/>
      <c r="D924" s="45"/>
      <c r="E924" s="45"/>
      <c r="F924" s="45"/>
      <c r="G924" s="45"/>
      <c r="H924" s="45"/>
      <c r="I924" s="45"/>
      <c r="J924" s="45"/>
      <c r="K924" s="45"/>
    </row>
    <row r="925" spans="1:11" x14ac:dyDescent="0.25">
      <c r="A925" s="1"/>
      <c r="B925" s="1"/>
      <c r="C925" s="45"/>
      <c r="D925" s="45"/>
      <c r="E925" s="45"/>
      <c r="F925" s="45"/>
      <c r="G925" s="45"/>
      <c r="H925" s="45"/>
      <c r="I925" s="45"/>
      <c r="J925" s="45"/>
      <c r="K925" s="45"/>
    </row>
    <row r="926" spans="1:11" x14ac:dyDescent="0.25">
      <c r="A926" s="1"/>
      <c r="B926" s="1"/>
      <c r="C926" s="45"/>
      <c r="D926" s="45"/>
      <c r="E926" s="45"/>
      <c r="F926" s="45"/>
      <c r="G926" s="45"/>
      <c r="H926" s="45"/>
      <c r="I926" s="45"/>
      <c r="J926" s="45"/>
      <c r="K926" s="45"/>
    </row>
    <row r="927" spans="1:11" x14ac:dyDescent="0.25">
      <c r="A927" s="1"/>
      <c r="B927" s="1"/>
      <c r="C927" s="45"/>
      <c r="D927" s="45"/>
      <c r="E927" s="45"/>
      <c r="F927" s="45"/>
      <c r="G927" s="45"/>
      <c r="H927" s="45"/>
      <c r="I927" s="45"/>
      <c r="J927" s="45"/>
      <c r="K927" s="45"/>
    </row>
    <row r="928" spans="1:11" x14ac:dyDescent="0.25">
      <c r="A928" s="1"/>
      <c r="B928" s="1"/>
      <c r="C928" s="45"/>
      <c r="D928" s="45"/>
      <c r="E928" s="45"/>
      <c r="F928" s="45"/>
      <c r="G928" s="45"/>
      <c r="H928" s="45"/>
      <c r="I928" s="45"/>
      <c r="J928" s="45"/>
      <c r="K928" s="45"/>
    </row>
    <row r="929" spans="1:11" x14ac:dyDescent="0.25">
      <c r="A929" s="1"/>
      <c r="B929" s="1"/>
      <c r="C929" s="45"/>
      <c r="D929" s="45"/>
      <c r="E929" s="45"/>
      <c r="F929" s="45"/>
      <c r="G929" s="45"/>
      <c r="H929" s="45"/>
      <c r="I929" s="45"/>
      <c r="J929" s="45"/>
      <c r="K929" s="45"/>
    </row>
    <row r="930" spans="1:11" x14ac:dyDescent="0.25">
      <c r="A930" s="1"/>
      <c r="B930" s="1"/>
      <c r="C930" s="45"/>
      <c r="D930" s="45"/>
      <c r="E930" s="45"/>
      <c r="F930" s="45"/>
      <c r="G930" s="45"/>
      <c r="H930" s="45"/>
      <c r="I930" s="45"/>
      <c r="J930" s="45"/>
      <c r="K930" s="45"/>
    </row>
    <row r="931" spans="1:11" x14ac:dyDescent="0.25">
      <c r="A931" s="1"/>
      <c r="B931" s="1"/>
      <c r="C931" s="45"/>
      <c r="D931" s="45"/>
      <c r="E931" s="45"/>
      <c r="F931" s="45"/>
      <c r="G931" s="45"/>
      <c r="H931" s="45"/>
      <c r="I931" s="45"/>
      <c r="J931" s="45"/>
      <c r="K931" s="45"/>
    </row>
    <row r="932" spans="1:11" x14ac:dyDescent="0.25">
      <c r="A932" s="1"/>
      <c r="B932" s="1"/>
      <c r="C932" s="45"/>
      <c r="D932" s="45"/>
      <c r="E932" s="45"/>
      <c r="F932" s="45"/>
      <c r="G932" s="45"/>
      <c r="H932" s="45"/>
      <c r="I932" s="45"/>
      <c r="J932" s="45"/>
      <c r="K932" s="45"/>
    </row>
    <row r="933" spans="1:11" x14ac:dyDescent="0.25">
      <c r="A933" s="1"/>
      <c r="B933" s="1"/>
      <c r="C933" s="45"/>
      <c r="D933" s="45"/>
      <c r="E933" s="45"/>
      <c r="F933" s="45"/>
      <c r="G933" s="45"/>
      <c r="H933" s="45"/>
      <c r="I933" s="45"/>
      <c r="J933" s="45"/>
      <c r="K933" s="45"/>
    </row>
    <row r="934" spans="1:11" x14ac:dyDescent="0.25">
      <c r="A934" s="1"/>
      <c r="B934" s="1"/>
      <c r="C934" s="45"/>
      <c r="D934" s="45"/>
      <c r="E934" s="45"/>
      <c r="F934" s="45"/>
      <c r="G934" s="45"/>
      <c r="H934" s="45"/>
      <c r="I934" s="45"/>
      <c r="J934" s="45"/>
      <c r="K934" s="45"/>
    </row>
    <row r="935" spans="1:11" x14ac:dyDescent="0.25">
      <c r="A935" s="1"/>
      <c r="B935" s="1"/>
      <c r="C935" s="45"/>
      <c r="D935" s="45"/>
      <c r="E935" s="45"/>
      <c r="F935" s="45"/>
      <c r="G935" s="45"/>
      <c r="H935" s="45"/>
      <c r="I935" s="45"/>
      <c r="J935" s="45"/>
      <c r="K935" s="45"/>
    </row>
    <row r="936" spans="1:11" x14ac:dyDescent="0.25">
      <c r="A936" s="1"/>
      <c r="B936" s="1"/>
      <c r="C936" s="45"/>
      <c r="D936" s="45"/>
      <c r="E936" s="45"/>
      <c r="F936" s="45"/>
      <c r="G936" s="45"/>
      <c r="H936" s="45"/>
      <c r="I936" s="45"/>
      <c r="J936" s="45"/>
      <c r="K936" s="45"/>
    </row>
    <row r="937" spans="1:11" x14ac:dyDescent="0.25">
      <c r="A937" s="1"/>
      <c r="B937" s="1"/>
      <c r="C937" s="45"/>
      <c r="D937" s="45"/>
      <c r="E937" s="45"/>
      <c r="F937" s="45"/>
      <c r="G937" s="45"/>
      <c r="H937" s="45"/>
      <c r="I937" s="45"/>
      <c r="J937" s="45"/>
      <c r="K937" s="45"/>
    </row>
    <row r="938" spans="1:11" x14ac:dyDescent="0.25">
      <c r="A938" s="1"/>
      <c r="B938" s="1"/>
      <c r="C938" s="45"/>
      <c r="D938" s="45"/>
      <c r="E938" s="45"/>
      <c r="F938" s="45"/>
      <c r="G938" s="45"/>
      <c r="H938" s="45"/>
      <c r="I938" s="45"/>
      <c r="J938" s="45"/>
      <c r="K938" s="45"/>
    </row>
    <row r="939" spans="1:11" x14ac:dyDescent="0.25">
      <c r="A939" s="1"/>
      <c r="B939" s="1"/>
      <c r="C939" s="45"/>
      <c r="D939" s="45"/>
      <c r="E939" s="45"/>
      <c r="F939" s="45"/>
      <c r="G939" s="45"/>
      <c r="H939" s="45"/>
      <c r="I939" s="45"/>
      <c r="J939" s="45"/>
      <c r="K939" s="45"/>
    </row>
    <row r="940" spans="1:11" x14ac:dyDescent="0.25">
      <c r="A940" s="1"/>
      <c r="B940" s="1"/>
      <c r="C940" s="45"/>
      <c r="D940" s="45"/>
      <c r="E940" s="45"/>
      <c r="F940" s="45"/>
      <c r="G940" s="45"/>
      <c r="H940" s="45"/>
      <c r="I940" s="45"/>
      <c r="J940" s="45"/>
      <c r="K940" s="45"/>
    </row>
    <row r="941" spans="1:11" x14ac:dyDescent="0.25">
      <c r="A941" s="1"/>
      <c r="B941" s="1"/>
      <c r="C941" s="45"/>
      <c r="D941" s="45"/>
      <c r="E941" s="45"/>
      <c r="F941" s="45"/>
      <c r="G941" s="45"/>
      <c r="H941" s="45"/>
      <c r="I941" s="45"/>
      <c r="J941" s="45"/>
      <c r="K941" s="45"/>
    </row>
    <row r="942" spans="1:11" x14ac:dyDescent="0.25">
      <c r="A942" s="1"/>
      <c r="B942" s="1"/>
      <c r="C942" s="45"/>
      <c r="D942" s="45"/>
      <c r="E942" s="45"/>
      <c r="F942" s="45"/>
      <c r="G942" s="45"/>
      <c r="H942" s="45"/>
      <c r="I942" s="45"/>
      <c r="J942" s="45"/>
      <c r="K942" s="45"/>
    </row>
    <row r="943" spans="1:11" x14ac:dyDescent="0.25">
      <c r="A943" s="1"/>
      <c r="B943" s="1"/>
      <c r="C943" s="45"/>
      <c r="D943" s="45"/>
      <c r="E943" s="45"/>
      <c r="F943" s="45"/>
      <c r="G943" s="45"/>
      <c r="H943" s="45"/>
      <c r="I943" s="45"/>
      <c r="J943" s="45"/>
      <c r="K943" s="45"/>
    </row>
    <row r="944" spans="1:11" x14ac:dyDescent="0.25">
      <c r="A944" s="1"/>
      <c r="B944" s="1"/>
      <c r="C944" s="45"/>
      <c r="D944" s="45"/>
      <c r="E944" s="45"/>
      <c r="F944" s="45"/>
      <c r="G944" s="45"/>
      <c r="H944" s="45"/>
      <c r="I944" s="45"/>
      <c r="J944" s="45"/>
      <c r="K944" s="45"/>
    </row>
    <row r="945" spans="1:11" x14ac:dyDescent="0.25">
      <c r="A945" s="1"/>
      <c r="B945" s="1"/>
      <c r="C945" s="45"/>
      <c r="D945" s="45"/>
      <c r="E945" s="45"/>
      <c r="F945" s="45"/>
      <c r="G945" s="45"/>
      <c r="H945" s="45"/>
      <c r="I945" s="45"/>
      <c r="J945" s="45"/>
      <c r="K945" s="45"/>
    </row>
    <row r="946" spans="1:11" x14ac:dyDescent="0.25">
      <c r="A946" s="1"/>
      <c r="B946" s="1"/>
      <c r="C946" s="45"/>
      <c r="D946" s="45"/>
      <c r="E946" s="45"/>
      <c r="F946" s="45"/>
      <c r="G946" s="45"/>
      <c r="H946" s="45"/>
      <c r="I946" s="45"/>
      <c r="J946" s="45"/>
      <c r="K946" s="45"/>
    </row>
    <row r="947" spans="1:11" x14ac:dyDescent="0.25">
      <c r="A947" s="1"/>
      <c r="B947" s="1"/>
      <c r="C947" s="45"/>
      <c r="D947" s="45"/>
      <c r="E947" s="45"/>
      <c r="F947" s="45"/>
      <c r="G947" s="45"/>
      <c r="H947" s="45"/>
      <c r="I947" s="45"/>
      <c r="J947" s="45"/>
      <c r="K947" s="45"/>
    </row>
    <row r="948" spans="1:11" x14ac:dyDescent="0.25">
      <c r="A948" s="1"/>
      <c r="B948" s="1"/>
      <c r="C948" s="45"/>
      <c r="D948" s="45"/>
      <c r="E948" s="45"/>
      <c r="F948" s="45"/>
      <c r="G948" s="45"/>
      <c r="H948" s="45"/>
      <c r="I948" s="45"/>
      <c r="J948" s="45"/>
      <c r="K948" s="45"/>
    </row>
    <row r="949" spans="1:11" x14ac:dyDescent="0.25">
      <c r="A949" s="1"/>
      <c r="B949" s="1"/>
      <c r="C949" s="45"/>
      <c r="D949" s="45"/>
      <c r="E949" s="45"/>
      <c r="F949" s="45"/>
      <c r="G949" s="45"/>
      <c r="H949" s="45"/>
      <c r="I949" s="45"/>
      <c r="J949" s="45"/>
      <c r="K949" s="45"/>
    </row>
    <row r="950" spans="1:11" x14ac:dyDescent="0.25">
      <c r="A950" s="1"/>
      <c r="B950" s="1"/>
      <c r="C950" s="45"/>
      <c r="D950" s="45"/>
      <c r="E950" s="45"/>
      <c r="F950" s="45"/>
      <c r="G950" s="45"/>
      <c r="H950" s="45"/>
      <c r="I950" s="45"/>
      <c r="J950" s="45"/>
      <c r="K950" s="45"/>
    </row>
    <row r="951" spans="1:11" x14ac:dyDescent="0.25">
      <c r="A951" s="1"/>
      <c r="B951" s="1"/>
      <c r="C951" s="45"/>
      <c r="D951" s="45"/>
      <c r="E951" s="45"/>
      <c r="F951" s="45"/>
      <c r="G951" s="45"/>
      <c r="H951" s="45"/>
      <c r="I951" s="45"/>
      <c r="J951" s="45"/>
      <c r="K951" s="45"/>
    </row>
    <row r="952" spans="1:11" x14ac:dyDescent="0.25">
      <c r="A952" s="1"/>
      <c r="B952" s="1"/>
      <c r="C952" s="45"/>
      <c r="D952" s="45"/>
      <c r="E952" s="45"/>
      <c r="F952" s="45"/>
      <c r="G952" s="45"/>
      <c r="H952" s="45"/>
      <c r="I952" s="45"/>
      <c r="J952" s="45"/>
      <c r="K952" s="45"/>
    </row>
    <row r="953" spans="1:11" x14ac:dyDescent="0.25">
      <c r="A953" s="1"/>
      <c r="B953" s="1"/>
      <c r="C953" s="45"/>
      <c r="D953" s="45"/>
      <c r="E953" s="45"/>
      <c r="F953" s="45"/>
      <c r="G953" s="45"/>
      <c r="H953" s="45"/>
      <c r="I953" s="45"/>
      <c r="J953" s="45"/>
      <c r="K953" s="45"/>
    </row>
    <row r="954" spans="1:11" x14ac:dyDescent="0.25">
      <c r="A954" s="1"/>
      <c r="B954" s="1"/>
      <c r="C954" s="45"/>
      <c r="D954" s="45"/>
      <c r="E954" s="45"/>
      <c r="F954" s="45"/>
      <c r="G954" s="45"/>
      <c r="H954" s="45"/>
      <c r="I954" s="45"/>
      <c r="J954" s="45"/>
      <c r="K954" s="45"/>
    </row>
    <row r="955" spans="1:11" x14ac:dyDescent="0.25">
      <c r="A955" s="1"/>
      <c r="B955" s="1"/>
      <c r="C955" s="45"/>
      <c r="D955" s="45"/>
      <c r="E955" s="45"/>
      <c r="F955" s="45"/>
      <c r="G955" s="45"/>
      <c r="H955" s="45"/>
      <c r="I955" s="45"/>
      <c r="J955" s="45"/>
      <c r="K955" s="45"/>
    </row>
    <row r="956" spans="1:11" x14ac:dyDescent="0.25">
      <c r="A956" s="1"/>
      <c r="B956" s="1"/>
      <c r="C956" s="45"/>
      <c r="D956" s="45"/>
      <c r="E956" s="45"/>
      <c r="F956" s="45"/>
      <c r="G956" s="45"/>
      <c r="H956" s="45"/>
      <c r="I956" s="45"/>
      <c r="J956" s="45"/>
      <c r="K956" s="45"/>
    </row>
    <row r="957" spans="1:11" x14ac:dyDescent="0.25">
      <c r="A957" s="1"/>
      <c r="B957" s="1"/>
      <c r="C957" s="45"/>
      <c r="D957" s="45"/>
      <c r="E957" s="45"/>
      <c r="F957" s="45"/>
      <c r="G957" s="45"/>
      <c r="H957" s="45"/>
      <c r="I957" s="45"/>
      <c r="J957" s="45"/>
      <c r="K957" s="45"/>
    </row>
    <row r="958" spans="1:11" x14ac:dyDescent="0.25">
      <c r="A958" s="1"/>
      <c r="B958" s="1"/>
      <c r="C958" s="45"/>
      <c r="D958" s="45"/>
      <c r="E958" s="45"/>
      <c r="F958" s="45"/>
      <c r="G958" s="45"/>
      <c r="H958" s="45"/>
      <c r="I958" s="45"/>
      <c r="J958" s="45"/>
      <c r="K958" s="45"/>
    </row>
    <row r="959" spans="1:11" x14ac:dyDescent="0.25">
      <c r="A959" s="1"/>
      <c r="B959" s="1"/>
      <c r="C959" s="45"/>
      <c r="D959" s="45"/>
      <c r="E959" s="45"/>
      <c r="F959" s="45"/>
      <c r="G959" s="45"/>
      <c r="H959" s="45"/>
      <c r="I959" s="45"/>
      <c r="J959" s="45"/>
      <c r="K959" s="45"/>
    </row>
    <row r="960" spans="1:11" x14ac:dyDescent="0.25">
      <c r="A960" s="1"/>
      <c r="B960" s="1"/>
      <c r="C960" s="45"/>
      <c r="D960" s="45"/>
      <c r="E960" s="45"/>
      <c r="F960" s="45"/>
      <c r="G960" s="45"/>
      <c r="H960" s="45"/>
      <c r="I960" s="45"/>
      <c r="J960" s="45"/>
      <c r="K960" s="45"/>
    </row>
    <row r="961" spans="1:11" x14ac:dyDescent="0.25">
      <c r="A961" s="1"/>
      <c r="B961" s="1"/>
      <c r="C961" s="45"/>
      <c r="D961" s="45"/>
      <c r="E961" s="45"/>
      <c r="F961" s="45"/>
      <c r="G961" s="45"/>
      <c r="H961" s="45"/>
      <c r="I961" s="45"/>
      <c r="J961" s="45"/>
      <c r="K961" s="45"/>
    </row>
    <row r="962" spans="1:11" x14ac:dyDescent="0.25">
      <c r="A962" s="1"/>
      <c r="B962" s="1"/>
      <c r="C962" s="45"/>
      <c r="D962" s="45"/>
      <c r="E962" s="45"/>
      <c r="F962" s="45"/>
      <c r="G962" s="45"/>
      <c r="H962" s="45"/>
      <c r="I962" s="45"/>
      <c r="J962" s="45"/>
      <c r="K962" s="45"/>
    </row>
    <row r="963" spans="1:11" x14ac:dyDescent="0.25">
      <c r="A963" s="1"/>
      <c r="B963" s="1"/>
      <c r="C963" s="45"/>
      <c r="D963" s="45"/>
      <c r="E963" s="45"/>
      <c r="F963" s="45"/>
      <c r="G963" s="45"/>
      <c r="H963" s="45"/>
      <c r="I963" s="45"/>
      <c r="J963" s="45"/>
      <c r="K963" s="45"/>
    </row>
    <row r="964" spans="1:11" x14ac:dyDescent="0.25">
      <c r="A964" s="1"/>
      <c r="B964" s="1"/>
      <c r="C964" s="45"/>
      <c r="D964" s="45"/>
      <c r="E964" s="45"/>
      <c r="F964" s="45"/>
      <c r="G964" s="45"/>
      <c r="H964" s="45"/>
      <c r="I964" s="45"/>
      <c r="J964" s="45"/>
      <c r="K964" s="45"/>
    </row>
    <row r="965" spans="1:11" x14ac:dyDescent="0.25">
      <c r="A965" s="1"/>
      <c r="B965" s="1"/>
      <c r="C965" s="45"/>
      <c r="D965" s="45"/>
      <c r="E965" s="45"/>
      <c r="F965" s="45"/>
      <c r="G965" s="45"/>
      <c r="H965" s="45"/>
      <c r="I965" s="45"/>
      <c r="J965" s="45"/>
      <c r="K965" s="45"/>
    </row>
    <row r="966" spans="1:11" x14ac:dyDescent="0.25">
      <c r="A966" s="1"/>
      <c r="B966" s="1"/>
      <c r="C966" s="45"/>
      <c r="D966" s="45"/>
      <c r="E966" s="45"/>
      <c r="F966" s="45"/>
      <c r="G966" s="45"/>
      <c r="H966" s="45"/>
      <c r="I966" s="45"/>
      <c r="J966" s="45"/>
      <c r="K966" s="45"/>
    </row>
    <row r="967" spans="1:11" x14ac:dyDescent="0.25">
      <c r="A967" s="1"/>
      <c r="B967" s="1"/>
      <c r="C967" s="45"/>
      <c r="D967" s="45"/>
      <c r="E967" s="45"/>
      <c r="F967" s="45"/>
      <c r="G967" s="45"/>
      <c r="H967" s="45"/>
      <c r="I967" s="45"/>
      <c r="J967" s="45"/>
      <c r="K967" s="45"/>
    </row>
    <row r="968" spans="1:11" x14ac:dyDescent="0.25">
      <c r="A968" s="1"/>
      <c r="B968" s="1"/>
      <c r="C968" s="45"/>
      <c r="D968" s="45"/>
      <c r="E968" s="45"/>
      <c r="F968" s="45"/>
      <c r="G968" s="45"/>
      <c r="H968" s="45"/>
      <c r="I968" s="45"/>
      <c r="J968" s="45"/>
      <c r="K968" s="45"/>
    </row>
    <row r="969" spans="1:11" x14ac:dyDescent="0.25">
      <c r="A969" s="1"/>
      <c r="B969" s="1"/>
      <c r="C969" s="45"/>
      <c r="D969" s="45"/>
      <c r="E969" s="45"/>
      <c r="F969" s="45"/>
      <c r="G969" s="45"/>
      <c r="H969" s="45"/>
      <c r="I969" s="45"/>
      <c r="J969" s="45"/>
      <c r="K969" s="45"/>
    </row>
    <row r="970" spans="1:11" x14ac:dyDescent="0.25">
      <c r="A970" s="1"/>
      <c r="B970" s="1"/>
      <c r="C970" s="45"/>
      <c r="D970" s="45"/>
      <c r="E970" s="45"/>
      <c r="F970" s="45"/>
      <c r="G970" s="45"/>
      <c r="H970" s="45"/>
      <c r="I970" s="45"/>
      <c r="J970" s="45"/>
      <c r="K970" s="45"/>
    </row>
    <row r="971" spans="1:11" x14ac:dyDescent="0.25">
      <c r="A971" s="1"/>
      <c r="B971" s="1"/>
      <c r="C971" s="45"/>
      <c r="D971" s="45"/>
      <c r="E971" s="45"/>
      <c r="F971" s="45"/>
      <c r="G971" s="45"/>
      <c r="H971" s="45"/>
      <c r="I971" s="45"/>
      <c r="J971" s="45"/>
      <c r="K971" s="45"/>
    </row>
    <row r="972" spans="1:11" x14ac:dyDescent="0.25">
      <c r="A972" s="1"/>
      <c r="B972" s="1"/>
      <c r="C972" s="45"/>
      <c r="D972" s="45"/>
      <c r="E972" s="45"/>
      <c r="F972" s="45"/>
      <c r="G972" s="45"/>
      <c r="H972" s="45"/>
      <c r="I972" s="45"/>
      <c r="J972" s="45"/>
      <c r="K972" s="45"/>
    </row>
    <row r="973" spans="1:11" x14ac:dyDescent="0.25">
      <c r="A973" s="1"/>
      <c r="B973" s="1"/>
      <c r="C973" s="45"/>
      <c r="D973" s="45"/>
      <c r="E973" s="45"/>
      <c r="F973" s="45"/>
      <c r="G973" s="45"/>
      <c r="H973" s="45"/>
      <c r="I973" s="45"/>
      <c r="J973" s="45"/>
      <c r="K973" s="45"/>
    </row>
    <row r="974" spans="1:11" x14ac:dyDescent="0.25">
      <c r="A974" s="1"/>
      <c r="B974" s="1"/>
      <c r="C974" s="45"/>
      <c r="D974" s="45"/>
      <c r="E974" s="45"/>
      <c r="F974" s="45"/>
      <c r="G974" s="45"/>
      <c r="H974" s="45"/>
      <c r="I974" s="45"/>
      <c r="J974" s="45"/>
      <c r="K974" s="45"/>
    </row>
    <row r="975" spans="1:11" x14ac:dyDescent="0.25">
      <c r="A975" s="1"/>
      <c r="B975" s="1"/>
      <c r="C975" s="45"/>
      <c r="D975" s="45"/>
      <c r="E975" s="45"/>
      <c r="F975" s="45"/>
      <c r="G975" s="45"/>
      <c r="H975" s="45"/>
      <c r="I975" s="45"/>
      <c r="J975" s="45"/>
      <c r="K975" s="45"/>
    </row>
    <row r="976" spans="1:11" x14ac:dyDescent="0.25">
      <c r="A976" s="1"/>
      <c r="B976" s="1"/>
      <c r="C976" s="45"/>
      <c r="D976" s="45"/>
      <c r="E976" s="45"/>
      <c r="F976" s="45"/>
      <c r="G976" s="45"/>
      <c r="H976" s="45"/>
      <c r="I976" s="45"/>
      <c r="J976" s="45"/>
      <c r="K976" s="45"/>
    </row>
    <row r="977" spans="1:11" x14ac:dyDescent="0.25">
      <c r="A977" s="1"/>
      <c r="B977" s="1"/>
      <c r="C977" s="45"/>
      <c r="D977" s="45"/>
      <c r="E977" s="45"/>
      <c r="F977" s="45"/>
      <c r="G977" s="45"/>
      <c r="H977" s="45"/>
      <c r="I977" s="45"/>
      <c r="J977" s="45"/>
      <c r="K977" s="45"/>
    </row>
    <row r="978" spans="1:11" x14ac:dyDescent="0.25">
      <c r="A978" s="1"/>
      <c r="B978" s="1"/>
      <c r="C978" s="45"/>
      <c r="D978" s="45"/>
      <c r="E978" s="45"/>
      <c r="F978" s="45"/>
      <c r="G978" s="45"/>
      <c r="H978" s="45"/>
      <c r="I978" s="45"/>
      <c r="J978" s="45"/>
      <c r="K978" s="45"/>
    </row>
    <row r="979" spans="1:11" x14ac:dyDescent="0.25">
      <c r="A979" s="1"/>
      <c r="B979" s="1"/>
      <c r="C979" s="45"/>
      <c r="D979" s="45"/>
      <c r="E979" s="45"/>
      <c r="F979" s="45"/>
      <c r="G979" s="45"/>
      <c r="H979" s="45"/>
      <c r="I979" s="45"/>
      <c r="J979" s="45"/>
      <c r="K979" s="45"/>
    </row>
    <row r="980" spans="1:11" x14ac:dyDescent="0.25">
      <c r="A980" s="1"/>
      <c r="B980" s="1"/>
      <c r="C980" s="45"/>
      <c r="D980" s="45"/>
      <c r="E980" s="45"/>
      <c r="F980" s="45"/>
      <c r="G980" s="45"/>
      <c r="H980" s="45"/>
      <c r="I980" s="45"/>
      <c r="J980" s="45"/>
      <c r="K980" s="45"/>
    </row>
    <row r="981" spans="1:11" x14ac:dyDescent="0.25">
      <c r="A981" s="1"/>
      <c r="B981" s="1"/>
      <c r="C981" s="45"/>
      <c r="D981" s="45"/>
      <c r="E981" s="45"/>
      <c r="F981" s="45"/>
      <c r="G981" s="45"/>
      <c r="H981" s="45"/>
      <c r="I981" s="45"/>
      <c r="J981" s="45"/>
      <c r="K981" s="45"/>
    </row>
    <row r="982" spans="1:11" x14ac:dyDescent="0.25">
      <c r="A982" s="1"/>
      <c r="B982" s="1"/>
      <c r="C982" s="45"/>
      <c r="D982" s="45"/>
      <c r="E982" s="45"/>
      <c r="F982" s="45"/>
      <c r="G982" s="45"/>
      <c r="H982" s="45"/>
      <c r="I982" s="45"/>
      <c r="J982" s="45"/>
      <c r="K982" s="45"/>
    </row>
    <row r="983" spans="1:11" x14ac:dyDescent="0.25">
      <c r="A983" s="1"/>
      <c r="B983" s="1"/>
      <c r="C983" s="45"/>
      <c r="D983" s="45"/>
      <c r="E983" s="45"/>
      <c r="F983" s="45"/>
      <c r="G983" s="45"/>
      <c r="H983" s="45"/>
      <c r="I983" s="45"/>
      <c r="J983" s="45"/>
      <c r="K983" s="45"/>
    </row>
    <row r="984" spans="1:11" x14ac:dyDescent="0.25">
      <c r="A984" s="1"/>
      <c r="B984" s="1"/>
      <c r="C984" s="45"/>
      <c r="D984" s="45"/>
      <c r="E984" s="45"/>
      <c r="F984" s="45"/>
      <c r="G984" s="45"/>
      <c r="H984" s="45"/>
      <c r="I984" s="45"/>
      <c r="J984" s="45"/>
      <c r="K984" s="45"/>
    </row>
    <row r="985" spans="1:11" x14ac:dyDescent="0.25">
      <c r="A985" s="1"/>
      <c r="B985" s="1"/>
      <c r="C985" s="45"/>
      <c r="D985" s="45"/>
      <c r="E985" s="45"/>
      <c r="F985" s="45"/>
      <c r="G985" s="45"/>
      <c r="H985" s="45"/>
      <c r="I985" s="45"/>
      <c r="J985" s="45"/>
      <c r="K985" s="45"/>
    </row>
    <row r="986" spans="1:11" x14ac:dyDescent="0.25">
      <c r="A986" s="1"/>
      <c r="B986" s="1"/>
      <c r="C986" s="45"/>
      <c r="D986" s="45"/>
      <c r="E986" s="45"/>
      <c r="F986" s="45"/>
      <c r="G986" s="45"/>
      <c r="H986" s="45"/>
      <c r="I986" s="45"/>
      <c r="J986" s="45"/>
      <c r="K986" s="45"/>
    </row>
    <row r="987" spans="1:11" x14ac:dyDescent="0.25">
      <c r="A987" s="1"/>
      <c r="B987" s="1"/>
      <c r="C987" s="45"/>
      <c r="D987" s="45"/>
      <c r="E987" s="45"/>
      <c r="F987" s="45"/>
      <c r="G987" s="45"/>
      <c r="H987" s="45"/>
      <c r="I987" s="45"/>
      <c r="J987" s="45"/>
      <c r="K987" s="45"/>
    </row>
    <row r="988" spans="1:11" x14ac:dyDescent="0.25">
      <c r="A988" s="1"/>
      <c r="B988" s="1"/>
      <c r="C988" s="45"/>
      <c r="D988" s="45"/>
      <c r="E988" s="45"/>
      <c r="F988" s="45"/>
      <c r="G988" s="45"/>
      <c r="H988" s="45"/>
      <c r="I988" s="45"/>
      <c r="J988" s="45"/>
      <c r="K988" s="45"/>
    </row>
    <row r="989" spans="1:11" x14ac:dyDescent="0.25">
      <c r="A989" s="1"/>
      <c r="B989" s="1"/>
      <c r="C989" s="45"/>
      <c r="D989" s="45"/>
      <c r="E989" s="45"/>
      <c r="F989" s="45"/>
      <c r="G989" s="45"/>
      <c r="H989" s="45"/>
      <c r="I989" s="45"/>
      <c r="J989" s="45"/>
      <c r="K989" s="45"/>
    </row>
    <row r="990" spans="1:11" x14ac:dyDescent="0.25">
      <c r="A990" s="1"/>
      <c r="B990" s="1"/>
      <c r="C990" s="45"/>
      <c r="D990" s="45"/>
      <c r="E990" s="45"/>
      <c r="F990" s="45"/>
      <c r="G990" s="45"/>
      <c r="H990" s="45"/>
      <c r="I990" s="45"/>
      <c r="J990" s="45"/>
      <c r="K990" s="45"/>
    </row>
    <row r="991" spans="1:11" x14ac:dyDescent="0.25">
      <c r="A991" s="1"/>
      <c r="B991" s="1"/>
      <c r="C991" s="45"/>
      <c r="D991" s="45"/>
      <c r="E991" s="45"/>
      <c r="F991" s="45"/>
      <c r="G991" s="45"/>
      <c r="H991" s="45"/>
      <c r="I991" s="45"/>
      <c r="J991" s="45"/>
      <c r="K991" s="45"/>
    </row>
    <row r="992" spans="1:11" x14ac:dyDescent="0.25">
      <c r="A992" s="1"/>
      <c r="B992" s="1"/>
      <c r="C992" s="45"/>
      <c r="D992" s="45"/>
      <c r="E992" s="45"/>
      <c r="F992" s="45"/>
      <c r="G992" s="45"/>
      <c r="H992" s="45"/>
      <c r="I992" s="45"/>
      <c r="J992" s="45"/>
      <c r="K992" s="45"/>
    </row>
    <row r="993" spans="1:11" x14ac:dyDescent="0.25">
      <c r="A993" s="1"/>
      <c r="B993" s="1"/>
      <c r="C993" s="45"/>
      <c r="D993" s="45"/>
      <c r="E993" s="45"/>
      <c r="F993" s="45"/>
      <c r="G993" s="45"/>
      <c r="H993" s="45"/>
      <c r="I993" s="45"/>
      <c r="J993" s="45"/>
      <c r="K993" s="45"/>
    </row>
    <row r="994" spans="1:11" x14ac:dyDescent="0.25">
      <c r="A994" s="1"/>
      <c r="B994" s="1"/>
      <c r="C994" s="45"/>
      <c r="D994" s="45"/>
      <c r="E994" s="45"/>
      <c r="F994" s="45"/>
      <c r="G994" s="45"/>
      <c r="H994" s="45"/>
      <c r="I994" s="45"/>
      <c r="J994" s="45"/>
      <c r="K994" s="45"/>
    </row>
    <row r="995" spans="1:11" x14ac:dyDescent="0.25">
      <c r="A995" s="1"/>
      <c r="B995" s="1"/>
      <c r="C995" s="45"/>
      <c r="D995" s="45"/>
      <c r="E995" s="45"/>
      <c r="F995" s="45"/>
      <c r="G995" s="45"/>
      <c r="H995" s="45"/>
      <c r="I995" s="45"/>
      <c r="J995" s="45"/>
      <c r="K995" s="45"/>
    </row>
    <row r="996" spans="1:11" x14ac:dyDescent="0.25">
      <c r="A996" s="1"/>
      <c r="B996" s="1"/>
      <c r="C996" s="45"/>
      <c r="D996" s="45"/>
      <c r="E996" s="45"/>
      <c r="F996" s="45"/>
      <c r="G996" s="45"/>
      <c r="H996" s="45"/>
      <c r="I996" s="45"/>
      <c r="J996" s="45"/>
      <c r="K996" s="45"/>
    </row>
    <row r="997" spans="1:11" x14ac:dyDescent="0.25">
      <c r="A997" s="1"/>
      <c r="B997" s="1"/>
      <c r="C997" s="45"/>
      <c r="D997" s="45"/>
      <c r="E997" s="45"/>
      <c r="F997" s="45"/>
      <c r="G997" s="45"/>
      <c r="H997" s="45"/>
      <c r="I997" s="45"/>
      <c r="J997" s="45"/>
      <c r="K997" s="45"/>
    </row>
    <row r="998" spans="1:11" x14ac:dyDescent="0.25">
      <c r="A998" s="1"/>
      <c r="B998" s="1"/>
      <c r="C998" s="45"/>
      <c r="D998" s="45"/>
      <c r="E998" s="45"/>
      <c r="F998" s="45"/>
      <c r="G998" s="45"/>
      <c r="H998" s="45"/>
      <c r="I998" s="45"/>
      <c r="J998" s="45"/>
      <c r="K998" s="45"/>
    </row>
    <row r="999" spans="1:11" x14ac:dyDescent="0.25">
      <c r="A999" s="1"/>
      <c r="B999" s="1"/>
      <c r="C999" s="45"/>
      <c r="D999" s="45"/>
      <c r="E999" s="45"/>
      <c r="F999" s="45"/>
      <c r="G999" s="45"/>
      <c r="H999" s="45"/>
      <c r="I999" s="45"/>
      <c r="J999" s="45"/>
      <c r="K999" s="45"/>
    </row>
    <row r="1000" spans="1:11" x14ac:dyDescent="0.25">
      <c r="A1000" s="1"/>
      <c r="B1000" s="1"/>
      <c r="C1000" s="45"/>
      <c r="D1000" s="45"/>
      <c r="E1000" s="45"/>
      <c r="F1000" s="45"/>
      <c r="G1000" s="45"/>
      <c r="H1000" s="45"/>
      <c r="I1000" s="45"/>
      <c r="J1000" s="45"/>
      <c r="K1000" s="45"/>
    </row>
  </sheetData>
  <mergeCells count="1">
    <mergeCell ref="C5:K5"/>
  </mergeCells>
  <conditionalFormatting sqref="A7:B1000">
    <cfRule type="expression" dxfId="36" priority="12">
      <formula>IF(AND($A7&gt;0,ISEVEN($A7)),TRUE,FALSE)</formula>
    </cfRule>
    <cfRule type="expression" dxfId="35" priority="13">
      <formula>IF(AND($A7&gt;0,ISODD($A7)),TRUE,FALSE)</formula>
    </cfRule>
  </conditionalFormatting>
  <conditionalFormatting sqref="A7:K1000">
    <cfRule type="cellIs" dxfId="34" priority="1" operator="equal">
      <formula>0</formula>
    </cfRule>
    <cfRule type="expression" dxfId="33" priority="2">
      <formula>IF($B7="total",TRUE,FALSE)</formula>
    </cfRule>
    <cfRule type="expression" dxfId="32" priority="3">
      <formula>IF($B7="total",TRUE,FALSE)</formula>
    </cfRule>
  </conditionalFormatting>
  <conditionalFormatting sqref="K7:K1000">
    <cfRule type="expression" dxfId="31" priority="7">
      <formula>IF(AND($A7&gt;0,ISEVEN($A7)),TRUE,FALSE)</formula>
    </cfRule>
    <cfRule type="expression" dxfId="30" priority="8">
      <formula>IF(AND($A7&gt;0,ISODD($A7)),TRUE,FALSE)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DBAB-19A9-4A24-B9DF-D5372AB8BFC1}">
  <sheetPr codeName="Hoja3">
    <tabColor theme="6"/>
  </sheetPr>
  <dimension ref="A3:M1000"/>
  <sheetViews>
    <sheetView workbookViewId="0">
      <pane ySplit="6" topLeftCell="A268" activePane="bottomLeft" state="frozen"/>
      <selection activeCell="A266" sqref="A266:XFD266"/>
      <selection pane="bottomLeft" activeCell="A293" sqref="A293"/>
    </sheetView>
  </sheetViews>
  <sheetFormatPr baseColWidth="10" defaultRowHeight="15" x14ac:dyDescent="0.25"/>
  <cols>
    <col min="10" max="10" width="17.28515625" customWidth="1"/>
    <col min="11" max="11" width="3.7109375" customWidth="1"/>
  </cols>
  <sheetData>
    <row r="3" spans="1:13" ht="25.5" x14ac:dyDescent="0.25">
      <c r="B3" s="2"/>
      <c r="C3" s="29" t="str">
        <f>Inicio!C4</f>
        <v>Importaciones de gas natural por puntos de entrada</v>
      </c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25">
      <c r="A4" s="12" t="str">
        <f>Inicio!$A$16</f>
        <v>Actualizado el 17-08-2026</v>
      </c>
      <c r="B4" s="4"/>
      <c r="C4" s="4"/>
      <c r="D4" s="4"/>
      <c r="E4" s="4"/>
      <c r="F4" s="4"/>
      <c r="G4" s="4"/>
      <c r="H4" s="4"/>
      <c r="I4" s="4"/>
      <c r="K4" s="64"/>
      <c r="L4" s="9" t="s">
        <v>16</v>
      </c>
      <c r="M4" s="4"/>
    </row>
    <row r="5" spans="1:13" ht="15.75" customHeight="1" thickBot="1" x14ac:dyDescent="0.3">
      <c r="A5" s="11"/>
      <c r="B5" s="10"/>
      <c r="C5" s="70" t="s">
        <v>42</v>
      </c>
      <c r="D5" s="70"/>
      <c r="E5" s="70"/>
      <c r="F5" s="70"/>
      <c r="G5" s="70"/>
      <c r="H5" s="70"/>
      <c r="I5" s="70"/>
      <c r="J5" s="70"/>
      <c r="K5" s="30"/>
      <c r="L5" s="36" t="s">
        <v>41</v>
      </c>
      <c r="M5" s="30"/>
    </row>
    <row r="6" spans="1:13" ht="26.25" thickTop="1" x14ac:dyDescent="0.25">
      <c r="A6" s="50" t="s">
        <v>1</v>
      </c>
      <c r="B6" s="40" t="s">
        <v>2</v>
      </c>
      <c r="C6" s="52" t="s">
        <v>29</v>
      </c>
      <c r="D6" s="53" t="s">
        <v>30</v>
      </c>
      <c r="E6" s="53" t="s">
        <v>31</v>
      </c>
      <c r="F6" s="53" t="s">
        <v>32</v>
      </c>
      <c r="G6" s="53" t="s">
        <v>33</v>
      </c>
      <c r="H6" s="53" t="s">
        <v>49</v>
      </c>
      <c r="I6" s="53" t="s">
        <v>34</v>
      </c>
      <c r="J6" s="35" t="s">
        <v>47</v>
      </c>
      <c r="K6" s="35"/>
      <c r="L6" s="54" t="s">
        <v>41</v>
      </c>
      <c r="M6" s="31"/>
    </row>
    <row r="7" spans="1:13" ht="12.75" customHeight="1" x14ac:dyDescent="0.25">
      <c r="A7" s="42">
        <v>2004</v>
      </c>
      <c r="B7" s="42" t="s">
        <v>3</v>
      </c>
      <c r="C7" s="44">
        <v>7042.0878999999995</v>
      </c>
      <c r="D7" s="43">
        <v>2719.8667999999998</v>
      </c>
      <c r="E7" s="43">
        <v>5274.8375900000001</v>
      </c>
      <c r="F7" s="43">
        <v>2455.7903799999999</v>
      </c>
      <c r="G7" s="43">
        <v>0</v>
      </c>
      <c r="H7" s="43"/>
      <c r="I7" s="43">
        <v>0</v>
      </c>
      <c r="J7" s="44">
        <v>17492.582669999996</v>
      </c>
      <c r="K7" s="55"/>
      <c r="L7" s="44">
        <v>0</v>
      </c>
    </row>
    <row r="8" spans="1:13" ht="12.75" customHeight="1" x14ac:dyDescent="0.25">
      <c r="A8" s="42">
        <v>2004</v>
      </c>
      <c r="B8" s="42" t="s">
        <v>4</v>
      </c>
      <c r="C8" s="43">
        <v>6558.9904200000001</v>
      </c>
      <c r="D8" s="43">
        <v>1690.36499</v>
      </c>
      <c r="E8" s="43">
        <v>4369.4843499999997</v>
      </c>
      <c r="F8" s="43">
        <v>2769.7185499999996</v>
      </c>
      <c r="G8" s="43">
        <v>0</v>
      </c>
      <c r="H8" s="43"/>
      <c r="I8" s="43">
        <v>0</v>
      </c>
      <c r="J8" s="44">
        <v>15388.558309999999</v>
      </c>
      <c r="K8" s="55"/>
      <c r="L8" s="43">
        <v>0</v>
      </c>
    </row>
    <row r="9" spans="1:13" ht="12.75" customHeight="1" x14ac:dyDescent="0.25">
      <c r="A9" s="42">
        <v>2004</v>
      </c>
      <c r="B9" s="42" t="s">
        <v>5</v>
      </c>
      <c r="C9" s="43">
        <v>4743.2995799999981</v>
      </c>
      <c r="D9" s="43">
        <v>1695.8440000000001</v>
      </c>
      <c r="E9" s="43">
        <v>5005.53143</v>
      </c>
      <c r="F9" s="43">
        <v>3617.8601100000001</v>
      </c>
      <c r="G9" s="43">
        <v>0</v>
      </c>
      <c r="H9" s="43"/>
      <c r="I9" s="43">
        <v>0</v>
      </c>
      <c r="J9" s="44">
        <v>15062.535119999999</v>
      </c>
      <c r="K9" s="55"/>
      <c r="L9" s="43">
        <v>0</v>
      </c>
    </row>
    <row r="10" spans="1:13" ht="12.75" customHeight="1" x14ac:dyDescent="0.25">
      <c r="A10" s="42">
        <v>2004</v>
      </c>
      <c r="B10" s="42" t="s">
        <v>6</v>
      </c>
      <c r="C10" s="43">
        <v>5615.8863700000002</v>
      </c>
      <c r="D10" s="43">
        <v>2069.6970000000001</v>
      </c>
      <c r="E10" s="43">
        <v>4695.348109999999</v>
      </c>
      <c r="F10" s="43">
        <v>3372.7635500000001</v>
      </c>
      <c r="G10" s="43">
        <v>0</v>
      </c>
      <c r="H10" s="43"/>
      <c r="I10" s="43">
        <v>0</v>
      </c>
      <c r="J10" s="44">
        <v>15753.695029999999</v>
      </c>
      <c r="K10" s="55"/>
      <c r="L10" s="43">
        <v>0</v>
      </c>
    </row>
    <row r="11" spans="1:13" ht="12.75" customHeight="1" x14ac:dyDescent="0.25">
      <c r="A11" s="42">
        <v>2004</v>
      </c>
      <c r="B11" s="42" t="s">
        <v>7</v>
      </c>
      <c r="C11" s="43">
        <v>6295.7849800000004</v>
      </c>
      <c r="D11" s="43">
        <v>3064.4902999999999</v>
      </c>
      <c r="E11" s="43">
        <v>6677.6866</v>
      </c>
      <c r="F11" s="43">
        <v>3388.6596</v>
      </c>
      <c r="G11" s="43">
        <v>0</v>
      </c>
      <c r="H11" s="43"/>
      <c r="I11" s="43">
        <v>0</v>
      </c>
      <c r="J11" s="44">
        <v>19426.621479999998</v>
      </c>
      <c r="K11" s="55"/>
      <c r="L11" s="43">
        <v>0</v>
      </c>
    </row>
    <row r="12" spans="1:13" ht="12.75" customHeight="1" x14ac:dyDescent="0.25">
      <c r="A12" s="42">
        <v>2004</v>
      </c>
      <c r="B12" s="42" t="s">
        <v>8</v>
      </c>
      <c r="C12" s="43">
        <v>6126.1201100000008</v>
      </c>
      <c r="D12" s="43">
        <v>2260.4467</v>
      </c>
      <c r="E12" s="43">
        <v>5057.4653399999997</v>
      </c>
      <c r="F12" s="43">
        <v>3085.4080899999999</v>
      </c>
      <c r="G12" s="43">
        <v>0</v>
      </c>
      <c r="H12" s="43"/>
      <c r="I12" s="43">
        <v>0</v>
      </c>
      <c r="J12" s="44">
        <v>16529.44024</v>
      </c>
      <c r="K12" s="55"/>
      <c r="L12" s="43">
        <v>0</v>
      </c>
    </row>
    <row r="13" spans="1:13" ht="12.75" customHeight="1" x14ac:dyDescent="0.25">
      <c r="A13" s="42">
        <v>2004</v>
      </c>
      <c r="B13" s="42" t="s">
        <v>9</v>
      </c>
      <c r="C13" s="43">
        <v>5135.5693300000003</v>
      </c>
      <c r="D13" s="43">
        <v>2091.4940999999999</v>
      </c>
      <c r="E13" s="43">
        <v>5734.0650400000004</v>
      </c>
      <c r="F13" s="43">
        <v>4405.8200199999992</v>
      </c>
      <c r="G13" s="43">
        <v>0</v>
      </c>
      <c r="H13" s="43"/>
      <c r="I13" s="43">
        <v>0</v>
      </c>
      <c r="J13" s="44">
        <v>17366.948489999999</v>
      </c>
      <c r="K13" s="55"/>
      <c r="L13" s="43">
        <v>0</v>
      </c>
    </row>
    <row r="14" spans="1:13" ht="12.75" customHeight="1" x14ac:dyDescent="0.25">
      <c r="A14" s="42">
        <v>2004</v>
      </c>
      <c r="B14" s="42" t="s">
        <v>10</v>
      </c>
      <c r="C14" s="43">
        <v>4642.0598599999994</v>
      </c>
      <c r="D14" s="43">
        <v>2214.9405300000003</v>
      </c>
      <c r="E14" s="43">
        <v>5230.9459699999998</v>
      </c>
      <c r="F14" s="43">
        <v>3690.7909000000004</v>
      </c>
      <c r="G14" s="43">
        <v>0</v>
      </c>
      <c r="H14" s="43"/>
      <c r="I14" s="43">
        <v>0</v>
      </c>
      <c r="J14" s="44">
        <v>15778.737259999998</v>
      </c>
      <c r="K14" s="55"/>
      <c r="L14" s="43">
        <v>0</v>
      </c>
    </row>
    <row r="15" spans="1:13" ht="12.75" customHeight="1" x14ac:dyDescent="0.25">
      <c r="A15" s="42">
        <v>2004</v>
      </c>
      <c r="B15" s="42" t="s">
        <v>11</v>
      </c>
      <c r="C15" s="43">
        <v>5366.716449999999</v>
      </c>
      <c r="D15" s="43">
        <v>3298.4670899999996</v>
      </c>
      <c r="E15" s="43">
        <v>6277.6253300000008</v>
      </c>
      <c r="F15" s="43">
        <v>3669.2918499999996</v>
      </c>
      <c r="G15" s="43">
        <v>0</v>
      </c>
      <c r="H15" s="43"/>
      <c r="I15" s="43">
        <v>0</v>
      </c>
      <c r="J15" s="44">
        <v>18612.100719999999</v>
      </c>
      <c r="K15" s="55"/>
      <c r="L15" s="43">
        <v>0</v>
      </c>
    </row>
    <row r="16" spans="1:13" ht="12.75" customHeight="1" x14ac:dyDescent="0.25">
      <c r="A16" s="42">
        <v>2004</v>
      </c>
      <c r="B16" s="42" t="s">
        <v>12</v>
      </c>
      <c r="C16" s="43">
        <v>6147.2016999999996</v>
      </c>
      <c r="D16" s="43">
        <v>3092.6593599999997</v>
      </c>
      <c r="E16" s="43">
        <v>4179.9239600000001</v>
      </c>
      <c r="F16" s="43">
        <v>2776.6180800000002</v>
      </c>
      <c r="G16" s="43">
        <v>0</v>
      </c>
      <c r="H16" s="43"/>
      <c r="I16" s="43">
        <v>0</v>
      </c>
      <c r="J16" s="44">
        <v>16196.4031</v>
      </c>
      <c r="K16" s="55"/>
      <c r="L16" s="43">
        <v>0</v>
      </c>
    </row>
    <row r="17" spans="1:12" ht="12.75" customHeight="1" x14ac:dyDescent="0.25">
      <c r="A17" s="42">
        <v>2004</v>
      </c>
      <c r="B17" s="42" t="s">
        <v>13</v>
      </c>
      <c r="C17" s="43">
        <v>6666.7459499999995</v>
      </c>
      <c r="D17" s="43">
        <v>3453.9217000000003</v>
      </c>
      <c r="E17" s="43">
        <v>5186.9542000000001</v>
      </c>
      <c r="F17" s="43">
        <v>4241.4173499999997</v>
      </c>
      <c r="G17" s="43">
        <v>0</v>
      </c>
      <c r="H17" s="43"/>
      <c r="I17" s="43">
        <v>0</v>
      </c>
      <c r="J17" s="44">
        <v>19549.039199999999</v>
      </c>
      <c r="K17" s="55"/>
      <c r="L17" s="43">
        <v>0</v>
      </c>
    </row>
    <row r="18" spans="1:12" ht="12.75" customHeight="1" x14ac:dyDescent="0.25">
      <c r="A18" s="42">
        <v>2004</v>
      </c>
      <c r="B18" s="42" t="s">
        <v>14</v>
      </c>
      <c r="C18" s="43">
        <v>5198.9915000000001</v>
      </c>
      <c r="D18" s="43">
        <v>1702.5627000000002</v>
      </c>
      <c r="E18" s="43">
        <v>6739.4228599999997</v>
      </c>
      <c r="F18" s="43">
        <v>2556.5744199999999</v>
      </c>
      <c r="G18" s="43">
        <v>0</v>
      </c>
      <c r="H18" s="43"/>
      <c r="I18" s="43">
        <v>0</v>
      </c>
      <c r="J18" s="44">
        <v>16197.551480000002</v>
      </c>
      <c r="K18" s="55"/>
      <c r="L18" s="43">
        <v>0</v>
      </c>
    </row>
    <row r="19" spans="1:12" ht="12.75" customHeight="1" x14ac:dyDescent="0.25">
      <c r="A19" s="42">
        <v>2004</v>
      </c>
      <c r="B19" s="42" t="s">
        <v>15</v>
      </c>
      <c r="C19" s="43">
        <v>69539.45414999999</v>
      </c>
      <c r="D19" s="43">
        <v>29354.755269999998</v>
      </c>
      <c r="E19" s="43">
        <v>64429.290780000003</v>
      </c>
      <c r="F19" s="43">
        <v>40030.712899999991</v>
      </c>
      <c r="G19" s="43">
        <v>0</v>
      </c>
      <c r="H19" s="43"/>
      <c r="I19" s="43">
        <v>0</v>
      </c>
      <c r="J19" s="44">
        <v>203354.21309999996</v>
      </c>
      <c r="K19" s="55"/>
      <c r="L19" s="43">
        <v>0</v>
      </c>
    </row>
    <row r="20" spans="1:12" ht="12.75" customHeight="1" x14ac:dyDescent="0.25">
      <c r="A20" s="42">
        <v>2005</v>
      </c>
      <c r="B20" s="42" t="s">
        <v>3</v>
      </c>
      <c r="C20" s="43">
        <v>7429.1232499999996</v>
      </c>
      <c r="D20" s="43">
        <v>2678.1868000000004</v>
      </c>
      <c r="E20" s="43">
        <v>6333.0558000000001</v>
      </c>
      <c r="F20" s="43">
        <v>6578.7940600000002</v>
      </c>
      <c r="G20" s="43">
        <v>0</v>
      </c>
      <c r="H20" s="43"/>
      <c r="I20" s="43">
        <v>0</v>
      </c>
      <c r="J20" s="44">
        <v>23019.159910000002</v>
      </c>
      <c r="K20" s="55"/>
      <c r="L20" s="43">
        <v>0</v>
      </c>
    </row>
    <row r="21" spans="1:12" ht="12.75" customHeight="1" x14ac:dyDescent="0.25">
      <c r="A21" s="42">
        <v>2005</v>
      </c>
      <c r="B21" s="42" t="s">
        <v>4</v>
      </c>
      <c r="C21" s="43">
        <v>5162.9866999999995</v>
      </c>
      <c r="D21" s="43">
        <v>2729.2563</v>
      </c>
      <c r="E21" s="43">
        <v>7599.3126299999985</v>
      </c>
      <c r="F21" s="43">
        <v>5193.6348200000002</v>
      </c>
      <c r="G21" s="43">
        <v>0</v>
      </c>
      <c r="H21" s="43"/>
      <c r="I21" s="43">
        <v>0</v>
      </c>
      <c r="J21" s="44">
        <v>20685.190449999998</v>
      </c>
      <c r="K21" s="55"/>
      <c r="L21" s="43">
        <v>0</v>
      </c>
    </row>
    <row r="22" spans="1:12" ht="12.75" customHeight="1" x14ac:dyDescent="0.25">
      <c r="A22" s="42">
        <v>2005</v>
      </c>
      <c r="B22" s="42" t="s">
        <v>5</v>
      </c>
      <c r="C22" s="43">
        <v>6639.5477499999979</v>
      </c>
      <c r="D22" s="43">
        <v>2531.4802999999997</v>
      </c>
      <c r="E22" s="43">
        <v>6247.3372499999996</v>
      </c>
      <c r="F22" s="43">
        <v>7685.3348099999994</v>
      </c>
      <c r="G22" s="43">
        <v>0</v>
      </c>
      <c r="H22" s="43"/>
      <c r="I22" s="43">
        <v>0</v>
      </c>
      <c r="J22" s="44">
        <v>23103.700109999998</v>
      </c>
      <c r="K22" s="55"/>
      <c r="L22" s="43">
        <v>0</v>
      </c>
    </row>
    <row r="23" spans="1:12" ht="12.75" customHeight="1" x14ac:dyDescent="0.25">
      <c r="A23" s="42">
        <v>2005</v>
      </c>
      <c r="B23" s="42" t="s">
        <v>6</v>
      </c>
      <c r="C23" s="43">
        <v>5273.2478000000001</v>
      </c>
      <c r="D23" s="43">
        <v>2798.1502999999998</v>
      </c>
      <c r="E23" s="43">
        <v>7589.8137700000007</v>
      </c>
      <c r="F23" s="43">
        <v>5462.3448199999993</v>
      </c>
      <c r="G23" s="43">
        <v>0</v>
      </c>
      <c r="H23" s="43"/>
      <c r="I23" s="43">
        <v>0</v>
      </c>
      <c r="J23" s="44">
        <v>21123.556690000001</v>
      </c>
      <c r="K23" s="55"/>
      <c r="L23" s="43">
        <v>0</v>
      </c>
    </row>
    <row r="24" spans="1:12" ht="12.75" customHeight="1" x14ac:dyDescent="0.25">
      <c r="A24" s="42">
        <v>2005</v>
      </c>
      <c r="B24" s="42" t="s">
        <v>7</v>
      </c>
      <c r="C24" s="43">
        <v>6445.6939099999991</v>
      </c>
      <c r="D24" s="43">
        <v>2542.2576999999997</v>
      </c>
      <c r="E24" s="43">
        <v>5039.239160000001</v>
      </c>
      <c r="F24" s="43">
        <v>4315.6324199999999</v>
      </c>
      <c r="G24" s="43">
        <v>0</v>
      </c>
      <c r="H24" s="43"/>
      <c r="I24" s="43">
        <v>0</v>
      </c>
      <c r="J24" s="44">
        <v>18342.823189999999</v>
      </c>
      <c r="K24" s="55"/>
      <c r="L24" s="43">
        <v>0</v>
      </c>
    </row>
    <row r="25" spans="1:12" ht="12.75" customHeight="1" x14ac:dyDescent="0.25">
      <c r="A25" s="42">
        <v>2005</v>
      </c>
      <c r="B25" s="42" t="s">
        <v>8</v>
      </c>
      <c r="C25" s="43">
        <v>5638.2225399999998</v>
      </c>
      <c r="D25" s="43">
        <v>3489.0765999999999</v>
      </c>
      <c r="E25" s="43">
        <v>6449.0540199999996</v>
      </c>
      <c r="F25" s="43">
        <v>5661.5913199999995</v>
      </c>
      <c r="G25" s="43">
        <v>0</v>
      </c>
      <c r="H25" s="43"/>
      <c r="I25" s="43">
        <v>0</v>
      </c>
      <c r="J25" s="44">
        <v>21237.944479999998</v>
      </c>
      <c r="K25" s="55"/>
      <c r="L25" s="43">
        <v>0</v>
      </c>
    </row>
    <row r="26" spans="1:12" ht="12.75" customHeight="1" x14ac:dyDescent="0.25">
      <c r="A26" s="42">
        <v>2005</v>
      </c>
      <c r="B26" s="42" t="s">
        <v>9</v>
      </c>
      <c r="C26" s="43">
        <v>9334.4093100000009</v>
      </c>
      <c r="D26" s="43">
        <v>4335.5794000000005</v>
      </c>
      <c r="E26" s="43">
        <v>6187.8297299999986</v>
      </c>
      <c r="F26" s="43">
        <v>4428.0450000000001</v>
      </c>
      <c r="G26" s="43">
        <v>0</v>
      </c>
      <c r="H26" s="43"/>
      <c r="I26" s="43">
        <v>0</v>
      </c>
      <c r="J26" s="44">
        <v>24285.863440000001</v>
      </c>
      <c r="K26" s="55"/>
      <c r="L26" s="43">
        <v>0</v>
      </c>
    </row>
    <row r="27" spans="1:12" ht="12.75" customHeight="1" x14ac:dyDescent="0.25">
      <c r="A27" s="42">
        <v>2005</v>
      </c>
      <c r="B27" s="42" t="s">
        <v>10</v>
      </c>
      <c r="C27" s="43">
        <v>3595.0114000000003</v>
      </c>
      <c r="D27" s="43">
        <v>3538.2391000000002</v>
      </c>
      <c r="E27" s="43">
        <v>6822.8825999999999</v>
      </c>
      <c r="F27" s="43">
        <v>5178.8508900000006</v>
      </c>
      <c r="G27" s="43">
        <v>0</v>
      </c>
      <c r="H27" s="43"/>
      <c r="I27" s="43">
        <v>0</v>
      </c>
      <c r="J27" s="44">
        <v>19134.983990000001</v>
      </c>
      <c r="K27" s="55"/>
      <c r="L27" s="43">
        <v>0</v>
      </c>
    </row>
    <row r="28" spans="1:12" ht="12.75" customHeight="1" x14ac:dyDescent="0.25">
      <c r="A28" s="42">
        <v>2005</v>
      </c>
      <c r="B28" s="42" t="s">
        <v>11</v>
      </c>
      <c r="C28" s="43">
        <v>5117.7253099999998</v>
      </c>
      <c r="D28" s="43">
        <v>3541.87462</v>
      </c>
      <c r="E28" s="43">
        <v>6629.4482899999994</v>
      </c>
      <c r="F28" s="43">
        <v>4590.2838600000014</v>
      </c>
      <c r="G28" s="43">
        <v>0</v>
      </c>
      <c r="H28" s="43"/>
      <c r="I28" s="43">
        <v>0</v>
      </c>
      <c r="J28" s="44">
        <v>19879.33208</v>
      </c>
      <c r="K28" s="55"/>
      <c r="L28" s="43">
        <v>0</v>
      </c>
    </row>
    <row r="29" spans="1:12" ht="12.75" customHeight="1" x14ac:dyDescent="0.25">
      <c r="A29" s="42">
        <v>2005</v>
      </c>
      <c r="B29" s="42" t="s">
        <v>12</v>
      </c>
      <c r="C29" s="43">
        <v>6200.1125000000002</v>
      </c>
      <c r="D29" s="43">
        <v>3142.1728399999997</v>
      </c>
      <c r="E29" s="43">
        <v>6983.3345100000006</v>
      </c>
      <c r="F29" s="43">
        <v>3533.1680699999997</v>
      </c>
      <c r="G29" s="43">
        <v>0</v>
      </c>
      <c r="H29" s="43"/>
      <c r="I29" s="43">
        <v>0</v>
      </c>
      <c r="J29" s="44">
        <v>19858.787920000002</v>
      </c>
      <c r="K29" s="55"/>
      <c r="L29" s="43">
        <v>0</v>
      </c>
    </row>
    <row r="30" spans="1:12" ht="12.75" customHeight="1" x14ac:dyDescent="0.25">
      <c r="A30" s="42">
        <v>2005</v>
      </c>
      <c r="B30" s="42" t="s">
        <v>13</v>
      </c>
      <c r="C30" s="43">
        <v>7378.3125300000002</v>
      </c>
      <c r="D30" s="43">
        <v>3660.5802000000003</v>
      </c>
      <c r="E30" s="43">
        <v>5685.6106799999998</v>
      </c>
      <c r="F30" s="43">
        <v>4702.3633400000008</v>
      </c>
      <c r="G30" s="43">
        <v>0</v>
      </c>
      <c r="H30" s="43"/>
      <c r="I30" s="43">
        <v>0</v>
      </c>
      <c r="J30" s="44">
        <v>21426.866749999997</v>
      </c>
      <c r="K30" s="55"/>
      <c r="L30" s="43">
        <v>0</v>
      </c>
    </row>
    <row r="31" spans="1:12" ht="12.75" customHeight="1" x14ac:dyDescent="0.25">
      <c r="A31" s="42">
        <v>2005</v>
      </c>
      <c r="B31" s="42" t="s">
        <v>14</v>
      </c>
      <c r="C31" s="43">
        <v>7883.3560000000007</v>
      </c>
      <c r="D31" s="43">
        <v>3020.7889000000005</v>
      </c>
      <c r="E31" s="43">
        <v>8548.4980999999971</v>
      </c>
      <c r="F31" s="43">
        <v>4301.7400099999995</v>
      </c>
      <c r="G31" s="43">
        <v>0</v>
      </c>
      <c r="H31" s="43"/>
      <c r="I31" s="43">
        <v>0</v>
      </c>
      <c r="J31" s="44">
        <v>23754.383009999998</v>
      </c>
      <c r="K31" s="55"/>
      <c r="L31" s="43">
        <v>0</v>
      </c>
    </row>
    <row r="32" spans="1:12" ht="12.75" customHeight="1" x14ac:dyDescent="0.25">
      <c r="A32" s="42">
        <v>2005</v>
      </c>
      <c r="B32" s="42" t="s">
        <v>15</v>
      </c>
      <c r="C32" s="43">
        <v>76097.749000000011</v>
      </c>
      <c r="D32" s="43">
        <v>38007.643059999995</v>
      </c>
      <c r="E32" s="43">
        <v>80115.416539999991</v>
      </c>
      <c r="F32" s="43">
        <v>61631.783420000007</v>
      </c>
      <c r="G32" s="43">
        <v>0</v>
      </c>
      <c r="H32" s="43"/>
      <c r="I32" s="43">
        <v>0</v>
      </c>
      <c r="J32" s="44">
        <v>255852.59201999998</v>
      </c>
      <c r="K32" s="55"/>
      <c r="L32" s="43">
        <v>0</v>
      </c>
    </row>
    <row r="33" spans="1:12" ht="12.75" customHeight="1" x14ac:dyDescent="0.25">
      <c r="A33" s="42">
        <v>2006</v>
      </c>
      <c r="B33" s="42" t="s">
        <v>3</v>
      </c>
      <c r="C33" s="43">
        <v>8221.8039999999983</v>
      </c>
      <c r="D33" s="43">
        <v>5008.5243300000002</v>
      </c>
      <c r="E33" s="43">
        <v>6865.8337299999985</v>
      </c>
      <c r="F33" s="43">
        <v>7656.5428100000008</v>
      </c>
      <c r="G33" s="43">
        <v>0</v>
      </c>
      <c r="H33" s="43"/>
      <c r="I33" s="43">
        <v>0</v>
      </c>
      <c r="J33" s="44">
        <v>27752.704869999994</v>
      </c>
      <c r="K33" s="55"/>
      <c r="L33" s="43">
        <v>0</v>
      </c>
    </row>
    <row r="34" spans="1:12" ht="12.75" customHeight="1" x14ac:dyDescent="0.25">
      <c r="A34" s="42">
        <v>2006</v>
      </c>
      <c r="B34" s="42" t="s">
        <v>4</v>
      </c>
      <c r="C34" s="43">
        <v>7794.4751000000006</v>
      </c>
      <c r="D34" s="43">
        <v>3192.9956999999999</v>
      </c>
      <c r="E34" s="43">
        <v>6370.7296100000003</v>
      </c>
      <c r="F34" s="43">
        <v>7170.4565999999995</v>
      </c>
      <c r="G34" s="43">
        <v>0</v>
      </c>
      <c r="H34" s="43"/>
      <c r="I34" s="43">
        <v>1107.5273</v>
      </c>
      <c r="J34" s="44">
        <v>25636.184310000004</v>
      </c>
      <c r="K34" s="55"/>
      <c r="L34" s="43">
        <v>0</v>
      </c>
    </row>
    <row r="35" spans="1:12" ht="12.75" customHeight="1" x14ac:dyDescent="0.25">
      <c r="A35" s="42">
        <v>2006</v>
      </c>
      <c r="B35" s="42" t="s">
        <v>5</v>
      </c>
      <c r="C35" s="43">
        <v>6479.6413000000002</v>
      </c>
      <c r="D35" s="43">
        <v>4478.7761</v>
      </c>
      <c r="E35" s="43">
        <v>4824.6352000000006</v>
      </c>
      <c r="F35" s="43">
        <v>5973.2958200000003</v>
      </c>
      <c r="G35" s="43">
        <v>0</v>
      </c>
      <c r="H35" s="43"/>
      <c r="I35" s="43">
        <v>2177.4304999999999</v>
      </c>
      <c r="J35" s="44">
        <v>23933.778920000001</v>
      </c>
      <c r="K35" s="55"/>
      <c r="L35" s="43">
        <v>0</v>
      </c>
    </row>
    <row r="36" spans="1:12" ht="12.75" customHeight="1" x14ac:dyDescent="0.25">
      <c r="A36" s="42">
        <v>2006</v>
      </c>
      <c r="B36" s="42" t="s">
        <v>6</v>
      </c>
      <c r="C36" s="43">
        <v>7548.4684299999999</v>
      </c>
      <c r="D36" s="43">
        <v>4378.2174500000001</v>
      </c>
      <c r="E36" s="43">
        <v>3734.9842400000002</v>
      </c>
      <c r="F36" s="43">
        <v>4033.9902000000002</v>
      </c>
      <c r="G36" s="43">
        <v>0</v>
      </c>
      <c r="H36" s="43"/>
      <c r="I36" s="43">
        <v>4630.8320000000003</v>
      </c>
      <c r="J36" s="44">
        <v>24326.492320000005</v>
      </c>
      <c r="K36" s="55"/>
      <c r="L36" s="43">
        <v>0</v>
      </c>
    </row>
    <row r="37" spans="1:12" ht="12.75" customHeight="1" x14ac:dyDescent="0.25">
      <c r="A37" s="42">
        <v>2006</v>
      </c>
      <c r="B37" s="42" t="s">
        <v>7</v>
      </c>
      <c r="C37" s="43">
        <v>4291.9304000000002</v>
      </c>
      <c r="D37" s="43">
        <v>4706.7402000000002</v>
      </c>
      <c r="E37" s="43">
        <v>5156.703199999999</v>
      </c>
      <c r="F37" s="43">
        <v>4139.3117400000001</v>
      </c>
      <c r="G37" s="43">
        <v>0</v>
      </c>
      <c r="H37" s="43"/>
      <c r="I37" s="43">
        <v>4017.9842999999996</v>
      </c>
      <c r="J37" s="44">
        <v>22312.669840000002</v>
      </c>
      <c r="K37" s="55"/>
      <c r="L37" s="43">
        <v>0</v>
      </c>
    </row>
    <row r="38" spans="1:12" ht="12.75" customHeight="1" x14ac:dyDescent="0.25">
      <c r="A38" s="42">
        <v>2006</v>
      </c>
      <c r="B38" s="42" t="s">
        <v>8</v>
      </c>
      <c r="C38" s="43">
        <v>6166.7125999999998</v>
      </c>
      <c r="D38" s="43">
        <v>3510.7763000000004</v>
      </c>
      <c r="E38" s="43">
        <v>6373.8355999999994</v>
      </c>
      <c r="F38" s="43">
        <v>3149.1972199999996</v>
      </c>
      <c r="G38" s="43">
        <v>0</v>
      </c>
      <c r="H38" s="43"/>
      <c r="I38" s="43">
        <v>3196.6525999999999</v>
      </c>
      <c r="J38" s="44">
        <v>22397.174319999998</v>
      </c>
      <c r="K38" s="55"/>
      <c r="L38" s="43">
        <v>0</v>
      </c>
    </row>
    <row r="39" spans="1:12" ht="12.75" customHeight="1" x14ac:dyDescent="0.25">
      <c r="A39" s="42">
        <v>2006</v>
      </c>
      <c r="B39" s="42" t="s">
        <v>9</v>
      </c>
      <c r="C39" s="43">
        <v>3842.2890999999995</v>
      </c>
      <c r="D39" s="43">
        <v>5663.1854000000003</v>
      </c>
      <c r="E39" s="43">
        <v>4399.9862999999996</v>
      </c>
      <c r="F39" s="43">
        <v>5143.1941999999999</v>
      </c>
      <c r="G39" s="43">
        <v>0</v>
      </c>
      <c r="H39" s="43"/>
      <c r="I39" s="43">
        <v>5300.8457000000008</v>
      </c>
      <c r="J39" s="44">
        <v>24349.500700000001</v>
      </c>
      <c r="K39" s="55"/>
      <c r="L39" s="43">
        <v>0</v>
      </c>
    </row>
    <row r="40" spans="1:12" ht="12.75" customHeight="1" x14ac:dyDescent="0.25">
      <c r="A40" s="42">
        <v>2006</v>
      </c>
      <c r="B40" s="42" t="s">
        <v>10</v>
      </c>
      <c r="C40" s="43">
        <v>4779.7807999999995</v>
      </c>
      <c r="D40" s="43">
        <v>4924.1904000000004</v>
      </c>
      <c r="E40" s="43">
        <v>2841.8298999999997</v>
      </c>
      <c r="F40" s="43">
        <v>4003.3668000000007</v>
      </c>
      <c r="G40" s="43">
        <v>0</v>
      </c>
      <c r="H40" s="43"/>
      <c r="I40" s="43">
        <v>4727.5629000000008</v>
      </c>
      <c r="J40" s="44">
        <v>21276.730800000001</v>
      </c>
      <c r="K40" s="55"/>
      <c r="L40" s="43">
        <v>0</v>
      </c>
    </row>
    <row r="41" spans="1:12" ht="12.75" customHeight="1" x14ac:dyDescent="0.25">
      <c r="A41" s="42">
        <v>2006</v>
      </c>
      <c r="B41" s="42" t="s">
        <v>11</v>
      </c>
      <c r="C41" s="43">
        <v>4899.0829000000003</v>
      </c>
      <c r="D41" s="43">
        <v>4397.7595999999994</v>
      </c>
      <c r="E41" s="43">
        <v>4125.3287</v>
      </c>
      <c r="F41" s="43">
        <v>4490.990600000001</v>
      </c>
      <c r="G41" s="43">
        <v>0</v>
      </c>
      <c r="H41" s="43"/>
      <c r="I41" s="43">
        <v>4900.5179699999999</v>
      </c>
      <c r="J41" s="44">
        <v>22813.679770000002</v>
      </c>
      <c r="K41" s="55"/>
      <c r="L41" s="43">
        <v>0</v>
      </c>
    </row>
    <row r="42" spans="1:12" ht="12.75" customHeight="1" x14ac:dyDescent="0.25">
      <c r="A42" s="42">
        <v>2006</v>
      </c>
      <c r="B42" s="42" t="s">
        <v>12</v>
      </c>
      <c r="C42" s="43">
        <v>4831.6514100000004</v>
      </c>
      <c r="D42" s="43">
        <v>3632.5896000000002</v>
      </c>
      <c r="E42" s="43">
        <v>3056.8927000000003</v>
      </c>
      <c r="F42" s="43">
        <v>4466.5078700000004</v>
      </c>
      <c r="G42" s="43">
        <v>0</v>
      </c>
      <c r="H42" s="43"/>
      <c r="I42" s="43">
        <v>4760.0568000000003</v>
      </c>
      <c r="J42" s="44">
        <v>20747.698380000002</v>
      </c>
      <c r="K42" s="55"/>
      <c r="L42" s="43">
        <v>0</v>
      </c>
    </row>
    <row r="43" spans="1:12" ht="12.75" customHeight="1" x14ac:dyDescent="0.25">
      <c r="A43" s="42">
        <v>2006</v>
      </c>
      <c r="B43" s="42" t="s">
        <v>13</v>
      </c>
      <c r="C43" s="43">
        <v>4941.7242999999999</v>
      </c>
      <c r="D43" s="43">
        <v>2706.4432999999999</v>
      </c>
      <c r="E43" s="43">
        <v>4071.2931999999992</v>
      </c>
      <c r="F43" s="43">
        <v>7018.7822000000006</v>
      </c>
      <c r="G43" s="43">
        <v>0</v>
      </c>
      <c r="H43" s="43"/>
      <c r="I43" s="43">
        <v>4304.4135999999999</v>
      </c>
      <c r="J43" s="44">
        <v>23042.656599999998</v>
      </c>
      <c r="K43" s="55"/>
      <c r="L43" s="43">
        <v>0</v>
      </c>
    </row>
    <row r="44" spans="1:12" ht="12.75" customHeight="1" x14ac:dyDescent="0.25">
      <c r="A44" s="42">
        <v>2006</v>
      </c>
      <c r="B44" s="42" t="s">
        <v>14</v>
      </c>
      <c r="C44" s="43">
        <v>5445.0736899999993</v>
      </c>
      <c r="D44" s="43">
        <v>4361.3997599999993</v>
      </c>
      <c r="E44" s="43">
        <v>4344.1324999999997</v>
      </c>
      <c r="F44" s="43">
        <v>5925.3336300000001</v>
      </c>
      <c r="G44" s="43">
        <v>0</v>
      </c>
      <c r="H44" s="43"/>
      <c r="I44" s="43">
        <v>4173.2120999999997</v>
      </c>
      <c r="J44" s="44">
        <v>24249.151679999999</v>
      </c>
      <c r="K44" s="55"/>
      <c r="L44" s="43">
        <v>0</v>
      </c>
    </row>
    <row r="45" spans="1:12" ht="12.75" customHeight="1" x14ac:dyDescent="0.25">
      <c r="A45" s="42">
        <v>2006</v>
      </c>
      <c r="B45" s="42" t="s">
        <v>15</v>
      </c>
      <c r="C45" s="43">
        <v>69242.634030000001</v>
      </c>
      <c r="D45" s="43">
        <v>50961.598139999995</v>
      </c>
      <c r="E45" s="43">
        <v>56166.184879999993</v>
      </c>
      <c r="F45" s="43">
        <v>63170.969690000005</v>
      </c>
      <c r="G45" s="43">
        <v>0</v>
      </c>
      <c r="H45" s="43"/>
      <c r="I45" s="43">
        <v>43297.035770000002</v>
      </c>
      <c r="J45" s="44">
        <v>282838.42251</v>
      </c>
      <c r="K45" s="55"/>
      <c r="L45" s="43">
        <v>0</v>
      </c>
    </row>
    <row r="46" spans="1:12" ht="12.75" customHeight="1" x14ac:dyDescent="0.25">
      <c r="A46" s="42">
        <v>2007</v>
      </c>
      <c r="B46" s="42" t="s">
        <v>3</v>
      </c>
      <c r="C46" s="43">
        <v>6409.6592000000001</v>
      </c>
      <c r="D46" s="43">
        <v>4360.1309099999999</v>
      </c>
      <c r="E46" s="43">
        <v>5183.3449000000001</v>
      </c>
      <c r="F46" s="43">
        <v>6962.9710299999997</v>
      </c>
      <c r="G46" s="43">
        <v>0</v>
      </c>
      <c r="H46" s="43"/>
      <c r="I46" s="43">
        <v>4386.9857999999995</v>
      </c>
      <c r="J46" s="44">
        <v>27303.091839999997</v>
      </c>
      <c r="K46" s="55"/>
      <c r="L46" s="43">
        <v>0</v>
      </c>
    </row>
    <row r="47" spans="1:12" ht="12.75" customHeight="1" x14ac:dyDescent="0.25">
      <c r="A47" s="42">
        <v>2007</v>
      </c>
      <c r="B47" s="42" t="s">
        <v>4</v>
      </c>
      <c r="C47" s="43">
        <v>5193.521749999999</v>
      </c>
      <c r="D47" s="43">
        <v>3459.509</v>
      </c>
      <c r="E47" s="43">
        <v>4587.4321000000009</v>
      </c>
      <c r="F47" s="43">
        <v>3285.5647000000004</v>
      </c>
      <c r="G47" s="43">
        <v>0</v>
      </c>
      <c r="H47" s="43"/>
      <c r="I47" s="43">
        <v>4834.5813400000006</v>
      </c>
      <c r="J47" s="44">
        <v>21360.60889</v>
      </c>
      <c r="K47" s="55"/>
      <c r="L47" s="43">
        <v>0</v>
      </c>
    </row>
    <row r="48" spans="1:12" ht="12.75" customHeight="1" x14ac:dyDescent="0.25">
      <c r="A48" s="42">
        <v>2007</v>
      </c>
      <c r="B48" s="42" t="s">
        <v>5</v>
      </c>
      <c r="C48" s="43">
        <v>3369.8339999999998</v>
      </c>
      <c r="D48" s="43">
        <v>3339.5647999999997</v>
      </c>
      <c r="E48" s="43">
        <v>3490.2721999999999</v>
      </c>
      <c r="F48" s="43">
        <v>5757.1581099999994</v>
      </c>
      <c r="G48" s="43">
        <v>0</v>
      </c>
      <c r="H48" s="43"/>
      <c r="I48" s="43">
        <v>4269.2929999999997</v>
      </c>
      <c r="J48" s="44">
        <v>20226.122109999997</v>
      </c>
      <c r="K48" s="55"/>
      <c r="L48" s="43">
        <v>0</v>
      </c>
    </row>
    <row r="49" spans="1:12" ht="12.75" customHeight="1" x14ac:dyDescent="0.25">
      <c r="A49" s="42">
        <v>2007</v>
      </c>
      <c r="B49" s="42" t="s">
        <v>6</v>
      </c>
      <c r="C49" s="43">
        <v>4642.9802</v>
      </c>
      <c r="D49" s="43">
        <v>3452.4854999999998</v>
      </c>
      <c r="E49" s="43">
        <v>3728.9576799999995</v>
      </c>
      <c r="F49" s="43">
        <v>5633.4421999999995</v>
      </c>
      <c r="G49" s="43">
        <v>0</v>
      </c>
      <c r="H49" s="43"/>
      <c r="I49" s="43">
        <v>4046.6464599999999</v>
      </c>
      <c r="J49" s="44">
        <v>21504.512039999998</v>
      </c>
      <c r="K49" s="55"/>
      <c r="L49" s="43">
        <v>0</v>
      </c>
    </row>
    <row r="50" spans="1:12" ht="12.75" customHeight="1" x14ac:dyDescent="0.25">
      <c r="A50" s="42">
        <v>2007</v>
      </c>
      <c r="B50" s="42" t="s">
        <v>7</v>
      </c>
      <c r="C50" s="43">
        <v>4602.0297300000002</v>
      </c>
      <c r="D50" s="43">
        <v>2624.3420899999996</v>
      </c>
      <c r="E50" s="43">
        <v>3965.3534</v>
      </c>
      <c r="F50" s="43">
        <v>4375.2585999999992</v>
      </c>
      <c r="G50" s="43">
        <v>1694.9461000000001</v>
      </c>
      <c r="H50" s="43"/>
      <c r="I50" s="43">
        <v>5800.0493000000006</v>
      </c>
      <c r="J50" s="44">
        <v>23061.979220000001</v>
      </c>
      <c r="K50" s="55"/>
      <c r="L50" s="43">
        <v>0</v>
      </c>
    </row>
    <row r="51" spans="1:12" ht="12.75" customHeight="1" x14ac:dyDescent="0.25">
      <c r="A51" s="42">
        <v>2007</v>
      </c>
      <c r="B51" s="42" t="s">
        <v>8</v>
      </c>
      <c r="C51" s="43">
        <v>3846.4224000000004</v>
      </c>
      <c r="D51" s="43">
        <v>4461.5673399999996</v>
      </c>
      <c r="E51" s="43">
        <v>3903.7250999999997</v>
      </c>
      <c r="F51" s="43">
        <v>3955.9661999999998</v>
      </c>
      <c r="G51" s="43">
        <v>883.37400000000002</v>
      </c>
      <c r="H51" s="43"/>
      <c r="I51" s="43">
        <v>4590.3803799999996</v>
      </c>
      <c r="J51" s="44">
        <v>21641.435419999998</v>
      </c>
      <c r="K51" s="55"/>
      <c r="L51" s="43">
        <v>0</v>
      </c>
    </row>
    <row r="52" spans="1:12" ht="12.75" customHeight="1" x14ac:dyDescent="0.25">
      <c r="A52" s="42">
        <v>2007</v>
      </c>
      <c r="B52" s="42" t="s">
        <v>9</v>
      </c>
      <c r="C52" s="43">
        <v>5330.9253000000008</v>
      </c>
      <c r="D52" s="43">
        <v>4089.9209999999998</v>
      </c>
      <c r="E52" s="43">
        <v>2621.2698999999998</v>
      </c>
      <c r="F52" s="43">
        <v>5813.1240399999988</v>
      </c>
      <c r="G52" s="43">
        <v>1667.4406999999999</v>
      </c>
      <c r="H52" s="43"/>
      <c r="I52" s="43">
        <v>5035.2335000000003</v>
      </c>
      <c r="J52" s="44">
        <v>24557.91444</v>
      </c>
      <c r="K52" s="55"/>
      <c r="L52" s="43">
        <v>0</v>
      </c>
    </row>
    <row r="53" spans="1:12" ht="12.75" customHeight="1" x14ac:dyDescent="0.25">
      <c r="A53" s="42">
        <v>2007</v>
      </c>
      <c r="B53" s="42" t="s">
        <v>10</v>
      </c>
      <c r="C53" s="43">
        <v>4884.3392000000003</v>
      </c>
      <c r="D53" s="43">
        <v>2319.8058999999998</v>
      </c>
      <c r="E53" s="43">
        <v>2471.5534699999998</v>
      </c>
      <c r="F53" s="43">
        <v>3823.2837000000004</v>
      </c>
      <c r="G53" s="43">
        <v>935.04380000000003</v>
      </c>
      <c r="H53" s="43"/>
      <c r="I53" s="43">
        <v>5365.4502999999995</v>
      </c>
      <c r="J53" s="44">
        <v>19799.47637</v>
      </c>
      <c r="K53" s="55"/>
      <c r="L53" s="43">
        <v>0</v>
      </c>
    </row>
    <row r="54" spans="1:12" ht="12.75" customHeight="1" x14ac:dyDescent="0.25">
      <c r="A54" s="42">
        <v>2007</v>
      </c>
      <c r="B54" s="42" t="s">
        <v>11</v>
      </c>
      <c r="C54" s="43">
        <v>5131.5495999999994</v>
      </c>
      <c r="D54" s="43">
        <v>4507.9687000000004</v>
      </c>
      <c r="E54" s="43">
        <v>3864.4981999999995</v>
      </c>
      <c r="F54" s="43">
        <v>4675.1111400000009</v>
      </c>
      <c r="G54" s="43">
        <v>952.01949999999999</v>
      </c>
      <c r="H54" s="43"/>
      <c r="I54" s="43">
        <v>4587.7534800000003</v>
      </c>
      <c r="J54" s="44">
        <v>23718.900619999997</v>
      </c>
      <c r="K54" s="55"/>
      <c r="L54" s="43">
        <v>0</v>
      </c>
    </row>
    <row r="55" spans="1:12" ht="12.75" customHeight="1" x14ac:dyDescent="0.25">
      <c r="A55" s="42">
        <v>2007</v>
      </c>
      <c r="B55" s="42" t="s">
        <v>12</v>
      </c>
      <c r="C55" s="43">
        <v>4065.9319999999998</v>
      </c>
      <c r="D55" s="43">
        <v>4359.1005999999998</v>
      </c>
      <c r="E55" s="43">
        <v>3663.5907999999999</v>
      </c>
      <c r="F55" s="43">
        <v>4860.4643999999998</v>
      </c>
      <c r="G55" s="43">
        <v>1798.3215</v>
      </c>
      <c r="H55" s="43"/>
      <c r="I55" s="43">
        <v>4838.66662</v>
      </c>
      <c r="J55" s="44">
        <v>23586.075919999999</v>
      </c>
      <c r="K55" s="55"/>
      <c r="L55" s="43">
        <v>0</v>
      </c>
    </row>
    <row r="56" spans="1:12" ht="12.75" customHeight="1" x14ac:dyDescent="0.25">
      <c r="A56" s="42">
        <v>2007</v>
      </c>
      <c r="B56" s="42" t="s">
        <v>13</v>
      </c>
      <c r="C56" s="43">
        <v>7504.2779099999998</v>
      </c>
      <c r="D56" s="43">
        <v>3667.9191999999998</v>
      </c>
      <c r="E56" s="43">
        <v>3665.3739999999998</v>
      </c>
      <c r="F56" s="43">
        <v>4040.5496000000003</v>
      </c>
      <c r="G56" s="43">
        <v>782.02909999999997</v>
      </c>
      <c r="H56" s="43"/>
      <c r="I56" s="43">
        <v>5633.5289399999992</v>
      </c>
      <c r="J56" s="44">
        <v>25293.678749999999</v>
      </c>
      <c r="K56" s="55"/>
      <c r="L56" s="43">
        <v>0</v>
      </c>
    </row>
    <row r="57" spans="1:12" ht="12.75" customHeight="1" x14ac:dyDescent="0.25">
      <c r="A57" s="42">
        <v>2007</v>
      </c>
      <c r="B57" s="42" t="s">
        <v>14</v>
      </c>
      <c r="C57" s="43">
        <v>7298.5169000000005</v>
      </c>
      <c r="D57" s="43">
        <v>4150.0504999999994</v>
      </c>
      <c r="E57" s="43">
        <v>4547.7982999999995</v>
      </c>
      <c r="F57" s="43">
        <v>5468.5344699999996</v>
      </c>
      <c r="G57" s="43">
        <v>933.45909999999992</v>
      </c>
      <c r="H57" s="43"/>
      <c r="I57" s="43">
        <v>5735.3071</v>
      </c>
      <c r="J57" s="44">
        <v>28133.666369999999</v>
      </c>
      <c r="K57" s="55"/>
      <c r="L57" s="43">
        <v>0</v>
      </c>
    </row>
    <row r="58" spans="1:12" ht="12.75" customHeight="1" x14ac:dyDescent="0.25">
      <c r="A58" s="42">
        <v>2007</v>
      </c>
      <c r="B58" s="42" t="s">
        <v>15</v>
      </c>
      <c r="C58" s="43">
        <v>62279.988189999996</v>
      </c>
      <c r="D58" s="43">
        <v>44792.365539999992</v>
      </c>
      <c r="E58" s="43">
        <v>45693.170049999993</v>
      </c>
      <c r="F58" s="43">
        <v>58651.428189999991</v>
      </c>
      <c r="G58" s="43">
        <v>9646.6338000000014</v>
      </c>
      <c r="H58" s="43"/>
      <c r="I58" s="43">
        <v>59123.876219999991</v>
      </c>
      <c r="J58" s="44">
        <v>280187.46198999998</v>
      </c>
      <c r="K58" s="55"/>
      <c r="L58" s="43">
        <v>0</v>
      </c>
    </row>
    <row r="59" spans="1:12" ht="12.75" customHeight="1" x14ac:dyDescent="0.25">
      <c r="A59" s="42">
        <v>2008</v>
      </c>
      <c r="B59" s="42" t="s">
        <v>3</v>
      </c>
      <c r="C59" s="43">
        <v>8344.4914000000008</v>
      </c>
      <c r="D59" s="43">
        <v>5178.8963200000007</v>
      </c>
      <c r="E59" s="43">
        <v>4547.7984000000006</v>
      </c>
      <c r="F59" s="43">
        <v>6328.1897499999995</v>
      </c>
      <c r="G59" s="43">
        <v>874.76220000000001</v>
      </c>
      <c r="H59" s="43"/>
      <c r="I59" s="43">
        <v>5551.5359999999991</v>
      </c>
      <c r="J59" s="44">
        <v>30825.674070000005</v>
      </c>
      <c r="K59" s="55"/>
      <c r="L59" s="43">
        <v>0</v>
      </c>
    </row>
    <row r="60" spans="1:12" ht="12.75" customHeight="1" x14ac:dyDescent="0.25">
      <c r="A60" s="42">
        <v>2008</v>
      </c>
      <c r="B60" s="42" t="s">
        <v>4</v>
      </c>
      <c r="C60" s="43">
        <v>6393.2291999999989</v>
      </c>
      <c r="D60" s="43">
        <v>4066.9994999999999</v>
      </c>
      <c r="E60" s="43">
        <v>4184.4796999999999</v>
      </c>
      <c r="F60" s="43">
        <v>5174.6406899999993</v>
      </c>
      <c r="G60" s="43">
        <v>1395.5573999999999</v>
      </c>
      <c r="H60" s="43"/>
      <c r="I60" s="43">
        <v>4805.4036999999989</v>
      </c>
      <c r="J60" s="44">
        <v>26020.31019</v>
      </c>
      <c r="K60" s="55"/>
      <c r="L60" s="43">
        <v>0</v>
      </c>
    </row>
    <row r="61" spans="1:12" ht="12.75" customHeight="1" x14ac:dyDescent="0.25">
      <c r="A61" s="42">
        <v>2008</v>
      </c>
      <c r="B61" s="42" t="s">
        <v>5</v>
      </c>
      <c r="C61" s="43">
        <v>5274.2109</v>
      </c>
      <c r="D61" s="43">
        <v>4114.3072999999995</v>
      </c>
      <c r="E61" s="43">
        <v>4804.6442000000015</v>
      </c>
      <c r="F61" s="43">
        <v>5899.17245</v>
      </c>
      <c r="G61" s="43">
        <v>2519.5245</v>
      </c>
      <c r="H61" s="43"/>
      <c r="I61" s="43">
        <v>6132.9468000000006</v>
      </c>
      <c r="J61" s="44">
        <v>28744.80615</v>
      </c>
      <c r="K61" s="55"/>
      <c r="L61" s="43">
        <v>0</v>
      </c>
    </row>
    <row r="62" spans="1:12" ht="12.75" customHeight="1" x14ac:dyDescent="0.25">
      <c r="A62" s="42">
        <v>2008</v>
      </c>
      <c r="B62" s="42" t="s">
        <v>6</v>
      </c>
      <c r="C62" s="43">
        <v>7524.6954999999998</v>
      </c>
      <c r="D62" s="43">
        <v>3578.2981</v>
      </c>
      <c r="E62" s="43">
        <v>4084.3406800000002</v>
      </c>
      <c r="F62" s="43">
        <v>4053.6597000000002</v>
      </c>
      <c r="G62" s="43">
        <v>819.94669999999996</v>
      </c>
      <c r="H62" s="43"/>
      <c r="I62" s="43">
        <v>5190.2156899999991</v>
      </c>
      <c r="J62" s="44">
        <v>25251.156369999997</v>
      </c>
      <c r="K62" s="55"/>
      <c r="L62" s="43">
        <v>0</v>
      </c>
    </row>
    <row r="63" spans="1:12" ht="12.75" customHeight="1" x14ac:dyDescent="0.25">
      <c r="A63" s="42">
        <v>2008</v>
      </c>
      <c r="B63" s="42" t="s">
        <v>7</v>
      </c>
      <c r="C63" s="43">
        <v>6549.4671000000008</v>
      </c>
      <c r="D63" s="43">
        <v>4525.0675600000004</v>
      </c>
      <c r="E63" s="43">
        <v>4003.2492900000002</v>
      </c>
      <c r="F63" s="43">
        <v>5834.2306999999992</v>
      </c>
      <c r="G63" s="43">
        <v>1791.8450399999999</v>
      </c>
      <c r="H63" s="43"/>
      <c r="I63" s="43">
        <v>5554.4818099999993</v>
      </c>
      <c r="J63" s="44">
        <v>28258.341500000002</v>
      </c>
      <c r="K63" s="55"/>
      <c r="L63" s="43">
        <v>0</v>
      </c>
    </row>
    <row r="64" spans="1:12" ht="12.75" customHeight="1" x14ac:dyDescent="0.25">
      <c r="A64" s="42">
        <v>2008</v>
      </c>
      <c r="B64" s="42" t="s">
        <v>8</v>
      </c>
      <c r="C64" s="43">
        <v>5929.7173999999995</v>
      </c>
      <c r="D64" s="43">
        <v>5372.4832999999999</v>
      </c>
      <c r="E64" s="43">
        <v>3548.2703400000005</v>
      </c>
      <c r="F64" s="43">
        <v>4849.5273299999999</v>
      </c>
      <c r="G64" s="43">
        <v>2620.8521000000001</v>
      </c>
      <c r="H64" s="43"/>
      <c r="I64" s="43">
        <v>5410.4389999999994</v>
      </c>
      <c r="J64" s="44">
        <v>27731.28947</v>
      </c>
      <c r="K64" s="55"/>
      <c r="L64" s="43">
        <v>0</v>
      </c>
    </row>
    <row r="65" spans="1:12" ht="12.75" customHeight="1" x14ac:dyDescent="0.25">
      <c r="A65" s="42">
        <v>2008</v>
      </c>
      <c r="B65" s="42" t="s">
        <v>9</v>
      </c>
      <c r="C65" s="43">
        <v>4685.1210999999994</v>
      </c>
      <c r="D65" s="43">
        <v>5984.6943000000001</v>
      </c>
      <c r="E65" s="43">
        <v>3891.0615400000002</v>
      </c>
      <c r="F65" s="43">
        <v>4410.8427000000001</v>
      </c>
      <c r="G65" s="43">
        <v>2682.9952000000003</v>
      </c>
      <c r="H65" s="43"/>
      <c r="I65" s="43">
        <v>6409.1435000000001</v>
      </c>
      <c r="J65" s="44">
        <v>28063.858339999999</v>
      </c>
      <c r="K65" s="55"/>
      <c r="L65" s="43">
        <v>0</v>
      </c>
    </row>
    <row r="66" spans="1:12" ht="12.75" customHeight="1" x14ac:dyDescent="0.25">
      <c r="A66" s="42">
        <v>2008</v>
      </c>
      <c r="B66" s="42" t="s">
        <v>10</v>
      </c>
      <c r="C66" s="43">
        <v>4262.0391</v>
      </c>
      <c r="D66" s="43">
        <v>4485.1046099999994</v>
      </c>
      <c r="E66" s="43">
        <v>3069.0071400000002</v>
      </c>
      <c r="F66" s="43">
        <v>5051.7032000000008</v>
      </c>
      <c r="G66" s="43">
        <v>1352.2782999999997</v>
      </c>
      <c r="H66" s="43"/>
      <c r="I66" s="43">
        <v>6131.9096899999995</v>
      </c>
      <c r="J66" s="44">
        <v>24352.04204</v>
      </c>
      <c r="K66" s="55"/>
      <c r="L66" s="43">
        <v>0</v>
      </c>
    </row>
    <row r="67" spans="1:12" ht="12.75" customHeight="1" x14ac:dyDescent="0.25">
      <c r="A67" s="42">
        <v>2008</v>
      </c>
      <c r="B67" s="42" t="s">
        <v>11</v>
      </c>
      <c r="C67" s="43">
        <v>5018.8672999999999</v>
      </c>
      <c r="D67" s="43">
        <v>6129.8450999999995</v>
      </c>
      <c r="E67" s="43">
        <v>2887.6864999999998</v>
      </c>
      <c r="F67" s="43">
        <v>4034.8326999999999</v>
      </c>
      <c r="G67" s="43">
        <v>2582.1611999999996</v>
      </c>
      <c r="H67" s="43"/>
      <c r="I67" s="43">
        <v>5994.1942300000001</v>
      </c>
      <c r="J67" s="44">
        <v>26647.587029999999</v>
      </c>
      <c r="K67" s="55"/>
      <c r="L67" s="43">
        <v>0</v>
      </c>
    </row>
    <row r="68" spans="1:12" ht="12.75" customHeight="1" x14ac:dyDescent="0.25">
      <c r="A68" s="42">
        <v>2008</v>
      </c>
      <c r="B68" s="42" t="s">
        <v>12</v>
      </c>
      <c r="C68" s="43">
        <v>6757.9016000000001</v>
      </c>
      <c r="D68" s="43">
        <v>4422.4503999999997</v>
      </c>
      <c r="E68" s="43">
        <v>5037.5482000000002</v>
      </c>
      <c r="F68" s="43">
        <v>5969.7992899999999</v>
      </c>
      <c r="G68" s="43">
        <v>1678.5607</v>
      </c>
      <c r="H68" s="43"/>
      <c r="I68" s="43">
        <v>5685.9906999999994</v>
      </c>
      <c r="J68" s="44">
        <v>29552.250889999999</v>
      </c>
      <c r="K68" s="55"/>
      <c r="L68" s="43">
        <v>0</v>
      </c>
    </row>
    <row r="69" spans="1:12" ht="12.75" customHeight="1" x14ac:dyDescent="0.25">
      <c r="A69" s="42">
        <v>2008</v>
      </c>
      <c r="B69" s="42" t="s">
        <v>13</v>
      </c>
      <c r="C69" s="43">
        <v>6563.5833000000002</v>
      </c>
      <c r="D69" s="43">
        <v>4525.0304999999998</v>
      </c>
      <c r="E69" s="43">
        <v>3691.6282000000001</v>
      </c>
      <c r="F69" s="43">
        <v>5913.3854300000003</v>
      </c>
      <c r="G69" s="43">
        <v>2522.1795000000002</v>
      </c>
      <c r="H69" s="43"/>
      <c r="I69" s="43">
        <v>5936.6651999999995</v>
      </c>
      <c r="J69" s="44">
        <v>29152.472129999998</v>
      </c>
      <c r="K69" s="55"/>
      <c r="L69" s="43">
        <v>0</v>
      </c>
    </row>
    <row r="70" spans="1:12" ht="12.75" customHeight="1" x14ac:dyDescent="0.25">
      <c r="A70" s="42">
        <v>2008</v>
      </c>
      <c r="B70" s="42" t="s">
        <v>14</v>
      </c>
      <c r="C70" s="43">
        <v>6473.9249</v>
      </c>
      <c r="D70" s="43">
        <v>4427.8741</v>
      </c>
      <c r="E70" s="43">
        <v>4033.7777000000001</v>
      </c>
      <c r="F70" s="43">
        <v>5644.0555999999997</v>
      </c>
      <c r="G70" s="43">
        <v>783.6268</v>
      </c>
      <c r="H70" s="43"/>
      <c r="I70" s="43">
        <v>5611.4237000000012</v>
      </c>
      <c r="J70" s="44">
        <v>26974.682799999995</v>
      </c>
      <c r="K70" s="55"/>
      <c r="L70" s="43">
        <v>0</v>
      </c>
    </row>
    <row r="71" spans="1:12" ht="12.75" customHeight="1" x14ac:dyDescent="0.25">
      <c r="A71" s="42">
        <v>2008</v>
      </c>
      <c r="B71" s="42" t="s">
        <v>15</v>
      </c>
      <c r="C71" s="43">
        <v>73777.248800000001</v>
      </c>
      <c r="D71" s="43">
        <v>56811.051090000008</v>
      </c>
      <c r="E71" s="43">
        <v>47783.491889999998</v>
      </c>
      <c r="F71" s="43">
        <v>63164.039540000005</v>
      </c>
      <c r="G71" s="43">
        <v>21624.289639999995</v>
      </c>
      <c r="H71" s="43"/>
      <c r="I71" s="43">
        <v>68414.350019999998</v>
      </c>
      <c r="J71" s="44">
        <v>331574.47097999998</v>
      </c>
      <c r="K71" s="55"/>
      <c r="L71" s="43">
        <v>0</v>
      </c>
    </row>
    <row r="72" spans="1:12" ht="12.75" customHeight="1" x14ac:dyDescent="0.25">
      <c r="A72" s="42">
        <v>2009</v>
      </c>
      <c r="B72" s="42" t="s">
        <v>3</v>
      </c>
      <c r="C72" s="43">
        <v>7503.6015599999992</v>
      </c>
      <c r="D72" s="43">
        <v>4190.7845200000002</v>
      </c>
      <c r="E72" s="43">
        <v>3869.69137</v>
      </c>
      <c r="F72" s="43">
        <v>2884.7011000000002</v>
      </c>
      <c r="G72" s="43">
        <v>2677.87102</v>
      </c>
      <c r="H72" s="43"/>
      <c r="I72" s="43">
        <v>5810.7129999999997</v>
      </c>
      <c r="J72" s="44">
        <v>26937.362570000001</v>
      </c>
      <c r="K72" s="55"/>
      <c r="L72" s="43">
        <v>5.6020000000000003</v>
      </c>
    </row>
    <row r="73" spans="1:12" ht="12.75" customHeight="1" x14ac:dyDescent="0.25">
      <c r="A73" s="42">
        <v>2009</v>
      </c>
      <c r="B73" s="42" t="s">
        <v>4</v>
      </c>
      <c r="C73" s="43">
        <v>6185.8978999999999</v>
      </c>
      <c r="D73" s="43">
        <v>3731.3905</v>
      </c>
      <c r="E73" s="43">
        <v>3887.4682000000003</v>
      </c>
      <c r="F73" s="43">
        <v>3414.8601999999996</v>
      </c>
      <c r="G73" s="43">
        <v>908.53700000000003</v>
      </c>
      <c r="H73" s="43"/>
      <c r="I73" s="43">
        <v>5614.9602499999992</v>
      </c>
      <c r="J73" s="44">
        <v>23743.11405</v>
      </c>
      <c r="K73" s="55"/>
      <c r="L73" s="43">
        <v>6.8129999999999997</v>
      </c>
    </row>
    <row r="74" spans="1:12" ht="12.75" customHeight="1" x14ac:dyDescent="0.25">
      <c r="A74" s="42">
        <v>2009</v>
      </c>
      <c r="B74" s="42" t="s">
        <v>5</v>
      </c>
      <c r="C74" s="43">
        <v>5645.4828200000002</v>
      </c>
      <c r="D74" s="43">
        <v>4682.0551100000002</v>
      </c>
      <c r="E74" s="43">
        <v>4018.9875000000002</v>
      </c>
      <c r="F74" s="43">
        <v>5876.0741000000007</v>
      </c>
      <c r="G74" s="43">
        <v>794.90359999999998</v>
      </c>
      <c r="H74" s="43"/>
      <c r="I74" s="43">
        <v>5230.3524199999993</v>
      </c>
      <c r="J74" s="44">
        <v>26247.855550000004</v>
      </c>
      <c r="K74" s="55"/>
      <c r="L74" s="43">
        <v>10.683</v>
      </c>
    </row>
    <row r="75" spans="1:12" ht="12.75" customHeight="1" x14ac:dyDescent="0.25">
      <c r="A75" s="42">
        <v>2009</v>
      </c>
      <c r="B75" s="42" t="s">
        <v>6</v>
      </c>
      <c r="C75" s="43">
        <v>5527.1337599999997</v>
      </c>
      <c r="D75" s="43">
        <v>4215.5543299999999</v>
      </c>
      <c r="E75" s="43">
        <v>2028.8746599999999</v>
      </c>
      <c r="F75" s="43">
        <v>3860.5015899999999</v>
      </c>
      <c r="G75" s="43">
        <v>905.95591999999999</v>
      </c>
      <c r="H75" s="43"/>
      <c r="I75" s="43">
        <v>5837.1069900000002</v>
      </c>
      <c r="J75" s="44">
        <v>22375.127249999998</v>
      </c>
      <c r="K75" s="55"/>
      <c r="L75" s="43">
        <v>6.6945799999999993</v>
      </c>
    </row>
    <row r="76" spans="1:12" ht="12.75" customHeight="1" x14ac:dyDescent="0.25">
      <c r="A76" s="42">
        <v>2009</v>
      </c>
      <c r="B76" s="42" t="s">
        <v>7</v>
      </c>
      <c r="C76" s="43">
        <v>5853.5522099999998</v>
      </c>
      <c r="D76" s="43">
        <v>2754.90481</v>
      </c>
      <c r="E76" s="43">
        <v>2791.5720200000001</v>
      </c>
      <c r="F76" s="43">
        <v>4763.1312099999996</v>
      </c>
      <c r="G76" s="43">
        <v>1441.4596799999999</v>
      </c>
      <c r="H76" s="43"/>
      <c r="I76" s="43">
        <v>5344.7921899999992</v>
      </c>
      <c r="J76" s="44">
        <v>22949.412120000001</v>
      </c>
      <c r="K76" s="55"/>
      <c r="L76" s="43">
        <v>5.8150000000000004</v>
      </c>
    </row>
    <row r="77" spans="1:12" ht="12.75" customHeight="1" x14ac:dyDescent="0.25">
      <c r="A77" s="42">
        <v>2009</v>
      </c>
      <c r="B77" s="42" t="s">
        <v>8</v>
      </c>
      <c r="C77" s="43">
        <v>5326.459319999999</v>
      </c>
      <c r="D77" s="43">
        <v>5362.6839600000003</v>
      </c>
      <c r="E77" s="43">
        <v>3525.8731999999995</v>
      </c>
      <c r="F77" s="43">
        <v>7358.0932999999986</v>
      </c>
      <c r="G77" s="43">
        <v>950.61570999999992</v>
      </c>
      <c r="H77" s="43"/>
      <c r="I77" s="43">
        <v>5819.2518900000005</v>
      </c>
      <c r="J77" s="44">
        <v>28342.977379999997</v>
      </c>
      <c r="K77" s="55"/>
      <c r="L77" s="43">
        <v>7.452</v>
      </c>
    </row>
    <row r="78" spans="1:12" ht="12.75" customHeight="1" x14ac:dyDescent="0.25">
      <c r="A78" s="42">
        <v>2009</v>
      </c>
      <c r="B78" s="42" t="s">
        <v>9</v>
      </c>
      <c r="C78" s="43">
        <v>6437.5470800000003</v>
      </c>
      <c r="D78" s="43">
        <v>4553.1129500000006</v>
      </c>
      <c r="E78" s="43">
        <v>4738.03971</v>
      </c>
      <c r="F78" s="43">
        <v>5545.6607800000011</v>
      </c>
      <c r="G78" s="43">
        <v>1364.7248500000001</v>
      </c>
      <c r="H78" s="43"/>
      <c r="I78" s="43">
        <v>5847.8141100000003</v>
      </c>
      <c r="J78" s="44">
        <v>28486.89948</v>
      </c>
      <c r="K78" s="55"/>
      <c r="L78" s="43">
        <v>5.2789999999999999</v>
      </c>
    </row>
    <row r="79" spans="1:12" ht="12.75" customHeight="1" x14ac:dyDescent="0.25">
      <c r="A79" s="42">
        <v>2009</v>
      </c>
      <c r="B79" s="42" t="s">
        <v>10</v>
      </c>
      <c r="C79" s="43">
        <v>5765.0172800000009</v>
      </c>
      <c r="D79" s="43">
        <v>4687.2949900000003</v>
      </c>
      <c r="E79" s="43">
        <v>3472.7060100000003</v>
      </c>
      <c r="F79" s="43">
        <v>4725.6709700000001</v>
      </c>
      <c r="G79" s="43">
        <v>1757.9151399999998</v>
      </c>
      <c r="H79" s="43"/>
      <c r="I79" s="43">
        <v>4961.7939900000001</v>
      </c>
      <c r="J79" s="44">
        <v>25370.398380000006</v>
      </c>
      <c r="K79" s="55"/>
      <c r="L79" s="43">
        <v>4.3</v>
      </c>
    </row>
    <row r="80" spans="1:12" ht="12.75" customHeight="1" x14ac:dyDescent="0.25">
      <c r="A80" s="42">
        <v>2009</v>
      </c>
      <c r="B80" s="42" t="s">
        <v>11</v>
      </c>
      <c r="C80" s="43">
        <v>5083.7378099999996</v>
      </c>
      <c r="D80" s="43">
        <v>4344.6506300000001</v>
      </c>
      <c r="E80" s="43">
        <v>3403.9645300000002</v>
      </c>
      <c r="F80" s="43">
        <v>6428.6191000000008</v>
      </c>
      <c r="G80" s="43">
        <v>492.80209000000002</v>
      </c>
      <c r="H80" s="43"/>
      <c r="I80" s="43">
        <v>6234.0430399999987</v>
      </c>
      <c r="J80" s="44">
        <v>25987.817199999998</v>
      </c>
      <c r="K80" s="55"/>
      <c r="L80" s="43">
        <v>5.7629999999999999</v>
      </c>
    </row>
    <row r="81" spans="1:12" ht="12.75" customHeight="1" x14ac:dyDescent="0.25">
      <c r="A81" s="42">
        <v>2009</v>
      </c>
      <c r="B81" s="42" t="s">
        <v>12</v>
      </c>
      <c r="C81" s="43">
        <v>4955.1639599999999</v>
      </c>
      <c r="D81" s="43">
        <v>4481.1225400000003</v>
      </c>
      <c r="E81" s="43">
        <v>4824.9304800000009</v>
      </c>
      <c r="F81" s="43">
        <v>4352.3569699999998</v>
      </c>
      <c r="G81" s="43">
        <v>920.13695999999993</v>
      </c>
      <c r="H81" s="43"/>
      <c r="I81" s="43">
        <v>5015.3378200000006</v>
      </c>
      <c r="J81" s="44">
        <v>24549.048730000002</v>
      </c>
      <c r="K81" s="55"/>
      <c r="L81" s="43">
        <v>3.99</v>
      </c>
    </row>
    <row r="82" spans="1:12" ht="12.75" customHeight="1" x14ac:dyDescent="0.25">
      <c r="A82" s="42">
        <v>2009</v>
      </c>
      <c r="B82" s="42" t="s">
        <v>13</v>
      </c>
      <c r="C82" s="43">
        <v>6972.9787799999995</v>
      </c>
      <c r="D82" s="43">
        <v>3502.0534899999998</v>
      </c>
      <c r="E82" s="43">
        <v>3768.8817100000001</v>
      </c>
      <c r="F82" s="43">
        <v>5080.6979999999994</v>
      </c>
      <c r="G82" s="43">
        <v>1969.1188100000002</v>
      </c>
      <c r="H82" s="43"/>
      <c r="I82" s="43">
        <v>4989.5340500000011</v>
      </c>
      <c r="J82" s="44">
        <v>26283.26484</v>
      </c>
      <c r="K82" s="55"/>
      <c r="L82" s="43">
        <v>3.9780000000000002</v>
      </c>
    </row>
    <row r="83" spans="1:12" ht="12.75" customHeight="1" x14ac:dyDescent="0.25">
      <c r="A83" s="42">
        <v>2009</v>
      </c>
      <c r="B83" s="42" t="s">
        <v>14</v>
      </c>
      <c r="C83" s="43">
        <v>7135.4555799999989</v>
      </c>
      <c r="D83" s="43">
        <v>3674.7186799999999</v>
      </c>
      <c r="E83" s="43">
        <v>2830.9893399999996</v>
      </c>
      <c r="F83" s="43">
        <v>4249.7029599999996</v>
      </c>
      <c r="G83" s="43">
        <v>1693.76647</v>
      </c>
      <c r="H83" s="43"/>
      <c r="I83" s="43">
        <v>4801.5538299999998</v>
      </c>
      <c r="J83" s="44">
        <v>24386.186859999998</v>
      </c>
      <c r="K83" s="55"/>
      <c r="L83" s="43">
        <v>3.0310000000000001</v>
      </c>
    </row>
    <row r="84" spans="1:12" ht="12.75" customHeight="1" x14ac:dyDescent="0.25">
      <c r="A84" s="42">
        <v>2009</v>
      </c>
      <c r="B84" s="42" t="s">
        <v>15</v>
      </c>
      <c r="C84" s="43">
        <v>72392.028059999997</v>
      </c>
      <c r="D84" s="43">
        <v>50180.326509999999</v>
      </c>
      <c r="E84" s="43">
        <v>43161.978730000003</v>
      </c>
      <c r="F84" s="43">
        <v>58540.07028</v>
      </c>
      <c r="G84" s="43">
        <v>15877.807249999998</v>
      </c>
      <c r="H84" s="43"/>
      <c r="I84" s="43">
        <v>65507.253579999997</v>
      </c>
      <c r="J84" s="44">
        <v>305659.46441000002</v>
      </c>
      <c r="K84" s="55"/>
      <c r="L84" s="43">
        <v>69.400579999999991</v>
      </c>
    </row>
    <row r="85" spans="1:12" ht="12.75" customHeight="1" x14ac:dyDescent="0.25">
      <c r="A85" s="42">
        <v>2010</v>
      </c>
      <c r="B85" s="42" t="s">
        <v>3</v>
      </c>
      <c r="C85" s="43">
        <v>8141.2801099999997</v>
      </c>
      <c r="D85" s="43">
        <v>5334.475739999999</v>
      </c>
      <c r="E85" s="43">
        <v>2536.3706700000002</v>
      </c>
      <c r="F85" s="43">
        <v>5507.4741599999998</v>
      </c>
      <c r="G85" s="43">
        <v>860.22933999999998</v>
      </c>
      <c r="H85" s="43"/>
      <c r="I85" s="43">
        <v>5862.3977300000006</v>
      </c>
      <c r="J85" s="44">
        <v>28242.227749999998</v>
      </c>
      <c r="K85" s="55"/>
      <c r="L85" s="43">
        <v>0.29799999999999999</v>
      </c>
    </row>
    <row r="86" spans="1:12" ht="12.75" customHeight="1" x14ac:dyDescent="0.25">
      <c r="A86" s="42">
        <v>2010</v>
      </c>
      <c r="B86" s="42" t="s">
        <v>4</v>
      </c>
      <c r="C86" s="43">
        <v>6481.6444300000003</v>
      </c>
      <c r="D86" s="43">
        <v>4640.9733200000001</v>
      </c>
      <c r="E86" s="43">
        <v>2838.3777399999999</v>
      </c>
      <c r="F86" s="43">
        <v>5400.7166299999999</v>
      </c>
      <c r="G86" s="43">
        <v>859.89614000000006</v>
      </c>
      <c r="H86" s="43"/>
      <c r="I86" s="43">
        <v>3525.4185299999999</v>
      </c>
      <c r="J86" s="44">
        <v>23747.02679</v>
      </c>
      <c r="K86" s="55"/>
      <c r="L86" s="43">
        <v>0</v>
      </c>
    </row>
    <row r="87" spans="1:12" ht="12.75" customHeight="1" x14ac:dyDescent="0.25">
      <c r="A87" s="42">
        <v>2010</v>
      </c>
      <c r="B87" s="42" t="s">
        <v>5</v>
      </c>
      <c r="C87" s="43">
        <v>5921.7294699999993</v>
      </c>
      <c r="D87" s="43">
        <v>3086.70685</v>
      </c>
      <c r="E87" s="43">
        <v>3016.2584999999999</v>
      </c>
      <c r="F87" s="43">
        <v>6148.9289900000012</v>
      </c>
      <c r="G87" s="43">
        <v>1655.4656400000001</v>
      </c>
      <c r="H87" s="43"/>
      <c r="I87" s="43">
        <v>5340.4489000000003</v>
      </c>
      <c r="J87" s="44">
        <v>25169.538349999999</v>
      </c>
      <c r="K87" s="55"/>
      <c r="L87" s="43">
        <v>0</v>
      </c>
    </row>
    <row r="88" spans="1:12" ht="12.75" customHeight="1" x14ac:dyDescent="0.25">
      <c r="A88" s="42">
        <v>2010</v>
      </c>
      <c r="B88" s="42" t="s">
        <v>6</v>
      </c>
      <c r="C88" s="43">
        <v>6343.5310300000001</v>
      </c>
      <c r="D88" s="43">
        <v>5073.2426899999991</v>
      </c>
      <c r="E88" s="43">
        <v>3657.6238499999999</v>
      </c>
      <c r="F88" s="43">
        <v>4661.6735499999995</v>
      </c>
      <c r="G88" s="43">
        <v>1718.7552800000001</v>
      </c>
      <c r="H88" s="43"/>
      <c r="I88" s="43">
        <v>3819.6762899999999</v>
      </c>
      <c r="J88" s="44">
        <v>25274.502690000001</v>
      </c>
      <c r="K88" s="55"/>
      <c r="L88" s="43">
        <v>0</v>
      </c>
    </row>
    <row r="89" spans="1:12" ht="12.75" customHeight="1" x14ac:dyDescent="0.25">
      <c r="A89" s="42">
        <v>2010</v>
      </c>
      <c r="B89" s="42" t="s">
        <v>7</v>
      </c>
      <c r="C89" s="43">
        <v>6068.3296499999997</v>
      </c>
      <c r="D89" s="43">
        <v>3721.2661400000002</v>
      </c>
      <c r="E89" s="43">
        <v>2360.7978399999997</v>
      </c>
      <c r="F89" s="43">
        <v>6596.7037200000004</v>
      </c>
      <c r="G89" s="43">
        <v>1743.4204099999999</v>
      </c>
      <c r="H89" s="43"/>
      <c r="I89" s="43">
        <v>4543.3475599999992</v>
      </c>
      <c r="J89" s="44">
        <v>25033.865319999997</v>
      </c>
      <c r="K89" s="55"/>
      <c r="L89" s="43">
        <v>0</v>
      </c>
    </row>
    <row r="90" spans="1:12" ht="12.75" customHeight="1" x14ac:dyDescent="0.25">
      <c r="A90" s="42">
        <v>2010</v>
      </c>
      <c r="B90" s="42" t="s">
        <v>8</v>
      </c>
      <c r="C90" s="43">
        <v>5302.1661599999998</v>
      </c>
      <c r="D90" s="43">
        <v>3670.1806699999997</v>
      </c>
      <c r="E90" s="43">
        <v>3540.2904899999999</v>
      </c>
      <c r="F90" s="43">
        <v>7531.017780000001</v>
      </c>
      <c r="G90" s="43">
        <v>1682.0286299999998</v>
      </c>
      <c r="H90" s="43"/>
      <c r="I90" s="43">
        <v>5081.2894200000001</v>
      </c>
      <c r="J90" s="44">
        <v>26806.973150000002</v>
      </c>
      <c r="K90" s="55"/>
      <c r="L90" s="43">
        <v>0</v>
      </c>
    </row>
    <row r="91" spans="1:12" ht="12.75" customHeight="1" x14ac:dyDescent="0.25">
      <c r="A91" s="42">
        <v>2010</v>
      </c>
      <c r="B91" s="42" t="s">
        <v>9</v>
      </c>
      <c r="C91" s="43">
        <v>5627.7671700000001</v>
      </c>
      <c r="D91" s="43">
        <v>5550.1206700000002</v>
      </c>
      <c r="E91" s="43">
        <v>4104.1088999999993</v>
      </c>
      <c r="F91" s="43">
        <v>6010.7552299999998</v>
      </c>
      <c r="G91" s="43">
        <v>1390.8281200000001</v>
      </c>
      <c r="H91" s="43"/>
      <c r="I91" s="43">
        <v>4370.78953</v>
      </c>
      <c r="J91" s="44">
        <v>27054.369619999998</v>
      </c>
      <c r="K91" s="55"/>
      <c r="L91" s="43">
        <v>0</v>
      </c>
    </row>
    <row r="92" spans="1:12" ht="12.75" customHeight="1" x14ac:dyDescent="0.25">
      <c r="A92" s="42">
        <v>2010</v>
      </c>
      <c r="B92" s="42" t="s">
        <v>10</v>
      </c>
      <c r="C92" s="43">
        <v>6246.0020799999993</v>
      </c>
      <c r="D92" s="43">
        <v>4460.0437000000002</v>
      </c>
      <c r="E92" s="43">
        <v>3475.3101999999999</v>
      </c>
      <c r="F92" s="43">
        <v>5659.7289199999996</v>
      </c>
      <c r="G92" s="43">
        <v>1790.8079700000003</v>
      </c>
      <c r="H92" s="43"/>
      <c r="I92" s="43">
        <v>4973.8722900000002</v>
      </c>
      <c r="J92" s="44">
        <v>26605.765160000003</v>
      </c>
      <c r="K92" s="55"/>
      <c r="L92" s="43">
        <v>0</v>
      </c>
    </row>
    <row r="93" spans="1:12" ht="12.75" customHeight="1" x14ac:dyDescent="0.25">
      <c r="A93" s="42">
        <v>2010</v>
      </c>
      <c r="B93" s="42" t="s">
        <v>11</v>
      </c>
      <c r="C93" s="43">
        <v>5728.4138799999992</v>
      </c>
      <c r="D93" s="43">
        <v>4439.532470000001</v>
      </c>
      <c r="E93" s="43">
        <v>3565.02666</v>
      </c>
      <c r="F93" s="43">
        <v>5220.1423299999997</v>
      </c>
      <c r="G93" s="43">
        <v>2621.97568</v>
      </c>
      <c r="H93" s="43"/>
      <c r="I93" s="43">
        <v>4309.3660300000001</v>
      </c>
      <c r="J93" s="44">
        <v>25884.457050000001</v>
      </c>
      <c r="K93" s="55"/>
      <c r="L93" s="43">
        <v>0</v>
      </c>
    </row>
    <row r="94" spans="1:12" ht="12.75" customHeight="1" x14ac:dyDescent="0.25">
      <c r="A94" s="42">
        <v>2010</v>
      </c>
      <c r="B94" s="42" t="s">
        <v>12</v>
      </c>
      <c r="C94" s="43">
        <v>7937.9117899999992</v>
      </c>
      <c r="D94" s="43">
        <v>3495.4304099999999</v>
      </c>
      <c r="E94" s="43">
        <v>2681.94508</v>
      </c>
      <c r="F94" s="43">
        <v>5679.5823500000006</v>
      </c>
      <c r="G94" s="43">
        <v>1918.6904199999999</v>
      </c>
      <c r="H94" s="43"/>
      <c r="I94" s="43">
        <v>4524.5857800000003</v>
      </c>
      <c r="J94" s="44">
        <v>26238.145830000001</v>
      </c>
      <c r="K94" s="55"/>
      <c r="L94" s="43">
        <v>0</v>
      </c>
    </row>
    <row r="95" spans="1:12" ht="12.75" customHeight="1" x14ac:dyDescent="0.25">
      <c r="A95" s="42">
        <v>2010</v>
      </c>
      <c r="B95" s="42" t="s">
        <v>13</v>
      </c>
      <c r="C95" s="43">
        <v>10130.084600000002</v>
      </c>
      <c r="D95" s="43">
        <v>1858.5520100000001</v>
      </c>
      <c r="E95" s="43">
        <v>4974.4790700000003</v>
      </c>
      <c r="F95" s="43">
        <v>4271.4008599999997</v>
      </c>
      <c r="G95" s="43">
        <v>844.43436999999994</v>
      </c>
      <c r="H95" s="43"/>
      <c r="I95" s="43">
        <v>4272.81945</v>
      </c>
      <c r="J95" s="44">
        <v>26351.770360000002</v>
      </c>
      <c r="K95" s="55"/>
      <c r="L95" s="43">
        <v>0</v>
      </c>
    </row>
    <row r="96" spans="1:12" ht="12.75" customHeight="1" x14ac:dyDescent="0.25">
      <c r="A96" s="42">
        <v>2010</v>
      </c>
      <c r="B96" s="42" t="s">
        <v>14</v>
      </c>
      <c r="C96" s="43">
        <v>5820.71983</v>
      </c>
      <c r="D96" s="43">
        <v>3542.1180300000001</v>
      </c>
      <c r="E96" s="43">
        <v>4537.4743899999994</v>
      </c>
      <c r="F96" s="43">
        <v>7099.6891800000003</v>
      </c>
      <c r="G96" s="43">
        <v>1362.1640500000001</v>
      </c>
      <c r="H96" s="43"/>
      <c r="I96" s="43">
        <v>4133.6845899999998</v>
      </c>
      <c r="J96" s="44">
        <v>26495.85007</v>
      </c>
      <c r="K96" s="55"/>
      <c r="L96" s="43">
        <v>0</v>
      </c>
    </row>
    <row r="97" spans="1:12" ht="12.75" customHeight="1" x14ac:dyDescent="0.25">
      <c r="A97" s="42">
        <v>2010</v>
      </c>
      <c r="B97" s="42" t="s">
        <v>15</v>
      </c>
      <c r="C97" s="43">
        <v>79749.580199999997</v>
      </c>
      <c r="D97" s="43">
        <v>48872.642699999997</v>
      </c>
      <c r="E97" s="43">
        <v>41288.063389999996</v>
      </c>
      <c r="F97" s="43">
        <v>69787.813699999999</v>
      </c>
      <c r="G97" s="43">
        <v>18448.696049999999</v>
      </c>
      <c r="H97" s="43"/>
      <c r="I97" s="43">
        <v>54757.696099999994</v>
      </c>
      <c r="J97" s="44">
        <v>312904.49213999999</v>
      </c>
      <c r="K97" s="55"/>
      <c r="L97" s="43">
        <v>0.29799999999999999</v>
      </c>
    </row>
    <row r="98" spans="1:12" ht="12.75" customHeight="1" x14ac:dyDescent="0.25">
      <c r="A98" s="42">
        <v>2011</v>
      </c>
      <c r="B98" s="42" t="s">
        <v>3</v>
      </c>
      <c r="C98" s="43">
        <v>7165.4788999999992</v>
      </c>
      <c r="D98" s="43">
        <v>2568.1810699999996</v>
      </c>
      <c r="E98" s="43">
        <v>3670.45075</v>
      </c>
      <c r="F98" s="43">
        <v>7869.4579300000014</v>
      </c>
      <c r="G98" s="43">
        <v>1642.08626</v>
      </c>
      <c r="H98" s="43"/>
      <c r="I98" s="43">
        <v>3340.8909399999998</v>
      </c>
      <c r="J98" s="44">
        <v>26256.545850000002</v>
      </c>
      <c r="K98" s="55"/>
      <c r="L98" s="43">
        <v>0</v>
      </c>
    </row>
    <row r="99" spans="1:12" ht="12.75" customHeight="1" x14ac:dyDescent="0.25">
      <c r="A99" s="42">
        <v>2011</v>
      </c>
      <c r="B99" s="42" t="s">
        <v>4</v>
      </c>
      <c r="C99" s="43">
        <v>6719.9079599999986</v>
      </c>
      <c r="D99" s="43">
        <v>2737.8206099999998</v>
      </c>
      <c r="E99" s="43">
        <v>2686.8740299999999</v>
      </c>
      <c r="F99" s="43">
        <v>6506.6884600000003</v>
      </c>
      <c r="G99" s="43">
        <v>1288.8381299999999</v>
      </c>
      <c r="H99" s="43"/>
      <c r="I99" s="43">
        <v>4254.1123900000002</v>
      </c>
      <c r="J99" s="44">
        <v>24194.241580000002</v>
      </c>
      <c r="K99" s="55"/>
      <c r="L99" s="43">
        <v>0</v>
      </c>
    </row>
    <row r="100" spans="1:12" ht="12.75" customHeight="1" x14ac:dyDescent="0.25">
      <c r="A100" s="42">
        <v>2011</v>
      </c>
      <c r="B100" s="42" t="s">
        <v>5</v>
      </c>
      <c r="C100" s="43">
        <v>5507.7218899999998</v>
      </c>
      <c r="D100" s="43">
        <v>2600.7343400000004</v>
      </c>
      <c r="E100" s="43">
        <v>4246.4040199999999</v>
      </c>
      <c r="F100" s="43">
        <v>6184.4880299999995</v>
      </c>
      <c r="G100" s="43">
        <v>1723.68956</v>
      </c>
      <c r="H100" s="43"/>
      <c r="I100" s="43">
        <v>4840.8859699999994</v>
      </c>
      <c r="J100" s="44">
        <v>25103.923809999997</v>
      </c>
      <c r="K100" s="55"/>
      <c r="L100" s="43">
        <v>0</v>
      </c>
    </row>
    <row r="101" spans="1:12" ht="12.75" customHeight="1" x14ac:dyDescent="0.25">
      <c r="A101" s="42">
        <v>2011</v>
      </c>
      <c r="B101" s="42" t="s">
        <v>6</v>
      </c>
      <c r="C101" s="43">
        <v>5970.7386799999995</v>
      </c>
      <c r="D101" s="43">
        <v>4026.9747800000005</v>
      </c>
      <c r="E101" s="43">
        <v>2526.4284600000001</v>
      </c>
      <c r="F101" s="43">
        <v>5254.897899999999</v>
      </c>
      <c r="G101" s="43">
        <v>1630.38653</v>
      </c>
      <c r="H101" s="43"/>
      <c r="I101" s="43">
        <v>3662.5372299999999</v>
      </c>
      <c r="J101" s="44">
        <v>23071.963579999996</v>
      </c>
      <c r="K101" s="55"/>
      <c r="L101" s="43">
        <v>0</v>
      </c>
    </row>
    <row r="102" spans="1:12" ht="12.75" customHeight="1" x14ac:dyDescent="0.25">
      <c r="A102" s="42">
        <v>2011</v>
      </c>
      <c r="B102" s="42" t="s">
        <v>7</v>
      </c>
      <c r="C102" s="43">
        <v>4855.1181500000002</v>
      </c>
      <c r="D102" s="43">
        <v>3475.3501000000001</v>
      </c>
      <c r="E102" s="43">
        <v>3005.8989200000001</v>
      </c>
      <c r="F102" s="43">
        <v>4001.0137499999996</v>
      </c>
      <c r="G102" s="43">
        <v>2070.7050899999999</v>
      </c>
      <c r="H102" s="43"/>
      <c r="I102" s="43">
        <v>4285.9983700000003</v>
      </c>
      <c r="J102" s="44">
        <v>21694.08438</v>
      </c>
      <c r="K102" s="55"/>
      <c r="L102" s="43">
        <v>1.835</v>
      </c>
    </row>
    <row r="103" spans="1:12" ht="12.75" customHeight="1" x14ac:dyDescent="0.25">
      <c r="A103" s="42">
        <v>2011</v>
      </c>
      <c r="B103" s="42" t="s">
        <v>8</v>
      </c>
      <c r="C103" s="43">
        <v>3461.6853499999997</v>
      </c>
      <c r="D103" s="43">
        <v>4528.7484800000002</v>
      </c>
      <c r="E103" s="43">
        <v>2838.64725</v>
      </c>
      <c r="F103" s="43">
        <v>5024.6821799999998</v>
      </c>
      <c r="G103" s="43">
        <v>873.95258999999999</v>
      </c>
      <c r="H103" s="43"/>
      <c r="I103" s="43">
        <v>3244.0870499999996</v>
      </c>
      <c r="J103" s="44">
        <v>19971.802899999999</v>
      </c>
      <c r="K103" s="55"/>
      <c r="L103" s="43">
        <v>3.7109999999999999</v>
      </c>
    </row>
    <row r="104" spans="1:12" ht="12.75" customHeight="1" x14ac:dyDescent="0.25">
      <c r="A104" s="42">
        <v>2011</v>
      </c>
      <c r="B104" s="42" t="s">
        <v>9</v>
      </c>
      <c r="C104" s="43">
        <v>7019.95453</v>
      </c>
      <c r="D104" s="43">
        <v>2023.51872</v>
      </c>
      <c r="E104" s="43">
        <v>2230.4444800000001</v>
      </c>
      <c r="F104" s="43">
        <v>3183.0685899999999</v>
      </c>
      <c r="G104" s="43">
        <v>1276.9522199999999</v>
      </c>
      <c r="H104" s="43"/>
      <c r="I104" s="43">
        <v>3626.1275799999999</v>
      </c>
      <c r="J104" s="44">
        <v>19360.06612</v>
      </c>
      <c r="K104" s="55"/>
      <c r="L104" s="43">
        <v>7.0330000000000004</v>
      </c>
    </row>
    <row r="105" spans="1:12" ht="12.75" customHeight="1" x14ac:dyDescent="0.25">
      <c r="A105" s="42">
        <v>2011</v>
      </c>
      <c r="B105" s="42" t="s">
        <v>10</v>
      </c>
      <c r="C105" s="43">
        <v>3519.8914799999998</v>
      </c>
      <c r="D105" s="43">
        <v>4148.9974099999999</v>
      </c>
      <c r="E105" s="43">
        <v>3879.1399100000003</v>
      </c>
      <c r="F105" s="43">
        <v>6099.2620600000009</v>
      </c>
      <c r="G105" s="43">
        <v>1750.7414699999999</v>
      </c>
      <c r="H105" s="43"/>
      <c r="I105" s="43">
        <v>3207.2433700000001</v>
      </c>
      <c r="J105" s="44">
        <v>22605.275700000002</v>
      </c>
      <c r="K105" s="55"/>
      <c r="L105" s="43">
        <v>30.291</v>
      </c>
    </row>
    <row r="106" spans="1:12" ht="12.75" customHeight="1" x14ac:dyDescent="0.25">
      <c r="A106" s="42">
        <v>2011</v>
      </c>
      <c r="B106" s="42" t="s">
        <v>11</v>
      </c>
      <c r="C106" s="43">
        <v>4144.9437799999996</v>
      </c>
      <c r="D106" s="43">
        <v>2730.9541899999999</v>
      </c>
      <c r="E106" s="43">
        <v>2962.9080800000002</v>
      </c>
      <c r="F106" s="43">
        <v>3486.3930800000003</v>
      </c>
      <c r="G106" s="43">
        <v>2853.59204</v>
      </c>
      <c r="H106" s="43"/>
      <c r="I106" s="43">
        <v>3294.9675700000003</v>
      </c>
      <c r="J106" s="44">
        <v>19473.758739999997</v>
      </c>
      <c r="K106" s="55"/>
      <c r="L106" s="43">
        <v>22.169</v>
      </c>
    </row>
    <row r="107" spans="1:12" ht="12.75" customHeight="1" x14ac:dyDescent="0.25">
      <c r="A107" s="42">
        <v>2011</v>
      </c>
      <c r="B107" s="42" t="s">
        <v>12</v>
      </c>
      <c r="C107" s="43">
        <v>2375.2358399999998</v>
      </c>
      <c r="D107" s="43">
        <v>3903.9907299999995</v>
      </c>
      <c r="E107" s="43">
        <v>2588.8298600000003</v>
      </c>
      <c r="F107" s="43">
        <v>6695.6948100000009</v>
      </c>
      <c r="G107" s="43">
        <v>1639.6066800000001</v>
      </c>
      <c r="H107" s="43"/>
      <c r="I107" s="43">
        <v>3177.25441</v>
      </c>
      <c r="J107" s="44">
        <v>20380.61233</v>
      </c>
      <c r="K107" s="55"/>
      <c r="L107" s="43">
        <v>7.5220000000000002</v>
      </c>
    </row>
    <row r="108" spans="1:12" ht="12.75" customHeight="1" x14ac:dyDescent="0.25">
      <c r="A108" s="42">
        <v>2011</v>
      </c>
      <c r="B108" s="42" t="s">
        <v>13</v>
      </c>
      <c r="C108" s="43">
        <v>5640.4400500000002</v>
      </c>
      <c r="D108" s="43">
        <v>2622.6789199999998</v>
      </c>
      <c r="E108" s="43">
        <v>4813.664670000001</v>
      </c>
      <c r="F108" s="43">
        <v>3501.6053899999997</v>
      </c>
      <c r="G108" s="43">
        <v>2020.14858</v>
      </c>
      <c r="H108" s="43"/>
      <c r="I108" s="43">
        <v>3369.5931999999998</v>
      </c>
      <c r="J108" s="44">
        <v>21968.130810000002</v>
      </c>
      <c r="K108" s="55"/>
      <c r="L108" s="43">
        <v>2.9060000000000001</v>
      </c>
    </row>
    <row r="109" spans="1:12" ht="12.75" customHeight="1" x14ac:dyDescent="0.25">
      <c r="A109" s="42">
        <v>2011</v>
      </c>
      <c r="B109" s="42" t="s">
        <v>14</v>
      </c>
      <c r="C109" s="43">
        <v>4201.1178099999997</v>
      </c>
      <c r="D109" s="43">
        <v>2631.1735900000003</v>
      </c>
      <c r="E109" s="43">
        <v>2854.6729799999998</v>
      </c>
      <c r="F109" s="43">
        <v>5219.2203200000004</v>
      </c>
      <c r="G109" s="43">
        <v>2706.1234000000004</v>
      </c>
      <c r="H109" s="43"/>
      <c r="I109" s="43">
        <v>3661.68813</v>
      </c>
      <c r="J109" s="44">
        <v>21273.996230000001</v>
      </c>
      <c r="K109" s="55"/>
      <c r="L109" s="43">
        <v>0.625</v>
      </c>
    </row>
    <row r="110" spans="1:12" ht="12.75" customHeight="1" x14ac:dyDescent="0.25">
      <c r="A110" s="42">
        <v>2011</v>
      </c>
      <c r="B110" s="42" t="s">
        <v>15</v>
      </c>
      <c r="C110" s="43">
        <v>60582.234419999993</v>
      </c>
      <c r="D110" s="43">
        <v>37999.122939999994</v>
      </c>
      <c r="E110" s="43">
        <v>38304.363410000005</v>
      </c>
      <c r="F110" s="43">
        <v>63026.472500000003</v>
      </c>
      <c r="G110" s="43">
        <v>21476.822550000001</v>
      </c>
      <c r="H110" s="43"/>
      <c r="I110" s="43">
        <v>43965.386210000004</v>
      </c>
      <c r="J110" s="44">
        <v>265354.40203000006</v>
      </c>
      <c r="K110" s="55"/>
      <c r="L110" s="43">
        <v>76.092000000000013</v>
      </c>
    </row>
    <row r="111" spans="1:12" ht="12.75" customHeight="1" x14ac:dyDescent="0.25">
      <c r="A111" s="42">
        <v>2012</v>
      </c>
      <c r="B111" s="42" t="s">
        <v>3</v>
      </c>
      <c r="C111" s="43">
        <v>4995.1246800000008</v>
      </c>
      <c r="D111" s="43">
        <v>3824.6898700000002</v>
      </c>
      <c r="E111" s="43">
        <v>3284.7352100000003</v>
      </c>
      <c r="F111" s="43">
        <v>5591.1125200000015</v>
      </c>
      <c r="G111" s="43">
        <v>777.31393999999989</v>
      </c>
      <c r="H111" s="43"/>
      <c r="I111" s="43">
        <v>2907.8721499999997</v>
      </c>
      <c r="J111" s="44">
        <v>21380.848370000003</v>
      </c>
      <c r="K111" s="55"/>
      <c r="L111" s="43">
        <v>0</v>
      </c>
    </row>
    <row r="112" spans="1:12" ht="12.75" customHeight="1" x14ac:dyDescent="0.25">
      <c r="A112" s="42">
        <v>2012</v>
      </c>
      <c r="B112" s="42" t="s">
        <v>4</v>
      </c>
      <c r="C112" s="43">
        <v>6371.9940200000001</v>
      </c>
      <c r="D112" s="43">
        <v>2871.37012</v>
      </c>
      <c r="E112" s="43">
        <v>2451.2644799999994</v>
      </c>
      <c r="F112" s="43">
        <v>4808.9367899999997</v>
      </c>
      <c r="G112" s="43">
        <v>1845.3665800000001</v>
      </c>
      <c r="H112" s="43"/>
      <c r="I112" s="43">
        <v>3752.4722800000004</v>
      </c>
      <c r="J112" s="44">
        <v>22101.404270000003</v>
      </c>
      <c r="K112" s="55"/>
      <c r="L112" s="43">
        <v>0</v>
      </c>
    </row>
    <row r="113" spans="1:12" ht="12.75" customHeight="1" x14ac:dyDescent="0.25">
      <c r="A113" s="42">
        <v>2012</v>
      </c>
      <c r="B113" s="42" t="s">
        <v>5</v>
      </c>
      <c r="C113" s="43">
        <v>4483.6049199999998</v>
      </c>
      <c r="D113" s="43">
        <v>3849.2690900000002</v>
      </c>
      <c r="E113" s="43">
        <v>4474.5300199999992</v>
      </c>
      <c r="F113" s="43">
        <v>3780.5591300000001</v>
      </c>
      <c r="G113" s="43">
        <v>1611.8226400000001</v>
      </c>
      <c r="H113" s="43"/>
      <c r="I113" s="43">
        <v>935.86827000000005</v>
      </c>
      <c r="J113" s="44">
        <v>19135.654069999997</v>
      </c>
      <c r="K113" s="55"/>
      <c r="L113" s="43">
        <v>0</v>
      </c>
    </row>
    <row r="114" spans="1:12" ht="12.75" customHeight="1" x14ac:dyDescent="0.25">
      <c r="A114" s="42">
        <v>2012</v>
      </c>
      <c r="B114" s="42" t="s">
        <v>6</v>
      </c>
      <c r="C114" s="43">
        <v>6656.9780100000007</v>
      </c>
      <c r="D114" s="43">
        <v>2873.16966</v>
      </c>
      <c r="E114" s="43">
        <v>2603.7315400000002</v>
      </c>
      <c r="F114" s="43">
        <v>3459.3078400000004</v>
      </c>
      <c r="G114" s="43">
        <v>2757.5142600000004</v>
      </c>
      <c r="H114" s="43"/>
      <c r="I114" s="43">
        <v>3193.0106499999997</v>
      </c>
      <c r="J114" s="44">
        <v>21543.711960000001</v>
      </c>
      <c r="K114" s="55"/>
      <c r="L114" s="43">
        <v>0</v>
      </c>
    </row>
    <row r="115" spans="1:12" ht="12.75" customHeight="1" x14ac:dyDescent="0.25">
      <c r="A115" s="42">
        <v>2012</v>
      </c>
      <c r="B115" s="42" t="s">
        <v>7</v>
      </c>
      <c r="C115" s="43">
        <v>4247.2801099999997</v>
      </c>
      <c r="D115" s="43">
        <v>3318.67317</v>
      </c>
      <c r="E115" s="43">
        <v>3862.1385499999997</v>
      </c>
      <c r="F115" s="43">
        <v>4312.2425700000003</v>
      </c>
      <c r="G115" s="43">
        <v>1645.1714099999999</v>
      </c>
      <c r="H115" s="43"/>
      <c r="I115" s="43">
        <v>1836.4950800000001</v>
      </c>
      <c r="J115" s="44">
        <v>19222.000889999999</v>
      </c>
      <c r="K115" s="55"/>
      <c r="L115" s="43">
        <v>0</v>
      </c>
    </row>
    <row r="116" spans="1:12" ht="12.75" customHeight="1" x14ac:dyDescent="0.25">
      <c r="A116" s="42">
        <v>2012</v>
      </c>
      <c r="B116" s="42" t="s">
        <v>8</v>
      </c>
      <c r="C116" s="43">
        <v>3896.04891</v>
      </c>
      <c r="D116" s="43">
        <v>2639.9464600000001</v>
      </c>
      <c r="E116" s="43">
        <v>1767.0582399999998</v>
      </c>
      <c r="F116" s="43">
        <v>3668.7957099999999</v>
      </c>
      <c r="G116" s="43">
        <v>2048.1775100000004</v>
      </c>
      <c r="H116" s="43"/>
      <c r="I116" s="43">
        <v>1938.88923</v>
      </c>
      <c r="J116" s="44">
        <v>15958.916060000003</v>
      </c>
      <c r="K116" s="55"/>
      <c r="L116" s="43">
        <v>0</v>
      </c>
    </row>
    <row r="117" spans="1:12" ht="12.75" customHeight="1" x14ac:dyDescent="0.25">
      <c r="A117" s="42">
        <v>2012</v>
      </c>
      <c r="B117" s="42" t="s">
        <v>9</v>
      </c>
      <c r="C117" s="43">
        <v>4108.4217699999999</v>
      </c>
      <c r="D117" s="43">
        <v>3728.5779700000003</v>
      </c>
      <c r="E117" s="43">
        <v>4047.0869099999995</v>
      </c>
      <c r="F117" s="43">
        <v>3968.4750400000003</v>
      </c>
      <c r="G117" s="43">
        <v>979.89031999999997</v>
      </c>
      <c r="H117" s="43"/>
      <c r="I117" s="43">
        <v>2420.8820099999998</v>
      </c>
      <c r="J117" s="44">
        <v>19253.334019999998</v>
      </c>
      <c r="K117" s="55"/>
      <c r="L117" s="43">
        <v>0</v>
      </c>
    </row>
    <row r="118" spans="1:12" ht="12.75" customHeight="1" x14ac:dyDescent="0.25">
      <c r="A118" s="42">
        <v>2012</v>
      </c>
      <c r="B118" s="42" t="s">
        <v>10</v>
      </c>
      <c r="C118" s="43">
        <v>6146.1406099999995</v>
      </c>
      <c r="D118" s="43">
        <v>4632.8186100000003</v>
      </c>
      <c r="E118" s="43">
        <v>2920.1639100000002</v>
      </c>
      <c r="F118" s="43">
        <v>3625.3247500000002</v>
      </c>
      <c r="G118" s="43">
        <v>2660.9378900000002</v>
      </c>
      <c r="H118" s="43"/>
      <c r="I118" s="43">
        <v>3228.1201900000001</v>
      </c>
      <c r="J118" s="44">
        <v>23213.505960000002</v>
      </c>
      <c r="K118" s="55"/>
      <c r="L118" s="43">
        <v>0</v>
      </c>
    </row>
    <row r="119" spans="1:12" ht="12.75" customHeight="1" x14ac:dyDescent="0.25">
      <c r="A119" s="42">
        <v>2012</v>
      </c>
      <c r="B119" s="42" t="s">
        <v>11</v>
      </c>
      <c r="C119" s="43">
        <v>5145.5370500000008</v>
      </c>
      <c r="D119" s="43">
        <v>3718.1675700000005</v>
      </c>
      <c r="E119" s="43">
        <v>3098.7027200000002</v>
      </c>
      <c r="F119" s="43">
        <v>5273.195819999999</v>
      </c>
      <c r="G119" s="43">
        <v>866.82851000000005</v>
      </c>
      <c r="H119" s="43"/>
      <c r="I119" s="43">
        <v>1310.7717</v>
      </c>
      <c r="J119" s="44">
        <v>19413.203369999999</v>
      </c>
      <c r="K119" s="55"/>
      <c r="L119" s="43">
        <v>0</v>
      </c>
    </row>
    <row r="120" spans="1:12" ht="12.75" customHeight="1" x14ac:dyDescent="0.25">
      <c r="A120" s="42">
        <v>2012</v>
      </c>
      <c r="B120" s="42" t="s">
        <v>12</v>
      </c>
      <c r="C120" s="43">
        <v>4217.5585999999994</v>
      </c>
      <c r="D120" s="43">
        <v>1722.22927</v>
      </c>
      <c r="E120" s="43">
        <v>3712.98135</v>
      </c>
      <c r="F120" s="43">
        <v>3055.3895000000002</v>
      </c>
      <c r="G120" s="43">
        <v>2396.3999199999998</v>
      </c>
      <c r="H120" s="43"/>
      <c r="I120" s="43">
        <v>3682.9119500000002</v>
      </c>
      <c r="J120" s="44">
        <v>18787.470590000001</v>
      </c>
      <c r="K120" s="55"/>
      <c r="L120" s="43">
        <v>0</v>
      </c>
    </row>
    <row r="121" spans="1:12" ht="12.75" customHeight="1" x14ac:dyDescent="0.25">
      <c r="A121" s="42">
        <v>2012</v>
      </c>
      <c r="B121" s="42" t="s">
        <v>13</v>
      </c>
      <c r="C121" s="43">
        <v>4035.6546400000002</v>
      </c>
      <c r="D121" s="43">
        <v>4039.2579400000004</v>
      </c>
      <c r="E121" s="43">
        <v>2257.7311500000001</v>
      </c>
      <c r="F121" s="43">
        <v>2624.7846800000002</v>
      </c>
      <c r="G121" s="43">
        <v>2023.80133</v>
      </c>
      <c r="H121" s="43"/>
      <c r="I121" s="43">
        <v>2555.7316000000001</v>
      </c>
      <c r="J121" s="44">
        <v>17536.961340000002</v>
      </c>
      <c r="K121" s="55"/>
      <c r="L121" s="43">
        <v>0</v>
      </c>
    </row>
    <row r="122" spans="1:12" ht="12.75" customHeight="1" x14ac:dyDescent="0.25">
      <c r="A122" s="42">
        <v>2012</v>
      </c>
      <c r="B122" s="42" t="s">
        <v>14</v>
      </c>
      <c r="C122" s="43">
        <v>6437.9361400000007</v>
      </c>
      <c r="D122" s="43">
        <v>2874.0560100000002</v>
      </c>
      <c r="E122" s="43">
        <v>3238.5058100000001</v>
      </c>
      <c r="F122" s="43">
        <v>4050.1670099999997</v>
      </c>
      <c r="G122" s="43">
        <v>873.80118000000004</v>
      </c>
      <c r="H122" s="43"/>
      <c r="I122" s="43">
        <v>2707.0367900000001</v>
      </c>
      <c r="J122" s="44">
        <v>20181.502939999998</v>
      </c>
      <c r="K122" s="55"/>
      <c r="L122" s="43">
        <v>0</v>
      </c>
    </row>
    <row r="123" spans="1:12" ht="12.75" customHeight="1" x14ac:dyDescent="0.25">
      <c r="A123" s="42">
        <v>2012</v>
      </c>
      <c r="B123" s="42" t="s">
        <v>15</v>
      </c>
      <c r="C123" s="43">
        <v>60742.279459999998</v>
      </c>
      <c r="D123" s="43">
        <v>40092.225740000002</v>
      </c>
      <c r="E123" s="43">
        <v>37718.629889999997</v>
      </c>
      <c r="F123" s="43">
        <v>48218.291359999996</v>
      </c>
      <c r="G123" s="43">
        <v>20487.025489999996</v>
      </c>
      <c r="H123" s="43"/>
      <c r="I123" s="43">
        <v>30470.061900000008</v>
      </c>
      <c r="J123" s="44">
        <v>237728.51384</v>
      </c>
      <c r="K123" s="55"/>
      <c r="L123" s="43">
        <v>0</v>
      </c>
    </row>
    <row r="124" spans="1:12" ht="12.75" customHeight="1" x14ac:dyDescent="0.25">
      <c r="A124" s="42">
        <v>2013</v>
      </c>
      <c r="B124" s="42" t="s">
        <v>3</v>
      </c>
      <c r="C124" s="43">
        <v>6049.1903700000003</v>
      </c>
      <c r="D124" s="43">
        <v>2635.5460200000002</v>
      </c>
      <c r="E124" s="43">
        <v>1601.3955899999999</v>
      </c>
      <c r="F124" s="43">
        <v>3627.4863100000002</v>
      </c>
      <c r="G124" s="43">
        <v>1672.3426000000002</v>
      </c>
      <c r="H124" s="43"/>
      <c r="I124" s="43">
        <v>1759.8540499999999</v>
      </c>
      <c r="J124" s="44">
        <v>17345.81494</v>
      </c>
      <c r="K124" s="55"/>
      <c r="L124" s="43">
        <v>0</v>
      </c>
    </row>
    <row r="125" spans="1:12" ht="12.75" customHeight="1" x14ac:dyDescent="0.25">
      <c r="A125" s="42">
        <v>2013</v>
      </c>
      <c r="B125" s="42" t="s">
        <v>4</v>
      </c>
      <c r="C125" s="43">
        <v>3351.4343699999999</v>
      </c>
      <c r="D125" s="43">
        <v>2649.6715099999997</v>
      </c>
      <c r="E125" s="43">
        <v>1390.4081899999999</v>
      </c>
      <c r="F125" s="43">
        <v>3850.4810600000001</v>
      </c>
      <c r="G125" s="43">
        <v>1480.9656299999999</v>
      </c>
      <c r="H125" s="43"/>
      <c r="I125" s="43">
        <v>2151.84238</v>
      </c>
      <c r="J125" s="44">
        <v>14874.80314</v>
      </c>
      <c r="K125" s="55"/>
      <c r="L125" s="43">
        <v>0</v>
      </c>
    </row>
    <row r="126" spans="1:12" ht="12.75" customHeight="1" x14ac:dyDescent="0.25">
      <c r="A126" s="42">
        <v>2013</v>
      </c>
      <c r="B126" s="42" t="s">
        <v>5</v>
      </c>
      <c r="C126" s="43">
        <v>2341.1771100000001</v>
      </c>
      <c r="D126" s="43">
        <v>2674.85113</v>
      </c>
      <c r="E126" s="43">
        <v>1644.6720599999999</v>
      </c>
      <c r="F126" s="43">
        <v>3530.8336300000001</v>
      </c>
      <c r="G126" s="43">
        <v>1858.22119</v>
      </c>
      <c r="H126" s="43"/>
      <c r="I126" s="43">
        <v>2325.6390900000001</v>
      </c>
      <c r="J126" s="44">
        <v>14375.39421</v>
      </c>
      <c r="K126" s="55"/>
      <c r="L126" s="43">
        <v>0</v>
      </c>
    </row>
    <row r="127" spans="1:12" ht="12.75" customHeight="1" x14ac:dyDescent="0.25">
      <c r="A127" s="42">
        <v>2013</v>
      </c>
      <c r="B127" s="42" t="s">
        <v>6</v>
      </c>
      <c r="C127" s="43">
        <v>2295.9286099999999</v>
      </c>
      <c r="D127" s="43">
        <v>2510.8612699999999</v>
      </c>
      <c r="E127" s="43">
        <v>2333.1585099999998</v>
      </c>
      <c r="F127" s="43">
        <v>2380.9906299999998</v>
      </c>
      <c r="G127" s="43">
        <v>2228.0683799999997</v>
      </c>
      <c r="H127" s="43"/>
      <c r="I127" s="43">
        <v>1742.75737</v>
      </c>
      <c r="J127" s="44">
        <v>13491.764769999998</v>
      </c>
      <c r="K127" s="55"/>
      <c r="L127" s="43">
        <v>0</v>
      </c>
    </row>
    <row r="128" spans="1:12" ht="12.75" customHeight="1" x14ac:dyDescent="0.25">
      <c r="A128" s="42">
        <v>2013</v>
      </c>
      <c r="B128" s="42" t="s">
        <v>7</v>
      </c>
      <c r="C128" s="43">
        <v>3201.7874100000004</v>
      </c>
      <c r="D128" s="43">
        <v>2663.6062099999999</v>
      </c>
      <c r="E128" s="43">
        <v>919.28849000000002</v>
      </c>
      <c r="F128" s="43">
        <v>1740.3987299999999</v>
      </c>
      <c r="G128" s="43">
        <v>923.45040000000006</v>
      </c>
      <c r="H128" s="43"/>
      <c r="I128" s="43">
        <v>2657.0044900000003</v>
      </c>
      <c r="J128" s="44">
        <v>12105.53573</v>
      </c>
      <c r="K128" s="55"/>
      <c r="L128" s="43">
        <v>0</v>
      </c>
    </row>
    <row r="129" spans="1:12" ht="12.75" customHeight="1" x14ac:dyDescent="0.25">
      <c r="A129" s="42">
        <v>2013</v>
      </c>
      <c r="B129" s="42" t="s">
        <v>8</v>
      </c>
      <c r="C129" s="43">
        <v>3180.7073300000002</v>
      </c>
      <c r="D129" s="43">
        <v>2829.2953399999997</v>
      </c>
      <c r="E129" s="43">
        <v>913.29106999999999</v>
      </c>
      <c r="F129" s="43">
        <v>4045.23792</v>
      </c>
      <c r="G129" s="43">
        <v>821.75807999999995</v>
      </c>
      <c r="H129" s="43"/>
      <c r="I129" s="43">
        <v>2244.1208700000002</v>
      </c>
      <c r="J129" s="44">
        <v>14034.410610000001</v>
      </c>
      <c r="K129" s="55"/>
      <c r="L129" s="43">
        <v>0</v>
      </c>
    </row>
    <row r="130" spans="1:12" ht="12.75" customHeight="1" x14ac:dyDescent="0.25">
      <c r="A130" s="42">
        <v>2013</v>
      </c>
      <c r="B130" s="42" t="s">
        <v>9</v>
      </c>
      <c r="C130" s="43">
        <v>2755.9240999999997</v>
      </c>
      <c r="D130" s="43">
        <v>3946.5297800000003</v>
      </c>
      <c r="E130" s="43">
        <v>916.23589000000004</v>
      </c>
      <c r="F130" s="43">
        <v>1645.3835200000001</v>
      </c>
      <c r="G130" s="43">
        <v>1824.8493999999998</v>
      </c>
      <c r="H130" s="43"/>
      <c r="I130" s="43">
        <v>3034.9423000000002</v>
      </c>
      <c r="J130" s="44">
        <v>14123.86499</v>
      </c>
      <c r="K130" s="55"/>
      <c r="L130" s="43">
        <v>0</v>
      </c>
    </row>
    <row r="131" spans="1:12" ht="12.75" customHeight="1" x14ac:dyDescent="0.25">
      <c r="A131" s="42">
        <v>2013</v>
      </c>
      <c r="B131" s="42" t="s">
        <v>10</v>
      </c>
      <c r="C131" s="43">
        <v>3586.1925899999997</v>
      </c>
      <c r="D131" s="43">
        <v>1949.3406499999999</v>
      </c>
      <c r="E131" s="43">
        <v>2688.5906500000001</v>
      </c>
      <c r="F131" s="43">
        <v>2533.6445799999997</v>
      </c>
      <c r="G131" s="43">
        <v>1766.6309899999999</v>
      </c>
      <c r="H131" s="43"/>
      <c r="I131" s="43">
        <v>2302.7995100000003</v>
      </c>
      <c r="J131" s="44">
        <v>14827.198969999999</v>
      </c>
      <c r="K131" s="55"/>
      <c r="L131" s="43">
        <v>0</v>
      </c>
    </row>
    <row r="132" spans="1:12" ht="12.75" customHeight="1" x14ac:dyDescent="0.25">
      <c r="A132" s="42">
        <v>2013</v>
      </c>
      <c r="B132" s="42" t="s">
        <v>11</v>
      </c>
      <c r="C132" s="43">
        <v>2311.3784900000001</v>
      </c>
      <c r="D132" s="43">
        <v>1819.2607499999999</v>
      </c>
      <c r="E132" s="43">
        <v>2776.7679500000004</v>
      </c>
      <c r="F132" s="43">
        <v>5304.8789799999995</v>
      </c>
      <c r="G132" s="43">
        <v>1915.6118200000001</v>
      </c>
      <c r="H132" s="43"/>
      <c r="I132" s="43">
        <v>3984.6413899999998</v>
      </c>
      <c r="J132" s="44">
        <v>18112.539379999998</v>
      </c>
      <c r="K132" s="55"/>
      <c r="L132" s="43">
        <v>0</v>
      </c>
    </row>
    <row r="133" spans="1:12" ht="12.75" customHeight="1" x14ac:dyDescent="0.25">
      <c r="A133" s="42">
        <v>2013</v>
      </c>
      <c r="B133" s="42" t="s">
        <v>12</v>
      </c>
      <c r="C133" s="43">
        <v>1780.3470300000001</v>
      </c>
      <c r="D133" s="43">
        <v>1704.1610000000001</v>
      </c>
      <c r="E133" s="43">
        <v>1823.0004899999999</v>
      </c>
      <c r="F133" s="43">
        <v>2511.2919499999998</v>
      </c>
      <c r="G133" s="43">
        <v>1102.1791799999999</v>
      </c>
      <c r="H133" s="43"/>
      <c r="I133" s="43">
        <v>2009.1505099999997</v>
      </c>
      <c r="J133" s="44">
        <v>10930.130159999999</v>
      </c>
      <c r="K133" s="55"/>
      <c r="L133" s="43">
        <v>0</v>
      </c>
    </row>
    <row r="134" spans="1:12" ht="12.75" customHeight="1" x14ac:dyDescent="0.25">
      <c r="A134" s="42">
        <v>2013</v>
      </c>
      <c r="B134" s="42" t="s">
        <v>13</v>
      </c>
      <c r="C134" s="43">
        <v>4720.3775400000004</v>
      </c>
      <c r="D134" s="43">
        <v>1828.9203599999998</v>
      </c>
      <c r="E134" s="43">
        <v>894.33843999999999</v>
      </c>
      <c r="F134" s="43">
        <v>4205.0655500000003</v>
      </c>
      <c r="G134" s="43">
        <v>1930.1290800000002</v>
      </c>
      <c r="H134" s="43"/>
      <c r="I134" s="43">
        <v>2691.1781799999999</v>
      </c>
      <c r="J134" s="44">
        <v>16270.009150000002</v>
      </c>
      <c r="K134" s="55"/>
      <c r="L134" s="43">
        <v>0</v>
      </c>
    </row>
    <row r="135" spans="1:12" ht="12.75" customHeight="1" x14ac:dyDescent="0.25">
      <c r="A135" s="42">
        <v>2013</v>
      </c>
      <c r="B135" s="42" t="s">
        <v>14</v>
      </c>
      <c r="C135" s="43">
        <v>1805.8819300000002</v>
      </c>
      <c r="D135" s="43">
        <v>3053.2195899999997</v>
      </c>
      <c r="E135" s="43">
        <v>2733.5540499999997</v>
      </c>
      <c r="F135" s="43">
        <v>2059.8205899999998</v>
      </c>
      <c r="G135" s="43">
        <v>871.52357999999992</v>
      </c>
      <c r="H135" s="43"/>
      <c r="I135" s="43">
        <v>2926.84094</v>
      </c>
      <c r="J135" s="44">
        <v>13450.840679999999</v>
      </c>
      <c r="K135" s="55"/>
      <c r="L135" s="43">
        <v>0</v>
      </c>
    </row>
    <row r="136" spans="1:12" ht="12.75" customHeight="1" x14ac:dyDescent="0.25">
      <c r="A136" s="42">
        <v>2013</v>
      </c>
      <c r="B136" s="42" t="s">
        <v>15</v>
      </c>
      <c r="C136" s="43">
        <v>37380.326880000001</v>
      </c>
      <c r="D136" s="43">
        <v>30265.263610000002</v>
      </c>
      <c r="E136" s="43">
        <v>20634.701379999995</v>
      </c>
      <c r="F136" s="43">
        <v>37435.513449999999</v>
      </c>
      <c r="G136" s="43">
        <v>18395.730329999999</v>
      </c>
      <c r="H136" s="43"/>
      <c r="I136" s="43">
        <v>29830.771079999999</v>
      </c>
      <c r="J136" s="44">
        <v>173942.30673000001</v>
      </c>
      <c r="K136" s="55"/>
      <c r="L136" s="43">
        <v>0</v>
      </c>
    </row>
    <row r="137" spans="1:12" ht="12.75" customHeight="1" x14ac:dyDescent="0.25">
      <c r="A137" s="42">
        <v>2014</v>
      </c>
      <c r="B137" s="42" t="s">
        <v>3</v>
      </c>
      <c r="C137" s="43">
        <v>6181.9962500000001</v>
      </c>
      <c r="D137" s="43">
        <v>2131.3669100000002</v>
      </c>
      <c r="E137" s="43">
        <v>1776.47333</v>
      </c>
      <c r="F137" s="43">
        <v>3674.68183</v>
      </c>
      <c r="G137" s="43">
        <v>1398.0413999999998</v>
      </c>
      <c r="H137" s="43"/>
      <c r="I137" s="43">
        <v>3360.0505300000004</v>
      </c>
      <c r="J137" s="44">
        <v>18522.610250000002</v>
      </c>
      <c r="K137" s="55"/>
      <c r="L137" s="43">
        <v>0</v>
      </c>
    </row>
    <row r="138" spans="1:12" ht="12.75" customHeight="1" x14ac:dyDescent="0.25">
      <c r="A138" s="42">
        <v>2014</v>
      </c>
      <c r="B138" s="42" t="s">
        <v>4</v>
      </c>
      <c r="C138" s="43">
        <v>5489.8150900000001</v>
      </c>
      <c r="D138" s="43">
        <v>835.71417000000008</v>
      </c>
      <c r="E138" s="43">
        <v>2738.9209599999999</v>
      </c>
      <c r="F138" s="43">
        <v>2298.1527500000002</v>
      </c>
      <c r="G138" s="43">
        <v>1805.5142599999999</v>
      </c>
      <c r="H138" s="43"/>
      <c r="I138" s="43">
        <v>1782.8976800000003</v>
      </c>
      <c r="J138" s="44">
        <v>14951.01491</v>
      </c>
      <c r="K138" s="55"/>
      <c r="L138" s="43">
        <v>0</v>
      </c>
    </row>
    <row r="139" spans="1:12" ht="12.75" customHeight="1" x14ac:dyDescent="0.25">
      <c r="A139" s="42">
        <v>2014</v>
      </c>
      <c r="B139" s="42" t="s">
        <v>5</v>
      </c>
      <c r="C139" s="43">
        <v>1342.0134499999999</v>
      </c>
      <c r="D139" s="43">
        <v>2766.1185699999996</v>
      </c>
      <c r="E139" s="43">
        <v>2303.6240700000003</v>
      </c>
      <c r="F139" s="43">
        <v>4350.7960700000003</v>
      </c>
      <c r="G139" s="43">
        <v>2824.7162999999996</v>
      </c>
      <c r="H139" s="43"/>
      <c r="I139" s="43">
        <v>1777.4426000000001</v>
      </c>
      <c r="J139" s="44">
        <v>15364.71106</v>
      </c>
      <c r="K139" s="55"/>
      <c r="L139" s="43">
        <v>0</v>
      </c>
    </row>
    <row r="140" spans="1:12" ht="12.75" customHeight="1" x14ac:dyDescent="0.25">
      <c r="A140" s="42">
        <v>2014</v>
      </c>
      <c r="B140" s="42" t="s">
        <v>6</v>
      </c>
      <c r="C140" s="43">
        <v>3119.5448700000002</v>
      </c>
      <c r="D140" s="43">
        <v>846.21530000000007</v>
      </c>
      <c r="E140" s="43">
        <v>3692.8086600000001</v>
      </c>
      <c r="F140" s="43">
        <v>4123.5908400000008</v>
      </c>
      <c r="G140" s="43">
        <v>1804.5530200000001</v>
      </c>
      <c r="H140" s="43"/>
      <c r="I140" s="43">
        <v>3831.4618299999997</v>
      </c>
      <c r="J140" s="44">
        <v>17418.17452</v>
      </c>
      <c r="K140" s="55"/>
      <c r="L140" s="43">
        <v>0</v>
      </c>
    </row>
    <row r="141" spans="1:12" ht="12.75" customHeight="1" x14ac:dyDescent="0.25">
      <c r="A141" s="42">
        <v>2014</v>
      </c>
      <c r="B141" s="42" t="s">
        <v>7</v>
      </c>
      <c r="C141" s="43">
        <v>1812.0340800000001</v>
      </c>
      <c r="D141" s="43">
        <v>854.49618000000009</v>
      </c>
      <c r="E141" s="43">
        <v>2312.7434600000001</v>
      </c>
      <c r="F141" s="43">
        <v>3781.5564100000001</v>
      </c>
      <c r="G141" s="43">
        <v>859.60533999999996</v>
      </c>
      <c r="H141" s="43"/>
      <c r="I141" s="43">
        <v>2683.0751799999998</v>
      </c>
      <c r="J141" s="44">
        <v>12303.510650000002</v>
      </c>
      <c r="K141" s="55"/>
      <c r="L141" s="43">
        <v>0</v>
      </c>
    </row>
    <row r="142" spans="1:12" ht="12.75" customHeight="1" x14ac:dyDescent="0.25">
      <c r="A142" s="42">
        <v>2014</v>
      </c>
      <c r="B142" s="42" t="s">
        <v>8</v>
      </c>
      <c r="C142" s="43">
        <v>1717.9571599999999</v>
      </c>
      <c r="D142" s="43">
        <v>1911.90184</v>
      </c>
      <c r="E142" s="43">
        <v>891.22424000000001</v>
      </c>
      <c r="F142" s="43">
        <v>1704.73207</v>
      </c>
      <c r="G142" s="43">
        <v>1376.86472</v>
      </c>
      <c r="H142" s="43"/>
      <c r="I142" s="43">
        <v>3743.2388100000007</v>
      </c>
      <c r="J142" s="44">
        <v>11345.91884</v>
      </c>
      <c r="K142" s="55"/>
      <c r="L142" s="43">
        <v>0</v>
      </c>
    </row>
    <row r="143" spans="1:12" ht="12.75" customHeight="1" x14ac:dyDescent="0.25">
      <c r="A143" s="42">
        <v>2014</v>
      </c>
      <c r="B143" s="42" t="s">
        <v>9</v>
      </c>
      <c r="C143" s="43">
        <v>3535.5725899999998</v>
      </c>
      <c r="D143" s="43">
        <v>1712.32628</v>
      </c>
      <c r="E143" s="43">
        <v>1927.05178</v>
      </c>
      <c r="F143" s="43">
        <v>2672.0636400000003</v>
      </c>
      <c r="G143" s="43">
        <v>1060.9943899999998</v>
      </c>
      <c r="H143" s="43"/>
      <c r="I143" s="43">
        <v>3533.05</v>
      </c>
      <c r="J143" s="44">
        <v>14441.058679999998</v>
      </c>
      <c r="K143" s="55"/>
      <c r="L143" s="43">
        <v>0</v>
      </c>
    </row>
    <row r="144" spans="1:12" ht="12.75" customHeight="1" x14ac:dyDescent="0.25">
      <c r="A144" s="42">
        <v>2014</v>
      </c>
      <c r="B144" s="42" t="s">
        <v>10</v>
      </c>
      <c r="C144" s="43">
        <v>3908.0386200000007</v>
      </c>
      <c r="D144" s="43">
        <v>1069.4405899999999</v>
      </c>
      <c r="E144" s="43">
        <v>2088.8790400000003</v>
      </c>
      <c r="F144" s="43">
        <v>2278.18685</v>
      </c>
      <c r="G144" s="43">
        <v>2524.3562099999999</v>
      </c>
      <c r="H144" s="43"/>
      <c r="I144" s="43">
        <v>1934.7306299999998</v>
      </c>
      <c r="J144" s="44">
        <v>13803.631940000001</v>
      </c>
      <c r="K144" s="55"/>
      <c r="L144" s="43">
        <v>0</v>
      </c>
    </row>
    <row r="145" spans="1:12" ht="12.75" customHeight="1" x14ac:dyDescent="0.25">
      <c r="A145" s="42">
        <v>2014</v>
      </c>
      <c r="B145" s="42" t="s">
        <v>11</v>
      </c>
      <c r="C145" s="43">
        <v>892.88165000000004</v>
      </c>
      <c r="D145" s="43">
        <v>1779.1801799999998</v>
      </c>
      <c r="E145" s="43">
        <v>2811.0832299999997</v>
      </c>
      <c r="F145" s="43">
        <v>4368.6482400000004</v>
      </c>
      <c r="G145" s="43">
        <v>2405.6235999999994</v>
      </c>
      <c r="H145" s="43"/>
      <c r="I145" s="43">
        <v>3340.4920299999999</v>
      </c>
      <c r="J145" s="44">
        <v>15597.908929999998</v>
      </c>
      <c r="K145" s="55"/>
      <c r="L145" s="43">
        <v>0</v>
      </c>
    </row>
    <row r="146" spans="1:12" ht="12.75" customHeight="1" x14ac:dyDescent="0.25">
      <c r="A146" s="42">
        <v>2014</v>
      </c>
      <c r="B146" s="42" t="s">
        <v>12</v>
      </c>
      <c r="C146" s="43">
        <v>4447.7584999999999</v>
      </c>
      <c r="D146" s="43">
        <v>922.01743999999997</v>
      </c>
      <c r="E146" s="43">
        <v>2720.23963</v>
      </c>
      <c r="F146" s="43">
        <v>3965.8989500000002</v>
      </c>
      <c r="G146" s="43">
        <v>1658.3493500000002</v>
      </c>
      <c r="H146" s="43"/>
      <c r="I146" s="43">
        <v>4014.0421900000001</v>
      </c>
      <c r="J146" s="44">
        <v>17728.306060000003</v>
      </c>
      <c r="K146" s="55"/>
      <c r="L146" s="43">
        <v>1.3025899999999999</v>
      </c>
    </row>
    <row r="147" spans="1:12" ht="12.75" customHeight="1" x14ac:dyDescent="0.25">
      <c r="A147" s="42">
        <v>2014</v>
      </c>
      <c r="B147" s="42" t="s">
        <v>13</v>
      </c>
      <c r="C147" s="43">
        <v>2612.70984</v>
      </c>
      <c r="D147" s="43">
        <v>1798.6029799999999</v>
      </c>
      <c r="E147" s="43">
        <v>1831.8992700000001</v>
      </c>
      <c r="F147" s="43">
        <v>2910.35988</v>
      </c>
      <c r="G147" s="43">
        <v>1704.0567900000001</v>
      </c>
      <c r="H147" s="43"/>
      <c r="I147" s="43">
        <v>4033.2314500000002</v>
      </c>
      <c r="J147" s="44">
        <v>14890.860210000003</v>
      </c>
      <c r="K147" s="55"/>
      <c r="L147" s="43">
        <v>0</v>
      </c>
    </row>
    <row r="148" spans="1:12" ht="12.75" customHeight="1" x14ac:dyDescent="0.25">
      <c r="A148" s="42">
        <v>2014</v>
      </c>
      <c r="B148" s="42" t="s">
        <v>14</v>
      </c>
      <c r="C148" s="43">
        <v>2284.3865000000001</v>
      </c>
      <c r="D148" s="43">
        <v>1798.0010899999997</v>
      </c>
      <c r="E148" s="43">
        <v>3481.7092099999995</v>
      </c>
      <c r="F148" s="43">
        <v>1995.7807000000003</v>
      </c>
      <c r="G148" s="43">
        <v>1627.8715300000001</v>
      </c>
      <c r="H148" s="43"/>
      <c r="I148" s="43">
        <v>2536.3901000000001</v>
      </c>
      <c r="J148" s="44">
        <v>13724.13913</v>
      </c>
      <c r="K148" s="55"/>
      <c r="L148" s="43">
        <v>0</v>
      </c>
    </row>
    <row r="149" spans="1:12" ht="12.75" customHeight="1" x14ac:dyDescent="0.25">
      <c r="A149" s="42">
        <v>2014</v>
      </c>
      <c r="B149" s="42" t="s">
        <v>15</v>
      </c>
      <c r="C149" s="43">
        <v>37344.708599999998</v>
      </c>
      <c r="D149" s="43">
        <v>18425.381529999999</v>
      </c>
      <c r="E149" s="43">
        <v>28576.656880000002</v>
      </c>
      <c r="F149" s="43">
        <v>38124.448230000009</v>
      </c>
      <c r="G149" s="43">
        <v>21050.546909999997</v>
      </c>
      <c r="H149" s="43"/>
      <c r="I149" s="43">
        <v>36570.103029999998</v>
      </c>
      <c r="J149" s="44">
        <v>180091.84518</v>
      </c>
      <c r="K149" s="55"/>
      <c r="L149" s="43">
        <v>1.3025899999999999</v>
      </c>
    </row>
    <row r="150" spans="1:12" ht="12.75" customHeight="1" x14ac:dyDescent="0.25">
      <c r="A150" s="42">
        <v>2015</v>
      </c>
      <c r="B150" s="42" t="s">
        <v>3</v>
      </c>
      <c r="C150" s="43">
        <v>2145.0205899999996</v>
      </c>
      <c r="D150" s="43">
        <v>854.52820999999994</v>
      </c>
      <c r="E150" s="43">
        <v>1765.0473900000002</v>
      </c>
      <c r="F150" s="43">
        <v>3611.5797399999992</v>
      </c>
      <c r="G150" s="43">
        <v>1399.0816</v>
      </c>
      <c r="H150" s="43"/>
      <c r="I150" s="43">
        <v>1935.7033900000001</v>
      </c>
      <c r="J150" s="44">
        <v>11710.96092</v>
      </c>
      <c r="K150" s="55"/>
      <c r="L150" s="43">
        <v>0</v>
      </c>
    </row>
    <row r="151" spans="1:12" ht="12.75" customHeight="1" x14ac:dyDescent="0.25">
      <c r="A151" s="42">
        <v>2015</v>
      </c>
      <c r="B151" s="42" t="s">
        <v>4</v>
      </c>
      <c r="C151" s="43">
        <v>3234.5876699999999</v>
      </c>
      <c r="D151" s="43">
        <v>1786.5821600000002</v>
      </c>
      <c r="E151" s="43">
        <v>844.85848999999996</v>
      </c>
      <c r="F151" s="43">
        <v>3393.8249599999999</v>
      </c>
      <c r="G151" s="43">
        <v>1759.3943999999999</v>
      </c>
      <c r="H151" s="43"/>
      <c r="I151" s="43">
        <v>1454.24954</v>
      </c>
      <c r="J151" s="44">
        <v>12473.497219999999</v>
      </c>
      <c r="K151" s="55"/>
      <c r="L151" s="43">
        <v>0</v>
      </c>
    </row>
    <row r="152" spans="1:12" ht="12.75" customHeight="1" x14ac:dyDescent="0.25">
      <c r="A152" s="42">
        <v>2015</v>
      </c>
      <c r="B152" s="42" t="s">
        <v>5</v>
      </c>
      <c r="C152" s="43">
        <v>4199.2607099999996</v>
      </c>
      <c r="D152" s="43">
        <v>1917.6292100000001</v>
      </c>
      <c r="E152" s="43">
        <v>1839.0627600000003</v>
      </c>
      <c r="F152" s="43">
        <v>2377.1506799999997</v>
      </c>
      <c r="G152" s="43">
        <v>1785.2213599999998</v>
      </c>
      <c r="H152" s="43"/>
      <c r="I152" s="43">
        <v>1310.1781099999998</v>
      </c>
      <c r="J152" s="44">
        <v>13428.502830000001</v>
      </c>
      <c r="K152" s="55"/>
      <c r="L152" s="43">
        <v>0</v>
      </c>
    </row>
    <row r="153" spans="1:12" ht="12.75" customHeight="1" x14ac:dyDescent="0.25">
      <c r="A153" s="42">
        <v>2015</v>
      </c>
      <c r="B153" s="42" t="s">
        <v>6</v>
      </c>
      <c r="C153" s="43">
        <v>3696.74134</v>
      </c>
      <c r="D153" s="43">
        <v>947.05084999999997</v>
      </c>
      <c r="E153" s="43">
        <v>906.47931000000005</v>
      </c>
      <c r="F153" s="43">
        <v>2257.5106600000004</v>
      </c>
      <c r="G153" s="43">
        <v>1781.66137</v>
      </c>
      <c r="H153" s="43"/>
      <c r="I153" s="43">
        <v>2260.62736</v>
      </c>
      <c r="J153" s="44">
        <v>11850.070890000001</v>
      </c>
      <c r="K153" s="55"/>
      <c r="L153" s="43">
        <v>0</v>
      </c>
    </row>
    <row r="154" spans="1:12" ht="12.75" customHeight="1" x14ac:dyDescent="0.25">
      <c r="A154" s="42">
        <v>2015</v>
      </c>
      <c r="B154" s="42" t="s">
        <v>7</v>
      </c>
      <c r="C154" s="43">
        <v>2735.6298400000005</v>
      </c>
      <c r="D154" s="43">
        <v>3545.9757300000001</v>
      </c>
      <c r="E154" s="43">
        <v>831.79067000000009</v>
      </c>
      <c r="F154" s="43">
        <v>2297.5635300000004</v>
      </c>
      <c r="G154" s="43">
        <v>908.51846</v>
      </c>
      <c r="H154" s="43"/>
      <c r="I154" s="43">
        <v>3952.6593300000004</v>
      </c>
      <c r="J154" s="44">
        <v>14272.137560000001</v>
      </c>
      <c r="K154" s="55"/>
      <c r="L154" s="43">
        <v>0</v>
      </c>
    </row>
    <row r="155" spans="1:12" ht="12.75" customHeight="1" x14ac:dyDescent="0.25">
      <c r="A155" s="42">
        <v>2015</v>
      </c>
      <c r="B155" s="42" t="s">
        <v>8</v>
      </c>
      <c r="C155" s="43">
        <v>2587.46623</v>
      </c>
      <c r="D155" s="43">
        <v>1840.9461200000001</v>
      </c>
      <c r="E155" s="43">
        <v>849.27710999999999</v>
      </c>
      <c r="F155" s="43">
        <v>2738.40418</v>
      </c>
      <c r="G155" s="43">
        <v>1718.4788500000002</v>
      </c>
      <c r="H155" s="43"/>
      <c r="I155" s="43">
        <v>2577.18878</v>
      </c>
      <c r="J155" s="44">
        <v>12311.761270000001</v>
      </c>
      <c r="K155" s="55"/>
      <c r="L155" s="43">
        <v>0</v>
      </c>
    </row>
    <row r="156" spans="1:12" ht="12.75" customHeight="1" x14ac:dyDescent="0.25">
      <c r="A156" s="42">
        <v>2015</v>
      </c>
      <c r="B156" s="42" t="s">
        <v>9</v>
      </c>
      <c r="C156" s="43">
        <v>3374.4556600000001</v>
      </c>
      <c r="D156" s="43">
        <v>2901.6074800000001</v>
      </c>
      <c r="E156" s="43">
        <v>848.90979000000004</v>
      </c>
      <c r="F156" s="43">
        <v>2234.4006199999999</v>
      </c>
      <c r="G156" s="43">
        <v>782.48954000000003</v>
      </c>
      <c r="H156" s="43"/>
      <c r="I156" s="43">
        <v>2677.12986</v>
      </c>
      <c r="J156" s="44">
        <v>12818.99295</v>
      </c>
      <c r="K156" s="55"/>
      <c r="L156" s="43">
        <v>0</v>
      </c>
    </row>
    <row r="157" spans="1:12" ht="12.75" customHeight="1" x14ac:dyDescent="0.25">
      <c r="A157" s="42">
        <v>2015</v>
      </c>
      <c r="B157" s="42" t="s">
        <v>10</v>
      </c>
      <c r="C157" s="43">
        <v>926.30283999999995</v>
      </c>
      <c r="D157" s="43">
        <v>2760.2729599999998</v>
      </c>
      <c r="E157" s="43">
        <v>1809.4904700000002</v>
      </c>
      <c r="F157" s="43">
        <v>1733.7348100000002</v>
      </c>
      <c r="G157" s="43">
        <v>880.57523000000003</v>
      </c>
      <c r="H157" s="43"/>
      <c r="I157" s="43">
        <v>3518.4842200000003</v>
      </c>
      <c r="J157" s="44">
        <v>11628.86053</v>
      </c>
      <c r="K157" s="55"/>
      <c r="L157" s="43">
        <v>0</v>
      </c>
    </row>
    <row r="158" spans="1:12" ht="12.75" customHeight="1" x14ac:dyDescent="0.25">
      <c r="A158" s="42">
        <v>2015</v>
      </c>
      <c r="B158" s="42" t="s">
        <v>11</v>
      </c>
      <c r="C158" s="43">
        <v>3756.3946599999999</v>
      </c>
      <c r="D158" s="43">
        <v>1774.5231999999999</v>
      </c>
      <c r="E158" s="43">
        <v>898.97937000000002</v>
      </c>
      <c r="F158" s="43">
        <v>2675.7497100000001</v>
      </c>
      <c r="G158" s="43">
        <v>1897.8124700000003</v>
      </c>
      <c r="H158" s="43"/>
      <c r="I158" s="43">
        <v>1912.1035900000002</v>
      </c>
      <c r="J158" s="44">
        <v>12915.563</v>
      </c>
      <c r="K158" s="55"/>
      <c r="L158" s="43">
        <v>0</v>
      </c>
    </row>
    <row r="159" spans="1:12" ht="12.75" customHeight="1" x14ac:dyDescent="0.25">
      <c r="A159" s="42">
        <v>2015</v>
      </c>
      <c r="B159" s="42" t="s">
        <v>12</v>
      </c>
      <c r="C159" s="43">
        <v>3344.3439900000003</v>
      </c>
      <c r="D159" s="43">
        <v>1912.7991299999999</v>
      </c>
      <c r="E159" s="43">
        <v>1742.2145700000001</v>
      </c>
      <c r="F159" s="43">
        <v>2314.1820500000003</v>
      </c>
      <c r="G159" s="43">
        <v>927.10056000000009</v>
      </c>
      <c r="H159" s="43"/>
      <c r="I159" s="43">
        <v>793.60694999999998</v>
      </c>
      <c r="J159" s="44">
        <v>11034.24725</v>
      </c>
      <c r="K159" s="55"/>
      <c r="L159" s="43">
        <v>0</v>
      </c>
    </row>
    <row r="160" spans="1:12" ht="12.75" customHeight="1" x14ac:dyDescent="0.25">
      <c r="A160" s="42">
        <v>2015</v>
      </c>
      <c r="B160" s="42" t="s">
        <v>13</v>
      </c>
      <c r="C160" s="43">
        <v>3626.6204799999996</v>
      </c>
      <c r="D160" s="43">
        <v>1817.3461800000002</v>
      </c>
      <c r="E160" s="43">
        <v>905.05903000000001</v>
      </c>
      <c r="F160" s="43">
        <v>3390.4578799999999</v>
      </c>
      <c r="G160" s="43">
        <v>1774.48181</v>
      </c>
      <c r="H160" s="43"/>
      <c r="I160" s="43">
        <v>3486.4080899999999</v>
      </c>
      <c r="J160" s="44">
        <v>15000.373469999999</v>
      </c>
      <c r="K160" s="55"/>
      <c r="L160" s="43">
        <v>0</v>
      </c>
    </row>
    <row r="161" spans="1:12" ht="12.75" customHeight="1" x14ac:dyDescent="0.25">
      <c r="A161" s="42">
        <v>2015</v>
      </c>
      <c r="B161" s="42" t="s">
        <v>14</v>
      </c>
      <c r="C161" s="43">
        <v>4232.9038699999992</v>
      </c>
      <c r="D161" s="43">
        <v>854.82944999999995</v>
      </c>
      <c r="E161" s="43">
        <v>868.49284</v>
      </c>
      <c r="F161" s="43">
        <v>4118.0706499999997</v>
      </c>
      <c r="G161" s="43">
        <v>904.76032999999995</v>
      </c>
      <c r="H161" s="43"/>
      <c r="I161" s="43">
        <v>1499.16723</v>
      </c>
      <c r="J161" s="44">
        <v>12478.22437</v>
      </c>
      <c r="K161" s="55"/>
      <c r="L161" s="43">
        <v>0</v>
      </c>
    </row>
    <row r="162" spans="1:12" ht="12.75" customHeight="1" x14ac:dyDescent="0.25">
      <c r="A162" s="42">
        <v>2015</v>
      </c>
      <c r="B162" s="42" t="s">
        <v>15</v>
      </c>
      <c r="C162" s="43">
        <v>37859.727880000006</v>
      </c>
      <c r="D162" s="43">
        <v>22914.090680000001</v>
      </c>
      <c r="E162" s="43">
        <v>14109.661800000003</v>
      </c>
      <c r="F162" s="43">
        <v>33142.62947</v>
      </c>
      <c r="G162" s="43">
        <v>16519.575980000001</v>
      </c>
      <c r="H162" s="43"/>
      <c r="I162" s="43">
        <v>27377.506450000004</v>
      </c>
      <c r="J162" s="44">
        <v>151923.19226000001</v>
      </c>
      <c r="K162" s="55"/>
      <c r="L162" s="43">
        <v>0</v>
      </c>
    </row>
    <row r="163" spans="1:12" ht="12.75" customHeight="1" x14ac:dyDescent="0.25">
      <c r="A163" s="42">
        <v>2016</v>
      </c>
      <c r="B163" s="42" t="s">
        <v>3</v>
      </c>
      <c r="C163" s="43">
        <v>4238.3690699999997</v>
      </c>
      <c r="D163" s="43">
        <v>2197.2667900000001</v>
      </c>
      <c r="E163" s="43">
        <v>848.01792</v>
      </c>
      <c r="F163" s="43">
        <v>4301.8716399999994</v>
      </c>
      <c r="G163" s="43">
        <v>1038.7305799999999</v>
      </c>
      <c r="H163" s="43"/>
      <c r="I163" s="43">
        <v>2558.42067</v>
      </c>
      <c r="J163" s="44">
        <v>15182.676669999999</v>
      </c>
      <c r="K163" s="55"/>
      <c r="L163" s="43">
        <v>0</v>
      </c>
    </row>
    <row r="164" spans="1:12" ht="12.75" customHeight="1" x14ac:dyDescent="0.25">
      <c r="A164" s="42">
        <v>2016</v>
      </c>
      <c r="B164" s="42" t="s">
        <v>4</v>
      </c>
      <c r="C164" s="43">
        <v>2642.9149199999997</v>
      </c>
      <c r="D164" s="43">
        <v>841.20303000000001</v>
      </c>
      <c r="E164" s="43">
        <v>857.19308999999998</v>
      </c>
      <c r="F164" s="43">
        <v>2755.9547699999998</v>
      </c>
      <c r="G164" s="43">
        <v>895.17466999999999</v>
      </c>
      <c r="H164" s="43"/>
      <c r="I164" s="43">
        <v>1892.40778</v>
      </c>
      <c r="J164" s="44">
        <v>9884.8482599999988</v>
      </c>
      <c r="K164" s="55"/>
      <c r="L164" s="43">
        <v>0.27785000000000004</v>
      </c>
    </row>
    <row r="165" spans="1:12" ht="12.75" customHeight="1" x14ac:dyDescent="0.25">
      <c r="A165" s="42">
        <v>2016</v>
      </c>
      <c r="B165" s="42" t="s">
        <v>5</v>
      </c>
      <c r="C165" s="43">
        <v>3212.0023699999997</v>
      </c>
      <c r="D165" s="43">
        <v>1786.6449399999999</v>
      </c>
      <c r="E165" s="43">
        <v>1102.1364100000001</v>
      </c>
      <c r="F165" s="43">
        <v>3606.2864900000004</v>
      </c>
      <c r="G165" s="43">
        <v>1832.8895400000001</v>
      </c>
      <c r="H165" s="43"/>
      <c r="I165" s="43">
        <v>4164.5272300000006</v>
      </c>
      <c r="J165" s="44">
        <v>15704.486980000001</v>
      </c>
      <c r="K165" s="55"/>
      <c r="L165" s="43">
        <v>0.29424</v>
      </c>
    </row>
    <row r="166" spans="1:12" ht="12.75" customHeight="1" x14ac:dyDescent="0.25">
      <c r="A166" s="42">
        <v>2016</v>
      </c>
      <c r="B166" s="42" t="s">
        <v>6</v>
      </c>
      <c r="C166" s="43">
        <v>2704.8983200000002</v>
      </c>
      <c r="D166" s="43">
        <v>2043.4371899999999</v>
      </c>
      <c r="E166" s="43">
        <v>831.47786999999994</v>
      </c>
      <c r="F166" s="43">
        <v>1854.21774</v>
      </c>
      <c r="G166" s="43">
        <v>898.39114000000006</v>
      </c>
      <c r="H166" s="43"/>
      <c r="I166" s="43">
        <v>3740.5013000000004</v>
      </c>
      <c r="J166" s="44">
        <v>12072.923559999999</v>
      </c>
      <c r="K166" s="55"/>
      <c r="L166" s="43">
        <v>0</v>
      </c>
    </row>
    <row r="167" spans="1:12" ht="12.75" customHeight="1" x14ac:dyDescent="0.25">
      <c r="A167" s="42">
        <v>2016</v>
      </c>
      <c r="B167" s="42" t="s">
        <v>7</v>
      </c>
      <c r="C167" s="43">
        <v>3076.3321599999999</v>
      </c>
      <c r="D167" s="43">
        <v>908.01922999999999</v>
      </c>
      <c r="E167" s="43">
        <v>1150.8833999999999</v>
      </c>
      <c r="F167" s="43">
        <v>3817.2523300000003</v>
      </c>
      <c r="G167" s="43">
        <v>929.34559000000002</v>
      </c>
      <c r="H167" s="43"/>
      <c r="I167" s="43">
        <v>1487.0300300000001</v>
      </c>
      <c r="J167" s="44">
        <v>11368.86274</v>
      </c>
      <c r="K167" s="55"/>
      <c r="L167" s="43">
        <v>0</v>
      </c>
    </row>
    <row r="168" spans="1:12" ht="12.75" customHeight="1" x14ac:dyDescent="0.25">
      <c r="A168" s="42">
        <v>2016</v>
      </c>
      <c r="B168" s="42" t="s">
        <v>8</v>
      </c>
      <c r="C168" s="43">
        <v>2815.18833</v>
      </c>
      <c r="D168" s="43">
        <v>944.65755000000001</v>
      </c>
      <c r="E168" s="43">
        <v>1991.1416399999998</v>
      </c>
      <c r="F168" s="43">
        <v>2806.6077</v>
      </c>
      <c r="G168" s="43">
        <v>1763.3729900000001</v>
      </c>
      <c r="H168" s="43"/>
      <c r="I168" s="43">
        <v>2840.17875</v>
      </c>
      <c r="J168" s="44">
        <v>13161.146959999998</v>
      </c>
      <c r="K168" s="55"/>
      <c r="L168" s="43">
        <v>0</v>
      </c>
    </row>
    <row r="169" spans="1:12" ht="12.75" customHeight="1" x14ac:dyDescent="0.25">
      <c r="A169" s="42">
        <v>2016</v>
      </c>
      <c r="B169" s="42" t="s">
        <v>9</v>
      </c>
      <c r="C169" s="43">
        <v>4655.6548499999999</v>
      </c>
      <c r="D169" s="43">
        <v>1019.9600899999999</v>
      </c>
      <c r="E169" s="43">
        <v>0</v>
      </c>
      <c r="F169" s="43">
        <v>2785.4868799999999</v>
      </c>
      <c r="G169" s="43">
        <v>845.54129</v>
      </c>
      <c r="H169" s="43"/>
      <c r="I169" s="43">
        <v>1874.5951200000002</v>
      </c>
      <c r="J169" s="44">
        <v>11181.238229999999</v>
      </c>
      <c r="K169" s="55"/>
      <c r="L169" s="43">
        <v>0</v>
      </c>
    </row>
    <row r="170" spans="1:12" ht="12.75" customHeight="1" x14ac:dyDescent="0.25">
      <c r="A170" s="42">
        <v>2016</v>
      </c>
      <c r="B170" s="42" t="s">
        <v>10</v>
      </c>
      <c r="C170" s="43">
        <v>0</v>
      </c>
      <c r="D170" s="43">
        <v>1037.09789</v>
      </c>
      <c r="E170" s="43">
        <v>0</v>
      </c>
      <c r="F170" s="43">
        <v>3138.8776000000003</v>
      </c>
      <c r="G170" s="43">
        <v>944.40714000000003</v>
      </c>
      <c r="H170" s="43"/>
      <c r="I170" s="43">
        <v>2353.82249</v>
      </c>
      <c r="J170" s="44">
        <v>7474.2051200000005</v>
      </c>
      <c r="K170" s="55"/>
      <c r="L170" s="43">
        <v>0</v>
      </c>
    </row>
    <row r="171" spans="1:12" ht="12.75" customHeight="1" x14ac:dyDescent="0.25">
      <c r="A171" s="42">
        <v>2016</v>
      </c>
      <c r="B171" s="42" t="s">
        <v>11</v>
      </c>
      <c r="C171" s="43">
        <v>2788.92202</v>
      </c>
      <c r="D171" s="43">
        <v>1580.81549</v>
      </c>
      <c r="E171" s="43">
        <v>877.98595999999998</v>
      </c>
      <c r="F171" s="43">
        <v>2963.7398700000003</v>
      </c>
      <c r="G171" s="43">
        <v>878.66539999999998</v>
      </c>
      <c r="H171" s="43"/>
      <c r="I171" s="43">
        <v>2338.5528999999997</v>
      </c>
      <c r="J171" s="44">
        <v>11428.681639999999</v>
      </c>
      <c r="K171" s="55"/>
      <c r="L171" s="43">
        <v>0</v>
      </c>
    </row>
    <row r="172" spans="1:12" ht="12.75" customHeight="1" x14ac:dyDescent="0.25">
      <c r="A172" s="42">
        <v>2016</v>
      </c>
      <c r="B172" s="42" t="s">
        <v>12</v>
      </c>
      <c r="C172" s="43">
        <v>2803.9808199999998</v>
      </c>
      <c r="D172" s="43">
        <v>906.88668999999993</v>
      </c>
      <c r="E172" s="43">
        <v>0</v>
      </c>
      <c r="F172" s="43">
        <v>3714.9169999999999</v>
      </c>
      <c r="G172" s="43">
        <v>961.38075000000003</v>
      </c>
      <c r="H172" s="43"/>
      <c r="I172" s="43">
        <v>3355.4122000000002</v>
      </c>
      <c r="J172" s="44">
        <v>11742.57746</v>
      </c>
      <c r="K172" s="55"/>
      <c r="L172" s="43">
        <v>0</v>
      </c>
    </row>
    <row r="173" spans="1:12" ht="12.75" customHeight="1" x14ac:dyDescent="0.25">
      <c r="A173" s="42">
        <v>2016</v>
      </c>
      <c r="B173" s="42" t="s">
        <v>13</v>
      </c>
      <c r="C173" s="43">
        <v>3868.5825199999999</v>
      </c>
      <c r="D173" s="43">
        <v>1985.35023</v>
      </c>
      <c r="E173" s="43">
        <v>924.15582999999992</v>
      </c>
      <c r="F173" s="43">
        <v>3365.7350699999993</v>
      </c>
      <c r="G173" s="43">
        <v>840.32745</v>
      </c>
      <c r="H173" s="43"/>
      <c r="I173" s="43">
        <v>2865.5201500000003</v>
      </c>
      <c r="J173" s="44">
        <v>13849.671249999999</v>
      </c>
      <c r="K173" s="55"/>
      <c r="L173" s="43">
        <v>0</v>
      </c>
    </row>
    <row r="174" spans="1:12" ht="12.75" customHeight="1" x14ac:dyDescent="0.25">
      <c r="A174" s="42">
        <v>2016</v>
      </c>
      <c r="B174" s="42" t="s">
        <v>14</v>
      </c>
      <c r="C174" s="43">
        <v>3215.1308300000001</v>
      </c>
      <c r="D174" s="43">
        <v>2754.35088</v>
      </c>
      <c r="E174" s="43">
        <v>2545.8337499999998</v>
      </c>
      <c r="F174" s="43">
        <v>4609.1714599999996</v>
      </c>
      <c r="G174" s="43">
        <v>1835.4814300000003</v>
      </c>
      <c r="H174" s="43"/>
      <c r="I174" s="43">
        <v>5201.1451900000002</v>
      </c>
      <c r="J174" s="44">
        <v>20161.113539999998</v>
      </c>
      <c r="K174" s="55"/>
      <c r="L174" s="43">
        <v>0</v>
      </c>
    </row>
    <row r="175" spans="1:12" ht="12.75" customHeight="1" x14ac:dyDescent="0.25">
      <c r="A175" s="42">
        <v>2016</v>
      </c>
      <c r="B175" s="42" t="s">
        <v>15</v>
      </c>
      <c r="C175" s="43">
        <v>36021.976210000001</v>
      </c>
      <c r="D175" s="43">
        <v>18005.690000000002</v>
      </c>
      <c r="E175" s="43">
        <v>11128.825869999999</v>
      </c>
      <c r="F175" s="43">
        <v>39720.118549999999</v>
      </c>
      <c r="G175" s="43">
        <v>13663.707969999999</v>
      </c>
      <c r="H175" s="43"/>
      <c r="I175" s="43">
        <v>34672.113810000003</v>
      </c>
      <c r="J175" s="44">
        <v>153212.43240999998</v>
      </c>
      <c r="K175" s="55"/>
      <c r="L175" s="43">
        <v>0.57208999999999999</v>
      </c>
    </row>
    <row r="176" spans="1:12" ht="12.75" customHeight="1" x14ac:dyDescent="0.25">
      <c r="A176" s="42">
        <v>2017</v>
      </c>
      <c r="B176" s="42" t="s">
        <v>3</v>
      </c>
      <c r="C176" s="43">
        <v>2337.2712300000003</v>
      </c>
      <c r="D176" s="43">
        <v>2673.3841999999995</v>
      </c>
      <c r="E176" s="43">
        <v>1072.7826100000002</v>
      </c>
      <c r="F176" s="43">
        <v>4663.11654</v>
      </c>
      <c r="G176" s="43">
        <v>930.76652000000001</v>
      </c>
      <c r="H176" s="43"/>
      <c r="I176" s="43">
        <v>2773.5365299999999</v>
      </c>
      <c r="J176" s="44">
        <v>14450.857629999999</v>
      </c>
      <c r="K176" s="55"/>
      <c r="L176" s="43">
        <v>4.9801000000000002</v>
      </c>
    </row>
    <row r="177" spans="1:12" ht="12.75" customHeight="1" x14ac:dyDescent="0.25">
      <c r="A177" s="42">
        <v>2017</v>
      </c>
      <c r="B177" s="42" t="s">
        <v>4</v>
      </c>
      <c r="C177" s="43">
        <v>5650.0558200000005</v>
      </c>
      <c r="D177" s="43">
        <v>2793.1916900000001</v>
      </c>
      <c r="E177" s="43">
        <v>1383.8891699999999</v>
      </c>
      <c r="F177" s="43">
        <v>5006.7253600000004</v>
      </c>
      <c r="G177" s="43">
        <v>885.60917000000006</v>
      </c>
      <c r="H177" s="43"/>
      <c r="I177" s="43">
        <v>5226.8382000000001</v>
      </c>
      <c r="J177" s="44">
        <v>20946.309410000002</v>
      </c>
      <c r="K177" s="55"/>
      <c r="L177" s="43">
        <v>0.63037999999999994</v>
      </c>
    </row>
    <row r="178" spans="1:12" ht="12.75" customHeight="1" x14ac:dyDescent="0.25">
      <c r="A178" s="42">
        <v>2017</v>
      </c>
      <c r="B178" s="42" t="s">
        <v>5</v>
      </c>
      <c r="C178" s="43">
        <v>3723.1443599999998</v>
      </c>
      <c r="D178" s="43">
        <v>909.65368000000001</v>
      </c>
      <c r="E178" s="43">
        <v>0</v>
      </c>
      <c r="F178" s="43">
        <v>2766.4113700000003</v>
      </c>
      <c r="G178" s="43">
        <v>1151.05096</v>
      </c>
      <c r="H178" s="43"/>
      <c r="I178" s="43">
        <v>1921.77044</v>
      </c>
      <c r="J178" s="44">
        <v>10472.03081</v>
      </c>
      <c r="K178" s="55"/>
      <c r="L178" s="43">
        <v>0</v>
      </c>
    </row>
    <row r="179" spans="1:12" ht="12.75" customHeight="1" x14ac:dyDescent="0.25">
      <c r="A179" s="42">
        <v>2017</v>
      </c>
      <c r="B179" s="42" t="s">
        <v>6</v>
      </c>
      <c r="C179" s="43">
        <v>4808.0199199999997</v>
      </c>
      <c r="D179" s="43">
        <v>2664.0588700000003</v>
      </c>
      <c r="E179" s="43">
        <v>0</v>
      </c>
      <c r="F179" s="43">
        <v>1447.1799900000001</v>
      </c>
      <c r="G179" s="43">
        <v>967.85844999999995</v>
      </c>
      <c r="H179" s="43"/>
      <c r="I179" s="43">
        <v>495.71151000000003</v>
      </c>
      <c r="J179" s="44">
        <v>10382.828739999999</v>
      </c>
      <c r="K179" s="55"/>
      <c r="L179" s="43">
        <v>0</v>
      </c>
    </row>
    <row r="180" spans="1:12" ht="12.75" customHeight="1" x14ac:dyDescent="0.25">
      <c r="A180" s="42">
        <v>2017</v>
      </c>
      <c r="B180" s="42" t="s">
        <v>7</v>
      </c>
      <c r="C180" s="43">
        <v>5236.5885799999996</v>
      </c>
      <c r="D180" s="43">
        <v>1863.8981800000001</v>
      </c>
      <c r="E180" s="43">
        <v>858.82704000000001</v>
      </c>
      <c r="F180" s="43">
        <v>3692.5131300000003</v>
      </c>
      <c r="G180" s="43">
        <v>0</v>
      </c>
      <c r="H180" s="43"/>
      <c r="I180" s="43">
        <v>1442.5215000000001</v>
      </c>
      <c r="J180" s="44">
        <v>13094.34843</v>
      </c>
      <c r="K180" s="55"/>
      <c r="L180" s="43">
        <v>0</v>
      </c>
    </row>
    <row r="181" spans="1:12" ht="12.75" customHeight="1" x14ac:dyDescent="0.25">
      <c r="A181" s="42">
        <v>2017</v>
      </c>
      <c r="B181" s="42" t="s">
        <v>8</v>
      </c>
      <c r="C181" s="43">
        <v>4376.75893</v>
      </c>
      <c r="D181" s="43">
        <v>1797.1569999999999</v>
      </c>
      <c r="E181" s="43">
        <v>955.51567</v>
      </c>
      <c r="F181" s="43">
        <v>4223.9919700000009</v>
      </c>
      <c r="G181" s="43">
        <v>1873.8041799999999</v>
      </c>
      <c r="H181" s="43"/>
      <c r="I181" s="43">
        <v>1830.29485</v>
      </c>
      <c r="J181" s="44">
        <v>15057.5226</v>
      </c>
      <c r="K181" s="55"/>
      <c r="L181" s="43">
        <v>0</v>
      </c>
    </row>
    <row r="182" spans="1:12" ht="12.75" customHeight="1" x14ac:dyDescent="0.25">
      <c r="A182" s="42">
        <v>2017</v>
      </c>
      <c r="B182" s="42" t="s">
        <v>9</v>
      </c>
      <c r="C182" s="43">
        <v>6535.8707999999997</v>
      </c>
      <c r="D182" s="43">
        <v>3747.88589</v>
      </c>
      <c r="E182" s="43">
        <v>66.264020000000002</v>
      </c>
      <c r="F182" s="43">
        <v>3465.4744299999998</v>
      </c>
      <c r="G182" s="43">
        <v>0</v>
      </c>
      <c r="H182" s="43"/>
      <c r="I182" s="43">
        <v>1808.5449500000002</v>
      </c>
      <c r="J182" s="44">
        <v>15624.04009</v>
      </c>
      <c r="K182" s="55"/>
      <c r="L182" s="43">
        <v>0</v>
      </c>
    </row>
    <row r="183" spans="1:12" ht="12.75" customHeight="1" x14ac:dyDescent="0.25">
      <c r="A183" s="42">
        <v>2017</v>
      </c>
      <c r="B183" s="42" t="s">
        <v>10</v>
      </c>
      <c r="C183" s="43">
        <v>7346.7107100000003</v>
      </c>
      <c r="D183" s="43">
        <v>3759.3076199999996</v>
      </c>
      <c r="E183" s="43">
        <v>940.71460000000002</v>
      </c>
      <c r="F183" s="43">
        <v>3864.9580599999999</v>
      </c>
      <c r="G183" s="43">
        <v>862.10222999999996</v>
      </c>
      <c r="H183" s="43"/>
      <c r="I183" s="43">
        <v>2382.4772599999997</v>
      </c>
      <c r="J183" s="44">
        <v>19156.270479999999</v>
      </c>
      <c r="K183" s="55"/>
      <c r="L183" s="43">
        <v>0</v>
      </c>
    </row>
    <row r="184" spans="1:12" ht="12.75" customHeight="1" x14ac:dyDescent="0.25">
      <c r="A184" s="42">
        <v>2017</v>
      </c>
      <c r="B184" s="42" t="s">
        <v>11</v>
      </c>
      <c r="C184" s="43">
        <v>3815.4798800000003</v>
      </c>
      <c r="D184" s="43">
        <v>976.44100000000003</v>
      </c>
      <c r="E184" s="43">
        <v>867.66813000000002</v>
      </c>
      <c r="F184" s="43">
        <v>4367.6947900000005</v>
      </c>
      <c r="G184" s="43">
        <v>1091.9657099999999</v>
      </c>
      <c r="H184" s="43"/>
      <c r="I184" s="43">
        <v>877.77522999999997</v>
      </c>
      <c r="J184" s="44">
        <v>11997.024740000001</v>
      </c>
      <c r="K184" s="55"/>
      <c r="L184" s="43">
        <v>0</v>
      </c>
    </row>
    <row r="185" spans="1:12" ht="12.75" customHeight="1" x14ac:dyDescent="0.25">
      <c r="A185" s="42">
        <v>2017</v>
      </c>
      <c r="B185" s="42" t="s">
        <v>12</v>
      </c>
      <c r="C185" s="43">
        <v>5562.5307100000009</v>
      </c>
      <c r="D185" s="43">
        <v>3704.79313</v>
      </c>
      <c r="E185" s="43">
        <v>1819.4702000000002</v>
      </c>
      <c r="F185" s="43">
        <v>5059.7137899999998</v>
      </c>
      <c r="G185" s="43">
        <v>937.52124000000003</v>
      </c>
      <c r="H185" s="43"/>
      <c r="I185" s="43">
        <v>0</v>
      </c>
      <c r="J185" s="44">
        <v>17084.029070000001</v>
      </c>
      <c r="K185" s="55"/>
      <c r="L185" s="43">
        <v>0</v>
      </c>
    </row>
    <row r="186" spans="1:12" ht="12.75" customHeight="1" x14ac:dyDescent="0.25">
      <c r="A186" s="42">
        <v>2017</v>
      </c>
      <c r="B186" s="42" t="s">
        <v>13</v>
      </c>
      <c r="C186" s="43">
        <v>5498.6813800000009</v>
      </c>
      <c r="D186" s="43">
        <v>2574.4598799999999</v>
      </c>
      <c r="E186" s="43">
        <v>1413.4082100000001</v>
      </c>
      <c r="F186" s="43">
        <v>6128.9732699999995</v>
      </c>
      <c r="G186" s="43">
        <v>1815.79665</v>
      </c>
      <c r="H186" s="43"/>
      <c r="I186" s="43">
        <v>1430.6033799999998</v>
      </c>
      <c r="J186" s="44">
        <v>18861.922770000001</v>
      </c>
      <c r="K186" s="55"/>
      <c r="L186" s="43">
        <v>0</v>
      </c>
    </row>
    <row r="187" spans="1:12" ht="12.75" customHeight="1" x14ac:dyDescent="0.25">
      <c r="A187" s="42">
        <v>2017</v>
      </c>
      <c r="B187" s="42" t="s">
        <v>14</v>
      </c>
      <c r="C187" s="43">
        <v>6530.1462899999997</v>
      </c>
      <c r="D187" s="43">
        <v>2819.48882</v>
      </c>
      <c r="E187" s="43">
        <v>0</v>
      </c>
      <c r="F187" s="43">
        <v>5501.0144600000003</v>
      </c>
      <c r="G187" s="43">
        <v>987.62493000000006</v>
      </c>
      <c r="H187" s="43"/>
      <c r="I187" s="43">
        <v>977.17660999999998</v>
      </c>
      <c r="J187" s="44">
        <v>16815.451109999998</v>
      </c>
      <c r="K187" s="55"/>
      <c r="L187" s="43">
        <v>0</v>
      </c>
    </row>
    <row r="188" spans="1:12" ht="12.75" customHeight="1" x14ac:dyDescent="0.25">
      <c r="A188" s="42">
        <v>2017</v>
      </c>
      <c r="B188" s="42" t="s">
        <v>15</v>
      </c>
      <c r="C188" s="43">
        <v>61421.258609999997</v>
      </c>
      <c r="D188" s="43">
        <v>30283.719959999999</v>
      </c>
      <c r="E188" s="43">
        <v>9378.5396500000006</v>
      </c>
      <c r="F188" s="43">
        <v>50187.767160000003</v>
      </c>
      <c r="G188" s="43">
        <v>11504.100040000001</v>
      </c>
      <c r="H188" s="43"/>
      <c r="I188" s="43">
        <v>21167.250459999999</v>
      </c>
      <c r="J188" s="44">
        <v>183942.63587999996</v>
      </c>
      <c r="K188" s="55"/>
      <c r="L188" s="43">
        <v>5.6104799999999999</v>
      </c>
    </row>
    <row r="189" spans="1:12" ht="12.75" customHeight="1" x14ac:dyDescent="0.25">
      <c r="A189" s="42">
        <v>2018</v>
      </c>
      <c r="B189" s="42" t="s">
        <v>3</v>
      </c>
      <c r="C189" s="43">
        <v>5890.513109999999</v>
      </c>
      <c r="D189" s="43">
        <v>1736.6810500000001</v>
      </c>
      <c r="E189" s="43">
        <v>1487.0843400000001</v>
      </c>
      <c r="F189" s="43">
        <v>4790.8961600000002</v>
      </c>
      <c r="G189" s="43">
        <v>1921.3053199999999</v>
      </c>
      <c r="H189" s="43"/>
      <c r="I189" s="43">
        <v>0</v>
      </c>
      <c r="J189" s="44">
        <v>15826.479979999998</v>
      </c>
      <c r="K189" s="55"/>
      <c r="L189" s="43">
        <v>0</v>
      </c>
    </row>
    <row r="190" spans="1:12" ht="12.75" customHeight="1" x14ac:dyDescent="0.25">
      <c r="A190" s="42">
        <v>2018</v>
      </c>
      <c r="B190" s="42" t="s">
        <v>4</v>
      </c>
      <c r="C190" s="43">
        <v>4107.2442899999996</v>
      </c>
      <c r="D190" s="43">
        <v>2760.5696899999998</v>
      </c>
      <c r="E190" s="43">
        <v>0</v>
      </c>
      <c r="F190" s="43">
        <v>2749.9617699999999</v>
      </c>
      <c r="G190" s="43">
        <v>703.81232</v>
      </c>
      <c r="H190" s="43"/>
      <c r="I190" s="43">
        <v>496.22732000000002</v>
      </c>
      <c r="J190" s="44">
        <v>10817.815389999998</v>
      </c>
      <c r="K190" s="55"/>
      <c r="L190" s="43">
        <v>0</v>
      </c>
    </row>
    <row r="191" spans="1:12" ht="12.75" customHeight="1" x14ac:dyDescent="0.25">
      <c r="A191" s="42">
        <v>2018</v>
      </c>
      <c r="B191" s="42" t="s">
        <v>5</v>
      </c>
      <c r="C191" s="43">
        <v>3750.0618100000002</v>
      </c>
      <c r="D191" s="43">
        <v>1738.9877099999999</v>
      </c>
      <c r="E191" s="43">
        <v>714.01989000000003</v>
      </c>
      <c r="F191" s="43">
        <v>3956.2403299999996</v>
      </c>
      <c r="G191" s="43">
        <v>447.30464000000001</v>
      </c>
      <c r="H191" s="43"/>
      <c r="I191" s="43">
        <v>0</v>
      </c>
      <c r="J191" s="44">
        <v>10606.614380000001</v>
      </c>
      <c r="K191" s="55"/>
      <c r="L191" s="43">
        <v>0</v>
      </c>
    </row>
    <row r="192" spans="1:12" ht="12.75" customHeight="1" x14ac:dyDescent="0.25">
      <c r="A192" s="42">
        <v>2018</v>
      </c>
      <c r="B192" s="42" t="s">
        <v>6</v>
      </c>
      <c r="C192" s="43">
        <v>3803.2355600000001</v>
      </c>
      <c r="D192" s="43">
        <v>2842.7395000000001</v>
      </c>
      <c r="E192" s="43">
        <v>1880.88769</v>
      </c>
      <c r="F192" s="43">
        <v>4347.3037699999995</v>
      </c>
      <c r="G192" s="43">
        <v>894.39468000000011</v>
      </c>
      <c r="H192" s="43"/>
      <c r="I192" s="43">
        <v>0</v>
      </c>
      <c r="J192" s="44">
        <v>13768.561199999998</v>
      </c>
      <c r="K192" s="55"/>
      <c r="L192" s="43">
        <v>0</v>
      </c>
    </row>
    <row r="193" spans="1:12" ht="12.75" customHeight="1" x14ac:dyDescent="0.25">
      <c r="A193" s="42">
        <v>2018</v>
      </c>
      <c r="B193" s="42" t="s">
        <v>7</v>
      </c>
      <c r="C193" s="43">
        <v>5015.3261499999999</v>
      </c>
      <c r="D193" s="43">
        <v>1751.8947700000001</v>
      </c>
      <c r="E193" s="43">
        <v>0</v>
      </c>
      <c r="F193" s="43">
        <v>3674.7897199999998</v>
      </c>
      <c r="G193" s="43">
        <v>1062.3296</v>
      </c>
      <c r="H193" s="43"/>
      <c r="I193" s="43">
        <v>499.90699999999998</v>
      </c>
      <c r="J193" s="44">
        <v>12004.247240000001</v>
      </c>
      <c r="K193" s="55"/>
      <c r="L193" s="43">
        <v>0</v>
      </c>
    </row>
    <row r="194" spans="1:12" ht="12.75" customHeight="1" x14ac:dyDescent="0.25">
      <c r="A194" s="42">
        <v>2018</v>
      </c>
      <c r="B194" s="42" t="s">
        <v>8</v>
      </c>
      <c r="C194" s="43">
        <v>5501.1243099999992</v>
      </c>
      <c r="D194" s="43">
        <v>2779.1006699999998</v>
      </c>
      <c r="E194" s="43">
        <v>855.73994999999991</v>
      </c>
      <c r="F194" s="43">
        <v>3630.4503500000001</v>
      </c>
      <c r="G194" s="43">
        <v>1112.3385600000001</v>
      </c>
      <c r="H194" s="43"/>
      <c r="I194" s="43">
        <v>0</v>
      </c>
      <c r="J194" s="44">
        <v>13878.753839999998</v>
      </c>
      <c r="K194" s="55"/>
      <c r="L194" s="43">
        <v>0</v>
      </c>
    </row>
    <row r="195" spans="1:12" ht="12.75" customHeight="1" x14ac:dyDescent="0.25">
      <c r="A195" s="42">
        <v>2018</v>
      </c>
      <c r="B195" s="42" t="s">
        <v>9</v>
      </c>
      <c r="C195" s="43">
        <v>7392.7418899999993</v>
      </c>
      <c r="D195" s="43">
        <v>3077.9754199999998</v>
      </c>
      <c r="E195" s="43">
        <v>0</v>
      </c>
      <c r="F195" s="43">
        <v>2981.1783400000004</v>
      </c>
      <c r="G195" s="43">
        <v>0</v>
      </c>
      <c r="H195" s="43"/>
      <c r="I195" s="43">
        <v>0</v>
      </c>
      <c r="J195" s="44">
        <v>13451.89565</v>
      </c>
      <c r="K195" s="55"/>
      <c r="L195" s="43">
        <v>0</v>
      </c>
    </row>
    <row r="196" spans="1:12" ht="12.75" customHeight="1" x14ac:dyDescent="0.25">
      <c r="A196" s="42">
        <v>2018</v>
      </c>
      <c r="B196" s="42" t="s">
        <v>10</v>
      </c>
      <c r="C196" s="43">
        <v>5117.4555</v>
      </c>
      <c r="D196" s="43">
        <v>3509.5634500000001</v>
      </c>
      <c r="E196" s="43">
        <v>900.53700000000003</v>
      </c>
      <c r="F196" s="43">
        <v>3628.19877</v>
      </c>
      <c r="G196" s="43">
        <v>898.39389000000006</v>
      </c>
      <c r="H196" s="43"/>
      <c r="I196" s="43">
        <v>0</v>
      </c>
      <c r="J196" s="44">
        <v>14054.14861</v>
      </c>
      <c r="K196" s="55"/>
      <c r="L196" s="43">
        <v>0.60263</v>
      </c>
    </row>
    <row r="197" spans="1:12" ht="12.75" customHeight="1" x14ac:dyDescent="0.25">
      <c r="A197" s="42">
        <v>2018</v>
      </c>
      <c r="B197" s="42" t="s">
        <v>11</v>
      </c>
      <c r="C197" s="43">
        <v>4991.4378399999996</v>
      </c>
      <c r="D197" s="43">
        <v>2754.6055899999997</v>
      </c>
      <c r="E197" s="43">
        <v>0</v>
      </c>
      <c r="F197" s="43">
        <v>3542.7265300000004</v>
      </c>
      <c r="G197" s="43">
        <v>995.88260000000002</v>
      </c>
      <c r="H197" s="43"/>
      <c r="I197" s="43">
        <v>0</v>
      </c>
      <c r="J197" s="44">
        <v>12284.65256</v>
      </c>
      <c r="K197" s="55"/>
      <c r="L197" s="43">
        <v>0</v>
      </c>
    </row>
    <row r="198" spans="1:12" ht="12.75" customHeight="1" x14ac:dyDescent="0.25">
      <c r="A198" s="42">
        <v>2018</v>
      </c>
      <c r="B198" s="42" t="s">
        <v>12</v>
      </c>
      <c r="C198" s="43">
        <v>4538.2454400000006</v>
      </c>
      <c r="D198" s="43">
        <v>3073.4866099999999</v>
      </c>
      <c r="E198" s="43">
        <v>2638.5370400000002</v>
      </c>
      <c r="F198" s="43">
        <v>4999.32672</v>
      </c>
      <c r="G198" s="43">
        <v>1867.40831</v>
      </c>
      <c r="H198" s="43"/>
      <c r="I198" s="43">
        <v>494.49159999999995</v>
      </c>
      <c r="J198" s="44">
        <v>17611.495720000003</v>
      </c>
      <c r="K198" s="55"/>
      <c r="L198" s="43">
        <v>0</v>
      </c>
    </row>
    <row r="199" spans="1:12" ht="12.75" customHeight="1" x14ac:dyDescent="0.25">
      <c r="A199" s="42">
        <v>2018</v>
      </c>
      <c r="B199" s="42" t="s">
        <v>13</v>
      </c>
      <c r="C199" s="43">
        <v>5665.3001900000008</v>
      </c>
      <c r="D199" s="43">
        <v>2393.0849800000005</v>
      </c>
      <c r="E199" s="43">
        <v>0</v>
      </c>
      <c r="F199" s="43">
        <v>3569.1339500000004</v>
      </c>
      <c r="G199" s="43">
        <v>1091.5911000000001</v>
      </c>
      <c r="H199" s="43"/>
      <c r="I199" s="43">
        <v>927.79600000000005</v>
      </c>
      <c r="J199" s="44">
        <v>13646.906220000001</v>
      </c>
      <c r="K199" s="55"/>
      <c r="L199" s="43">
        <v>0</v>
      </c>
    </row>
    <row r="200" spans="1:12" ht="12.75" customHeight="1" x14ac:dyDescent="0.25">
      <c r="A200" s="42">
        <v>2018</v>
      </c>
      <c r="B200" s="42" t="s">
        <v>14</v>
      </c>
      <c r="C200" s="43">
        <v>5340.7577099999999</v>
      </c>
      <c r="D200" s="43">
        <v>3879.4850699999997</v>
      </c>
      <c r="E200" s="43">
        <v>2594.7233900000001</v>
      </c>
      <c r="F200" s="43">
        <v>5285.3626700000004</v>
      </c>
      <c r="G200" s="43">
        <v>1948.5676699999999</v>
      </c>
      <c r="H200" s="43"/>
      <c r="I200" s="43">
        <v>0</v>
      </c>
      <c r="J200" s="44">
        <v>19048.896510000002</v>
      </c>
      <c r="K200" s="55"/>
      <c r="L200" s="43">
        <v>15.023</v>
      </c>
    </row>
    <row r="201" spans="1:12" ht="12.75" customHeight="1" x14ac:dyDescent="0.25">
      <c r="A201" s="42">
        <v>2018</v>
      </c>
      <c r="B201" s="42" t="s">
        <v>15</v>
      </c>
      <c r="C201" s="43">
        <v>61113.443799999994</v>
      </c>
      <c r="D201" s="43">
        <v>32298.174509999997</v>
      </c>
      <c r="E201" s="43">
        <v>11071.529299999998</v>
      </c>
      <c r="F201" s="43">
        <v>47155.569080000001</v>
      </c>
      <c r="G201" s="43">
        <v>12943.32869</v>
      </c>
      <c r="H201" s="43"/>
      <c r="I201" s="43">
        <v>2418.4219199999998</v>
      </c>
      <c r="J201" s="44">
        <v>167000.46730000002</v>
      </c>
      <c r="K201" s="55"/>
      <c r="L201" s="43">
        <v>15.625629999999999</v>
      </c>
    </row>
    <row r="202" spans="1:12" ht="12.75" customHeight="1" x14ac:dyDescent="0.25">
      <c r="A202" s="42">
        <v>2019</v>
      </c>
      <c r="B202" s="42" t="s">
        <v>3</v>
      </c>
      <c r="C202" s="43">
        <v>4730.6709700000001</v>
      </c>
      <c r="D202" s="43">
        <v>4739.32341</v>
      </c>
      <c r="E202" s="43">
        <v>854.40125</v>
      </c>
      <c r="F202" s="43">
        <v>3345.75515</v>
      </c>
      <c r="G202" s="43">
        <v>0</v>
      </c>
      <c r="H202" s="43"/>
      <c r="I202" s="43">
        <v>0</v>
      </c>
      <c r="J202" s="44">
        <v>13670.15078</v>
      </c>
      <c r="K202" s="55"/>
      <c r="L202" s="43">
        <v>36.994999999999997</v>
      </c>
    </row>
    <row r="203" spans="1:12" ht="12.75" customHeight="1" x14ac:dyDescent="0.25">
      <c r="A203" s="42">
        <v>2019</v>
      </c>
      <c r="B203" s="42" t="s">
        <v>4</v>
      </c>
      <c r="C203" s="43">
        <v>4604.8704900000002</v>
      </c>
      <c r="D203" s="43">
        <v>3917.3928500000002</v>
      </c>
      <c r="E203" s="43">
        <v>0</v>
      </c>
      <c r="F203" s="43">
        <v>3017.0450900000001</v>
      </c>
      <c r="G203" s="43">
        <v>851.07884999999999</v>
      </c>
      <c r="H203" s="43"/>
      <c r="I203" s="43">
        <v>0</v>
      </c>
      <c r="J203" s="44">
        <v>12390.387280000001</v>
      </c>
      <c r="K203" s="55"/>
      <c r="L203" s="43">
        <v>24.459</v>
      </c>
    </row>
    <row r="204" spans="1:12" ht="12.75" customHeight="1" x14ac:dyDescent="0.25">
      <c r="A204" s="42">
        <v>2019</v>
      </c>
      <c r="B204" s="42" t="s">
        <v>5</v>
      </c>
      <c r="C204" s="43">
        <v>5842.1946400000006</v>
      </c>
      <c r="D204" s="43">
        <v>3842.3931799999996</v>
      </c>
      <c r="E204" s="43">
        <v>915.69588999999996</v>
      </c>
      <c r="F204" s="43">
        <v>3701.60617</v>
      </c>
      <c r="G204" s="43">
        <v>1099.5244599999999</v>
      </c>
      <c r="H204" s="43"/>
      <c r="I204" s="43">
        <v>897.28190000000006</v>
      </c>
      <c r="J204" s="44">
        <v>16298.696239999999</v>
      </c>
      <c r="K204" s="55"/>
      <c r="L204" s="43">
        <v>25.28</v>
      </c>
    </row>
    <row r="205" spans="1:12" ht="12.75" customHeight="1" x14ac:dyDescent="0.25">
      <c r="A205" s="42">
        <v>2019</v>
      </c>
      <c r="B205" s="42" t="s">
        <v>6</v>
      </c>
      <c r="C205" s="43">
        <v>6404.1731500000005</v>
      </c>
      <c r="D205" s="43">
        <v>3771.3517199999997</v>
      </c>
      <c r="E205" s="43">
        <v>915.65968000000009</v>
      </c>
      <c r="F205" s="43">
        <v>4373.5569599999999</v>
      </c>
      <c r="G205" s="43">
        <v>0</v>
      </c>
      <c r="H205" s="43"/>
      <c r="I205" s="43">
        <v>946.93</v>
      </c>
      <c r="J205" s="44">
        <v>16411.67151</v>
      </c>
      <c r="K205" s="55"/>
      <c r="L205" s="43">
        <v>30.765999999999998</v>
      </c>
    </row>
    <row r="206" spans="1:12" ht="12.75" customHeight="1" x14ac:dyDescent="0.25">
      <c r="A206" s="42">
        <v>2019</v>
      </c>
      <c r="B206" s="42" t="s">
        <v>7</v>
      </c>
      <c r="C206" s="43">
        <v>6390.0400599999994</v>
      </c>
      <c r="D206" s="43">
        <v>6071.3816500000003</v>
      </c>
      <c r="E206" s="43">
        <v>1745.9050099999999</v>
      </c>
      <c r="F206" s="43">
        <v>6811.0287699999999</v>
      </c>
      <c r="G206" s="43">
        <v>109.93391</v>
      </c>
      <c r="H206" s="43"/>
      <c r="I206" s="43">
        <v>0</v>
      </c>
      <c r="J206" s="44">
        <v>21128.289399999998</v>
      </c>
      <c r="K206" s="55"/>
      <c r="L206" s="43">
        <v>38.805</v>
      </c>
    </row>
    <row r="207" spans="1:12" ht="12.75" customHeight="1" x14ac:dyDescent="0.25">
      <c r="A207" s="42">
        <v>2019</v>
      </c>
      <c r="B207" s="42" t="s">
        <v>8</v>
      </c>
      <c r="C207" s="43">
        <v>6112.6060700000007</v>
      </c>
      <c r="D207" s="43">
        <v>6940.2137699999994</v>
      </c>
      <c r="E207" s="43">
        <v>1711.5599399999999</v>
      </c>
      <c r="F207" s="43">
        <v>2969.5623700000001</v>
      </c>
      <c r="G207" s="43">
        <v>1235.29963</v>
      </c>
      <c r="H207" s="43"/>
      <c r="I207" s="43">
        <v>1751.7737199999999</v>
      </c>
      <c r="J207" s="44">
        <v>20721.015500000001</v>
      </c>
      <c r="K207" s="55"/>
      <c r="L207" s="43">
        <v>29.175999999999998</v>
      </c>
    </row>
    <row r="208" spans="1:12" ht="12.75" customHeight="1" x14ac:dyDescent="0.25">
      <c r="A208" s="42">
        <v>2019</v>
      </c>
      <c r="B208" s="42" t="s">
        <v>9</v>
      </c>
      <c r="C208" s="43">
        <v>4732.9882099999995</v>
      </c>
      <c r="D208" s="43">
        <v>6168.6685800000005</v>
      </c>
      <c r="E208" s="43">
        <v>3785.5426900000002</v>
      </c>
      <c r="F208" s="43">
        <v>5890.9440700000005</v>
      </c>
      <c r="G208" s="43">
        <v>2313.7492000000002</v>
      </c>
      <c r="H208" s="43"/>
      <c r="I208" s="43">
        <v>4668.1973900000003</v>
      </c>
      <c r="J208" s="44">
        <v>27560.09014</v>
      </c>
      <c r="K208" s="55"/>
      <c r="L208" s="43">
        <v>31.347000000000001</v>
      </c>
    </row>
    <row r="209" spans="1:12" ht="12.75" customHeight="1" x14ac:dyDescent="0.25">
      <c r="A209" s="42">
        <v>2019</v>
      </c>
      <c r="B209" s="42" t="s">
        <v>10</v>
      </c>
      <c r="C209" s="43">
        <v>4647.1409199999998</v>
      </c>
      <c r="D209" s="43">
        <v>6922.0960400000013</v>
      </c>
      <c r="E209" s="43">
        <v>2654.6032099999998</v>
      </c>
      <c r="F209" s="43">
        <v>4046.5439699999997</v>
      </c>
      <c r="G209" s="43">
        <v>1107.8639699999999</v>
      </c>
      <c r="H209" s="43"/>
      <c r="I209" s="43">
        <v>6719.0986600000006</v>
      </c>
      <c r="J209" s="44">
        <v>26097.34677</v>
      </c>
      <c r="K209" s="55"/>
      <c r="L209" s="43">
        <v>27.434999999999999</v>
      </c>
    </row>
    <row r="210" spans="1:12" ht="12.75" customHeight="1" x14ac:dyDescent="0.25">
      <c r="A210" s="42">
        <v>2019</v>
      </c>
      <c r="B210" s="42" t="s">
        <v>11</v>
      </c>
      <c r="C210" s="43">
        <v>7474.3239700000004</v>
      </c>
      <c r="D210" s="43">
        <v>8646.9517599999999</v>
      </c>
      <c r="E210" s="43">
        <v>2408.9535699999997</v>
      </c>
      <c r="F210" s="43">
        <v>6024.036540000001</v>
      </c>
      <c r="G210" s="43">
        <v>1927.9077199999999</v>
      </c>
      <c r="H210" s="43"/>
      <c r="I210" s="43">
        <v>3023.1756399999999</v>
      </c>
      <c r="J210" s="44">
        <v>29505.349200000001</v>
      </c>
      <c r="K210" s="55"/>
      <c r="L210" s="43">
        <v>29.274999999999999</v>
      </c>
    </row>
    <row r="211" spans="1:12" ht="12.75" customHeight="1" x14ac:dyDescent="0.25">
      <c r="A211" s="42">
        <v>2019</v>
      </c>
      <c r="B211" s="42" t="s">
        <v>12</v>
      </c>
      <c r="C211" s="43">
        <v>2723.3054900000002</v>
      </c>
      <c r="D211" s="43">
        <v>5999.9847599999994</v>
      </c>
      <c r="E211" s="43">
        <v>1197.3683599999999</v>
      </c>
      <c r="F211" s="43">
        <v>5891.0108499999997</v>
      </c>
      <c r="G211" s="43">
        <v>1973.1620899999998</v>
      </c>
      <c r="H211" s="43"/>
      <c r="I211" s="43">
        <v>1564.2089699999999</v>
      </c>
      <c r="J211" s="44">
        <v>19349.040520000002</v>
      </c>
      <c r="K211" s="55"/>
      <c r="L211" s="43">
        <v>30.117000000000001</v>
      </c>
    </row>
    <row r="212" spans="1:12" ht="12.75" customHeight="1" x14ac:dyDescent="0.25">
      <c r="A212" s="42">
        <v>2019</v>
      </c>
      <c r="B212" s="42" t="s">
        <v>13</v>
      </c>
      <c r="C212" s="43">
        <v>4498.2816299999995</v>
      </c>
      <c r="D212" s="43">
        <v>4666.8026999999993</v>
      </c>
      <c r="E212" s="43">
        <v>904.92590000000007</v>
      </c>
      <c r="F212" s="43">
        <v>4901.6255799999999</v>
      </c>
      <c r="G212" s="43">
        <v>964.66453999999999</v>
      </c>
      <c r="H212" s="43"/>
      <c r="I212" s="43">
        <v>2054.8068399999997</v>
      </c>
      <c r="J212" s="44">
        <v>17991.107189999999</v>
      </c>
      <c r="K212" s="55"/>
      <c r="L212" s="43">
        <v>37.802</v>
      </c>
    </row>
    <row r="213" spans="1:12" ht="12.75" customHeight="1" x14ac:dyDescent="0.25">
      <c r="A213" s="42">
        <v>2019</v>
      </c>
      <c r="B213" s="42" t="s">
        <v>14</v>
      </c>
      <c r="C213" s="43">
        <v>3966.2902299999996</v>
      </c>
      <c r="D213" s="43">
        <v>3695.6119000000003</v>
      </c>
      <c r="E213" s="43">
        <v>2889.8012899999999</v>
      </c>
      <c r="F213" s="43">
        <v>4591.0946000000004</v>
      </c>
      <c r="G213" s="43">
        <v>2194.1964500000004</v>
      </c>
      <c r="H213" s="43"/>
      <c r="I213" s="43">
        <v>2018.2166099999999</v>
      </c>
      <c r="J213" s="44">
        <v>19355.211080000001</v>
      </c>
      <c r="K213" s="55"/>
      <c r="L213" s="43">
        <v>53.588999999999999</v>
      </c>
    </row>
    <row r="214" spans="1:12" ht="12.75" customHeight="1" x14ac:dyDescent="0.25">
      <c r="A214" s="42">
        <v>2019</v>
      </c>
      <c r="B214" s="42" t="s">
        <v>15</v>
      </c>
      <c r="C214" s="43">
        <v>62126.885829999992</v>
      </c>
      <c r="D214" s="43">
        <v>65382.172320000005</v>
      </c>
      <c r="E214" s="43">
        <v>19984.416789999999</v>
      </c>
      <c r="F214" s="43">
        <v>55563.810119999995</v>
      </c>
      <c r="G214" s="43">
        <v>13777.380819999998</v>
      </c>
      <c r="H214" s="43"/>
      <c r="I214" s="43">
        <v>23643.689730000002</v>
      </c>
      <c r="J214" s="44">
        <v>240478.35561</v>
      </c>
      <c r="K214" s="55"/>
      <c r="L214" s="43">
        <v>395.04600000000005</v>
      </c>
    </row>
    <row r="215" spans="1:12" ht="12.75" customHeight="1" x14ac:dyDescent="0.25">
      <c r="A215" s="42">
        <v>2020</v>
      </c>
      <c r="B215" s="42" t="s">
        <v>3</v>
      </c>
      <c r="C215" s="43">
        <v>5655.2411000000002</v>
      </c>
      <c r="D215" s="43">
        <v>7094.9221100000004</v>
      </c>
      <c r="E215" s="43">
        <v>3147.1130200000002</v>
      </c>
      <c r="F215" s="43">
        <v>4450.6312099999996</v>
      </c>
      <c r="G215" s="43">
        <v>837.68517000000008</v>
      </c>
      <c r="H215" s="43">
        <v>0</v>
      </c>
      <c r="I215" s="43">
        <v>0</v>
      </c>
      <c r="J215" s="44">
        <v>21185.592610000003</v>
      </c>
      <c r="K215" s="55"/>
      <c r="L215" s="43">
        <v>48.154000000000003</v>
      </c>
    </row>
    <row r="216" spans="1:12" ht="12.75" customHeight="1" x14ac:dyDescent="0.25">
      <c r="A216" s="42">
        <v>2020</v>
      </c>
      <c r="B216" s="42" t="s">
        <v>4</v>
      </c>
      <c r="C216" s="43">
        <v>3693.75504</v>
      </c>
      <c r="D216" s="43">
        <v>5810.8027400000001</v>
      </c>
      <c r="E216" s="43">
        <v>3940.5706500000006</v>
      </c>
      <c r="F216" s="43">
        <v>5269.6418300000005</v>
      </c>
      <c r="G216" s="43">
        <v>0</v>
      </c>
      <c r="H216" s="43">
        <v>0</v>
      </c>
      <c r="I216" s="43">
        <v>559.64015000000006</v>
      </c>
      <c r="J216" s="44">
        <v>19274.41041</v>
      </c>
      <c r="K216" s="55"/>
      <c r="L216" s="43">
        <v>48.688000000000002</v>
      </c>
    </row>
    <row r="217" spans="1:12" ht="12.75" customHeight="1" x14ac:dyDescent="0.25">
      <c r="A217" s="42">
        <v>2020</v>
      </c>
      <c r="B217" s="42" t="s">
        <v>5</v>
      </c>
      <c r="C217" s="43">
        <v>5788.4115000000002</v>
      </c>
      <c r="D217" s="43">
        <v>6159.8778400000001</v>
      </c>
      <c r="E217" s="43">
        <v>4045.2189500000004</v>
      </c>
      <c r="F217" s="43">
        <v>6209.0407100000002</v>
      </c>
      <c r="G217" s="43">
        <v>1101.6704099999999</v>
      </c>
      <c r="H217" s="43">
        <v>0</v>
      </c>
      <c r="I217" s="43">
        <v>889.43600000000004</v>
      </c>
      <c r="J217" s="44">
        <v>24193.655409999999</v>
      </c>
      <c r="K217" s="55"/>
      <c r="L217" s="43">
        <v>32.631</v>
      </c>
    </row>
    <row r="218" spans="1:12" ht="12.75" customHeight="1" x14ac:dyDescent="0.25">
      <c r="A218" s="42">
        <v>2020</v>
      </c>
      <c r="B218" s="42" t="s">
        <v>6</v>
      </c>
      <c r="C218" s="43">
        <v>2852.7992899999999</v>
      </c>
      <c r="D218" s="43">
        <v>4879.20604</v>
      </c>
      <c r="E218" s="43">
        <v>1822.75225</v>
      </c>
      <c r="F218" s="43">
        <v>1863.43958</v>
      </c>
      <c r="G218" s="43">
        <v>1949.10825</v>
      </c>
      <c r="H218" s="43">
        <v>0</v>
      </c>
      <c r="I218" s="43">
        <v>2287.6472999999996</v>
      </c>
      <c r="J218" s="44">
        <v>15654.952709999998</v>
      </c>
      <c r="K218" s="55"/>
      <c r="L218" s="43">
        <v>11.542999999999999</v>
      </c>
    </row>
    <row r="219" spans="1:12" ht="12.75" customHeight="1" x14ac:dyDescent="0.25">
      <c r="A219" s="42">
        <v>2020</v>
      </c>
      <c r="B219" s="42" t="s">
        <v>7</v>
      </c>
      <c r="C219" s="43">
        <v>2991.63204</v>
      </c>
      <c r="D219" s="43">
        <v>5297.9680799999996</v>
      </c>
      <c r="E219" s="43">
        <v>2860.58374</v>
      </c>
      <c r="F219" s="43">
        <v>3831.8474600000004</v>
      </c>
      <c r="G219" s="43">
        <v>1940.62608</v>
      </c>
      <c r="H219" s="43">
        <v>0</v>
      </c>
      <c r="I219" s="43">
        <v>2845.3861999999999</v>
      </c>
      <c r="J219" s="44">
        <v>19768.043600000001</v>
      </c>
      <c r="K219" s="55"/>
      <c r="L219" s="43">
        <v>10.393000000000001</v>
      </c>
    </row>
    <row r="220" spans="1:12" ht="12.75" customHeight="1" x14ac:dyDescent="0.25">
      <c r="A220" s="42">
        <v>2020</v>
      </c>
      <c r="B220" s="42" t="s">
        <v>8</v>
      </c>
      <c r="C220" s="43">
        <v>3433.7665200000001</v>
      </c>
      <c r="D220" s="43">
        <v>4921.8609400000005</v>
      </c>
      <c r="E220" s="43">
        <v>3344.1238800000001</v>
      </c>
      <c r="F220" s="43">
        <v>3312.9188100000001</v>
      </c>
      <c r="G220" s="43">
        <v>3075.81988</v>
      </c>
      <c r="H220" s="43">
        <v>0</v>
      </c>
      <c r="I220" s="43">
        <v>995.10029000000009</v>
      </c>
      <c r="J220" s="44">
        <v>19083.590319999996</v>
      </c>
      <c r="K220" s="55"/>
      <c r="L220" s="43">
        <v>0</v>
      </c>
    </row>
    <row r="221" spans="1:12" ht="12.75" customHeight="1" x14ac:dyDescent="0.25">
      <c r="A221" s="42">
        <v>2020</v>
      </c>
      <c r="B221" s="42" t="s">
        <v>9</v>
      </c>
      <c r="C221" s="43">
        <v>6871.4573700000001</v>
      </c>
      <c r="D221" s="43">
        <v>3953.8212200000003</v>
      </c>
      <c r="E221" s="43">
        <v>3528.2296200000001</v>
      </c>
      <c r="F221" s="43">
        <v>4692.2732599999999</v>
      </c>
      <c r="G221" s="43">
        <v>1096.17678</v>
      </c>
      <c r="H221" s="43">
        <v>0</v>
      </c>
      <c r="I221" s="43">
        <v>2473.2338399999999</v>
      </c>
      <c r="J221" s="44">
        <v>22615.192090000004</v>
      </c>
      <c r="K221" s="55"/>
      <c r="L221" s="43">
        <v>14.269</v>
      </c>
    </row>
    <row r="222" spans="1:12" ht="12.75" customHeight="1" x14ac:dyDescent="0.25">
      <c r="A222" s="42">
        <v>2020</v>
      </c>
      <c r="B222" s="42" t="s">
        <v>10</v>
      </c>
      <c r="C222" s="43">
        <v>3701.3300799999997</v>
      </c>
      <c r="D222" s="43">
        <v>5871.7431899999992</v>
      </c>
      <c r="E222" s="43">
        <v>3930.7369000000003</v>
      </c>
      <c r="F222" s="43">
        <v>4736.9892800000007</v>
      </c>
      <c r="G222" s="43">
        <v>2006.06476</v>
      </c>
      <c r="H222" s="43">
        <v>0</v>
      </c>
      <c r="I222" s="43">
        <v>2393.2089900000001</v>
      </c>
      <c r="J222" s="44">
        <v>22640.073199999999</v>
      </c>
      <c r="K222" s="55"/>
      <c r="L222" s="43">
        <v>27.442</v>
      </c>
    </row>
    <row r="223" spans="1:12" ht="12.75" customHeight="1" x14ac:dyDescent="0.25">
      <c r="A223" s="42">
        <v>2020</v>
      </c>
      <c r="B223" s="42" t="s">
        <v>11</v>
      </c>
      <c r="C223" s="43">
        <v>4808.5653500000008</v>
      </c>
      <c r="D223" s="43">
        <v>4701.0495999999994</v>
      </c>
      <c r="E223" s="43">
        <v>1936.0616699999998</v>
      </c>
      <c r="F223" s="43">
        <v>3705.45469</v>
      </c>
      <c r="G223" s="43">
        <v>2030.0712399999998</v>
      </c>
      <c r="H223" s="43">
        <v>0</v>
      </c>
      <c r="I223" s="43">
        <v>2932.89221</v>
      </c>
      <c r="J223" s="44">
        <v>20114.09476</v>
      </c>
      <c r="K223" s="55"/>
      <c r="L223" s="43">
        <v>12.771000000000001</v>
      </c>
    </row>
    <row r="224" spans="1:12" ht="12.75" customHeight="1" x14ac:dyDescent="0.25">
      <c r="A224" s="42">
        <v>2020</v>
      </c>
      <c r="B224" s="42" t="s">
        <v>12</v>
      </c>
      <c r="C224" s="43">
        <v>879.65721999999994</v>
      </c>
      <c r="D224" s="43">
        <v>3058.8533200000002</v>
      </c>
      <c r="E224" s="43">
        <v>2755.4055199999998</v>
      </c>
      <c r="F224" s="43">
        <v>4080.2777300000002</v>
      </c>
      <c r="G224" s="43">
        <v>1989.35833</v>
      </c>
      <c r="H224" s="43">
        <v>0</v>
      </c>
      <c r="I224" s="43">
        <v>496.16288000000003</v>
      </c>
      <c r="J224" s="44">
        <v>13259.715</v>
      </c>
      <c r="K224" s="55"/>
      <c r="L224" s="43">
        <v>0</v>
      </c>
    </row>
    <row r="225" spans="1:12" ht="12.75" customHeight="1" x14ac:dyDescent="0.25">
      <c r="A225" s="42">
        <v>2020</v>
      </c>
      <c r="B225" s="42" t="s">
        <v>13</v>
      </c>
      <c r="C225" s="43">
        <v>1873.6955699999999</v>
      </c>
      <c r="D225" s="43">
        <v>4093.9428899999998</v>
      </c>
      <c r="E225" s="43">
        <v>979.38792000000001</v>
      </c>
      <c r="F225" s="43">
        <v>2849.0843</v>
      </c>
      <c r="G225" s="43">
        <v>2916.0174900000002</v>
      </c>
      <c r="H225" s="43">
        <v>0</v>
      </c>
      <c r="I225" s="43">
        <v>2156.3047199999996</v>
      </c>
      <c r="J225" s="44">
        <v>14868.43289</v>
      </c>
      <c r="K225" s="55"/>
      <c r="L225" s="43">
        <v>17.843</v>
      </c>
    </row>
    <row r="226" spans="1:12" ht="12.75" customHeight="1" x14ac:dyDescent="0.25">
      <c r="A226" s="42">
        <v>2020</v>
      </c>
      <c r="B226" s="42" t="s">
        <v>14</v>
      </c>
      <c r="C226" s="43">
        <v>3382.04414</v>
      </c>
      <c r="D226" s="43">
        <v>1939.4013300000001</v>
      </c>
      <c r="E226" s="43">
        <v>1927.1528400000002</v>
      </c>
      <c r="F226" s="43">
        <v>4102.7296400000005</v>
      </c>
      <c r="G226" s="43">
        <v>2682.8256000000001</v>
      </c>
      <c r="H226" s="43">
        <v>0</v>
      </c>
      <c r="I226" s="43">
        <v>2043.4444899999999</v>
      </c>
      <c r="J226" s="44">
        <v>16077.598040000003</v>
      </c>
      <c r="K226" s="55"/>
      <c r="L226" s="43">
        <v>0</v>
      </c>
    </row>
    <row r="227" spans="1:12" ht="12.75" customHeight="1" x14ac:dyDescent="0.25">
      <c r="A227" s="42">
        <v>2020</v>
      </c>
      <c r="B227" s="42" t="s">
        <v>15</v>
      </c>
      <c r="C227" s="43">
        <v>45932.355220000012</v>
      </c>
      <c r="D227" s="43">
        <v>57783.4493</v>
      </c>
      <c r="E227" s="43">
        <v>34217.336960000001</v>
      </c>
      <c r="F227" s="43">
        <v>49104.328500000003</v>
      </c>
      <c r="G227" s="43">
        <v>21625.423989999999</v>
      </c>
      <c r="H227" s="43">
        <v>0</v>
      </c>
      <c r="I227" s="43">
        <v>20072.457069999997</v>
      </c>
      <c r="J227" s="44">
        <v>228735.35104000001</v>
      </c>
      <c r="K227" s="55"/>
      <c r="L227" s="43">
        <v>223.73400000000001</v>
      </c>
    </row>
    <row r="228" spans="1:12" ht="12.75" customHeight="1" x14ac:dyDescent="0.25">
      <c r="A228" s="42">
        <v>2021</v>
      </c>
      <c r="B228" s="42" t="s">
        <v>3</v>
      </c>
      <c r="C228" s="43">
        <v>1848.1715800000002</v>
      </c>
      <c r="D228" s="43">
        <v>3752.3248699999995</v>
      </c>
      <c r="E228" s="43">
        <v>2810.7705799999999</v>
      </c>
      <c r="F228" s="43">
        <v>2840.36</v>
      </c>
      <c r="G228" s="43">
        <v>2561.2083600000001</v>
      </c>
      <c r="H228" s="43">
        <v>0</v>
      </c>
      <c r="I228" s="43">
        <v>1985.8011799999999</v>
      </c>
      <c r="J228" s="44">
        <v>15798.636570000001</v>
      </c>
      <c r="K228" s="55"/>
      <c r="L228" s="43">
        <v>13.92332</v>
      </c>
    </row>
    <row r="229" spans="1:12" ht="12.75" customHeight="1" x14ac:dyDescent="0.25">
      <c r="A229" s="42">
        <v>2021</v>
      </c>
      <c r="B229" s="42" t="s">
        <v>4</v>
      </c>
      <c r="C229" s="43">
        <v>1788.3342600000001</v>
      </c>
      <c r="D229" s="43">
        <v>5185.8901500000002</v>
      </c>
      <c r="E229" s="43">
        <v>1595.1339399999999</v>
      </c>
      <c r="F229" s="43">
        <v>3965.4278899999999</v>
      </c>
      <c r="G229" s="43">
        <v>2105.1776</v>
      </c>
      <c r="H229" s="43">
        <v>0</v>
      </c>
      <c r="I229" s="43">
        <v>948.00917000000004</v>
      </c>
      <c r="J229" s="44">
        <v>15587.97301</v>
      </c>
      <c r="K229" s="55"/>
      <c r="L229" s="43">
        <v>0</v>
      </c>
    </row>
    <row r="230" spans="1:12" ht="12.75" customHeight="1" x14ac:dyDescent="0.25">
      <c r="A230" s="42">
        <v>2021</v>
      </c>
      <c r="B230" s="42" t="s">
        <v>5</v>
      </c>
      <c r="C230" s="43">
        <v>2883.09764</v>
      </c>
      <c r="D230" s="43">
        <v>3007.7671500000001</v>
      </c>
      <c r="E230" s="43">
        <v>912.50522999999998</v>
      </c>
      <c r="F230" s="43">
        <v>4833.5243900000005</v>
      </c>
      <c r="G230" s="43">
        <v>3163.8394000000003</v>
      </c>
      <c r="H230" s="43">
        <v>0</v>
      </c>
      <c r="I230" s="43">
        <v>494.1696</v>
      </c>
      <c r="J230" s="44">
        <v>15294.903410000001</v>
      </c>
      <c r="K230" s="55"/>
      <c r="L230" s="43">
        <v>32.384</v>
      </c>
    </row>
    <row r="231" spans="1:12" ht="12.75" customHeight="1" x14ac:dyDescent="0.25">
      <c r="A231" s="42">
        <v>2021</v>
      </c>
      <c r="B231" s="42" t="s">
        <v>6</v>
      </c>
      <c r="C231" s="43">
        <v>1803.5341299999998</v>
      </c>
      <c r="D231" s="43">
        <v>2932.76901</v>
      </c>
      <c r="E231" s="43">
        <v>6613.8006899999991</v>
      </c>
      <c r="F231" s="43">
        <v>1749.90175</v>
      </c>
      <c r="G231" s="43">
        <v>1940.6593199999998</v>
      </c>
      <c r="H231" s="43">
        <v>0</v>
      </c>
      <c r="I231" s="43">
        <v>3588.1744800000006</v>
      </c>
      <c r="J231" s="44">
        <v>18628.839380000001</v>
      </c>
      <c r="K231" s="55"/>
      <c r="L231" s="43">
        <v>12.465999999999999</v>
      </c>
    </row>
    <row r="232" spans="1:12" ht="12.75" customHeight="1" x14ac:dyDescent="0.25">
      <c r="A232" s="42">
        <v>2021</v>
      </c>
      <c r="B232" s="42" t="s">
        <v>7</v>
      </c>
      <c r="C232" s="43">
        <v>5603.88976</v>
      </c>
      <c r="D232" s="43">
        <v>2081.7350200000001</v>
      </c>
      <c r="E232" s="43">
        <v>2020.2923199999998</v>
      </c>
      <c r="F232" s="43">
        <v>3023.9712000000004</v>
      </c>
      <c r="G232" s="43">
        <v>2010.8889699999997</v>
      </c>
      <c r="H232" s="43">
        <v>0</v>
      </c>
      <c r="I232" s="43">
        <v>1134.0091200000002</v>
      </c>
      <c r="J232" s="44">
        <v>15874.786390000001</v>
      </c>
      <c r="K232" s="55"/>
      <c r="L232" s="43">
        <v>16.513000000000002</v>
      </c>
    </row>
    <row r="233" spans="1:12" ht="12.75" customHeight="1" x14ac:dyDescent="0.25">
      <c r="A233" s="42">
        <v>2021</v>
      </c>
      <c r="B233" s="42" t="s">
        <v>8</v>
      </c>
      <c r="C233" s="43">
        <v>2525.5640600000002</v>
      </c>
      <c r="D233" s="43">
        <v>5146.5015600000006</v>
      </c>
      <c r="E233" s="43">
        <v>2251.0561200000002</v>
      </c>
      <c r="F233" s="43">
        <v>3909.4646700000003</v>
      </c>
      <c r="G233" s="43">
        <v>2189.4259999999999</v>
      </c>
      <c r="H233" s="43">
        <v>0</v>
      </c>
      <c r="I233" s="43">
        <v>2084.1641500000001</v>
      </c>
      <c r="J233" s="44">
        <v>18106.176560000004</v>
      </c>
      <c r="K233" s="55"/>
      <c r="L233" s="43">
        <v>13.695</v>
      </c>
    </row>
    <row r="234" spans="1:12" ht="12.75" customHeight="1" x14ac:dyDescent="0.25">
      <c r="A234" s="42">
        <v>2021</v>
      </c>
      <c r="B234" s="42" t="s">
        <v>9</v>
      </c>
      <c r="C234" s="43">
        <v>1794.9865500000001</v>
      </c>
      <c r="D234" s="43">
        <v>3643.8987299999994</v>
      </c>
      <c r="E234" s="43">
        <v>1712.64949</v>
      </c>
      <c r="F234" s="43">
        <v>2065.4713299999999</v>
      </c>
      <c r="G234" s="43">
        <v>2180.9305899999999</v>
      </c>
      <c r="H234" s="43">
        <v>0</v>
      </c>
      <c r="I234" s="43">
        <v>973.90845999999999</v>
      </c>
      <c r="J234" s="44">
        <v>12371.845149999999</v>
      </c>
      <c r="K234" s="55"/>
      <c r="L234" s="43">
        <v>35.342889999999997</v>
      </c>
    </row>
    <row r="235" spans="1:12" ht="12.75" customHeight="1" x14ac:dyDescent="0.25">
      <c r="A235" s="42">
        <v>2021</v>
      </c>
      <c r="B235" s="42" t="s">
        <v>10</v>
      </c>
      <c r="C235" s="43">
        <v>4153.8989900000006</v>
      </c>
      <c r="D235" s="43">
        <v>3909.8257300000005</v>
      </c>
      <c r="E235" s="43">
        <v>4082.7466199999999</v>
      </c>
      <c r="F235" s="43">
        <v>5550.5657700000002</v>
      </c>
      <c r="G235" s="43">
        <v>1112.2475099999999</v>
      </c>
      <c r="H235" s="43">
        <v>0</v>
      </c>
      <c r="I235" s="43">
        <v>2680.4987600000004</v>
      </c>
      <c r="J235" s="44">
        <v>21489.783380000001</v>
      </c>
      <c r="K235" s="55"/>
      <c r="L235" s="43">
        <v>70.543999999999997</v>
      </c>
    </row>
    <row r="236" spans="1:12" ht="12.75" customHeight="1" x14ac:dyDescent="0.25">
      <c r="A236" s="42">
        <v>2021</v>
      </c>
      <c r="B236" s="42" t="s">
        <v>11</v>
      </c>
      <c r="C236" s="43">
        <v>2692.8024100000002</v>
      </c>
      <c r="D236" s="43">
        <v>1833.57726</v>
      </c>
      <c r="E236" s="43">
        <v>3768.9410400000002</v>
      </c>
      <c r="F236" s="43">
        <v>5579.4502399999992</v>
      </c>
      <c r="G236" s="43">
        <v>2113.0482700000002</v>
      </c>
      <c r="H236" s="43">
        <v>0</v>
      </c>
      <c r="I236" s="43">
        <v>715.98050999999998</v>
      </c>
      <c r="J236" s="44">
        <v>16703.799729999999</v>
      </c>
      <c r="K236" s="55"/>
      <c r="L236" s="43">
        <v>47.463000000000001</v>
      </c>
    </row>
    <row r="237" spans="1:12" ht="12.75" customHeight="1" x14ac:dyDescent="0.25">
      <c r="A237" s="42">
        <v>2021</v>
      </c>
      <c r="B237" s="42" t="s">
        <v>12</v>
      </c>
      <c r="C237" s="43">
        <v>5811.8213400000004</v>
      </c>
      <c r="D237" s="43">
        <v>4166.9684200000002</v>
      </c>
      <c r="E237" s="43">
        <v>2316.9575700000005</v>
      </c>
      <c r="F237" s="43">
        <v>4335.5139500000005</v>
      </c>
      <c r="G237" s="43">
        <v>1979.64789</v>
      </c>
      <c r="H237" s="43">
        <v>0</v>
      </c>
      <c r="I237" s="43">
        <v>7328.0589400000008</v>
      </c>
      <c r="J237" s="44">
        <v>25938.968110000002</v>
      </c>
      <c r="K237" s="55"/>
      <c r="L237" s="43">
        <v>15.225</v>
      </c>
    </row>
    <row r="238" spans="1:12" ht="12.75" customHeight="1" x14ac:dyDescent="0.25">
      <c r="A238" s="42">
        <v>2021</v>
      </c>
      <c r="B238" s="42" t="s">
        <v>13</v>
      </c>
      <c r="C238" s="49">
        <v>4480.9102999999996</v>
      </c>
      <c r="D238" s="49">
        <v>5465.5824299999995</v>
      </c>
      <c r="E238" s="49">
        <v>4613.8129100000006</v>
      </c>
      <c r="F238" s="49">
        <v>5020.8280399999994</v>
      </c>
      <c r="G238" s="49">
        <v>2186.2634199999998</v>
      </c>
      <c r="H238" s="49">
        <v>0</v>
      </c>
      <c r="I238" s="49">
        <v>2235.6854800000001</v>
      </c>
      <c r="J238" s="56">
        <v>24003.082579999998</v>
      </c>
      <c r="K238" s="49"/>
      <c r="L238" s="55">
        <v>42.771999999999998</v>
      </c>
    </row>
    <row r="239" spans="1:12" ht="12.75" customHeight="1" x14ac:dyDescent="0.25">
      <c r="A239" s="42">
        <v>2021</v>
      </c>
      <c r="B239" s="42" t="s">
        <v>14</v>
      </c>
      <c r="C239" s="49">
        <v>3036.2295800000002</v>
      </c>
      <c r="D239" s="49">
        <v>6085.2177899999988</v>
      </c>
      <c r="E239" s="49">
        <v>4199.5736799999995</v>
      </c>
      <c r="F239" s="49">
        <v>6669.9805500000002</v>
      </c>
      <c r="G239" s="49">
        <v>2024.2159300000001</v>
      </c>
      <c r="H239" s="49">
        <v>0</v>
      </c>
      <c r="I239" s="49">
        <v>4440.8706500000008</v>
      </c>
      <c r="J239" s="56">
        <v>26456.088179999995</v>
      </c>
      <c r="K239" s="49"/>
      <c r="L239" s="55">
        <v>15.321</v>
      </c>
    </row>
    <row r="240" spans="1:12" ht="12.75" customHeight="1" x14ac:dyDescent="0.25">
      <c r="A240" s="42">
        <v>2021</v>
      </c>
      <c r="B240" s="42" t="s">
        <v>15</v>
      </c>
      <c r="C240" s="49">
        <v>38423.240600000005</v>
      </c>
      <c r="D240" s="49">
        <v>47212.058120000002</v>
      </c>
      <c r="E240" s="49">
        <v>36898.240190000004</v>
      </c>
      <c r="F240" s="49">
        <v>49544.459780000005</v>
      </c>
      <c r="G240" s="49">
        <v>25567.553259999997</v>
      </c>
      <c r="H240" s="49">
        <v>0</v>
      </c>
      <c r="I240" s="49">
        <v>28609.330500000004</v>
      </c>
      <c r="J240" s="56">
        <v>226254.88245</v>
      </c>
      <c r="K240" s="49"/>
      <c r="L240" s="55">
        <v>315.64921000000004</v>
      </c>
    </row>
    <row r="241" spans="1:12" ht="12.75" customHeight="1" x14ac:dyDescent="0.25">
      <c r="A241" s="51">
        <v>2022</v>
      </c>
      <c r="B241" s="48" t="s">
        <v>3</v>
      </c>
      <c r="C241" s="49">
        <v>6249.3570199999995</v>
      </c>
      <c r="D241" s="49">
        <v>4054.8640399999999</v>
      </c>
      <c r="E241" s="49">
        <v>5361.5543499999994</v>
      </c>
      <c r="F241" s="49">
        <v>4240.7599199999995</v>
      </c>
      <c r="G241" s="49">
        <v>2053.56313</v>
      </c>
      <c r="H241" s="49">
        <v>0</v>
      </c>
      <c r="I241" s="49">
        <v>4015.5335300000002</v>
      </c>
      <c r="J241" s="49">
        <v>25975.631989999998</v>
      </c>
      <c r="K241" s="49"/>
      <c r="L241" s="55">
        <v>77.825910000000007</v>
      </c>
    </row>
    <row r="242" spans="1:12" ht="12.75" customHeight="1" x14ac:dyDescent="0.25">
      <c r="A242" s="51">
        <v>2022</v>
      </c>
      <c r="B242" s="48" t="s">
        <v>4</v>
      </c>
      <c r="C242" s="49">
        <v>5281.2336899999991</v>
      </c>
      <c r="D242" s="49">
        <v>4102.1887799999995</v>
      </c>
      <c r="E242" s="49">
        <v>4463.9531500000003</v>
      </c>
      <c r="F242" s="49">
        <v>6377.3905299999997</v>
      </c>
      <c r="G242" s="49">
        <v>2011.0514900000001</v>
      </c>
      <c r="H242" s="49">
        <v>0</v>
      </c>
      <c r="I242" s="49">
        <v>4223.3590300000005</v>
      </c>
      <c r="J242" s="49">
        <v>26459.176670000001</v>
      </c>
      <c r="K242" s="49"/>
      <c r="L242" s="55">
        <v>32.110999999999997</v>
      </c>
    </row>
    <row r="243" spans="1:12" ht="12.75" customHeight="1" x14ac:dyDescent="0.25">
      <c r="A243" s="51">
        <v>2022</v>
      </c>
      <c r="B243" s="48" t="s">
        <v>5</v>
      </c>
      <c r="C243" s="49">
        <v>3145.2684399999998</v>
      </c>
      <c r="D243" s="49">
        <v>7500.8459399999992</v>
      </c>
      <c r="E243" s="49">
        <v>4161.8499099999999</v>
      </c>
      <c r="F243" s="49">
        <v>4772.0617300000004</v>
      </c>
      <c r="G243" s="49">
        <v>1059.4288999999999</v>
      </c>
      <c r="H243" s="49">
        <v>0</v>
      </c>
      <c r="I243" s="49">
        <v>6035.9293000000007</v>
      </c>
      <c r="J243" s="49">
        <v>26675.38422</v>
      </c>
      <c r="K243" s="49"/>
      <c r="L243" s="55">
        <v>14.296940000000001</v>
      </c>
    </row>
    <row r="244" spans="1:12" ht="12.75" customHeight="1" x14ac:dyDescent="0.25">
      <c r="A244" s="51">
        <v>2022</v>
      </c>
      <c r="B244" s="48" t="s">
        <v>6</v>
      </c>
      <c r="C244" s="49">
        <v>4463.5149900000006</v>
      </c>
      <c r="D244" s="49">
        <v>6466.4799800000001</v>
      </c>
      <c r="E244" s="49">
        <v>5110.1668899999995</v>
      </c>
      <c r="F244" s="49">
        <v>5791.3195400000004</v>
      </c>
      <c r="G244" s="49">
        <v>3127.3596699999998</v>
      </c>
      <c r="H244" s="49">
        <v>0</v>
      </c>
      <c r="I244" s="49">
        <v>5665.9648699999998</v>
      </c>
      <c r="J244" s="49">
        <v>30624.805940000002</v>
      </c>
      <c r="K244" s="49"/>
      <c r="L244" s="55">
        <v>10.566000000000001</v>
      </c>
    </row>
    <row r="245" spans="1:12" ht="12.75" customHeight="1" x14ac:dyDescent="0.25">
      <c r="A245" s="51">
        <v>2022</v>
      </c>
      <c r="B245" s="48" t="s">
        <v>7</v>
      </c>
      <c r="C245" s="49">
        <v>5412.2897999999996</v>
      </c>
      <c r="D245" s="49">
        <v>5361.8124299999999</v>
      </c>
      <c r="E245" s="49">
        <v>7410.4915699999983</v>
      </c>
      <c r="F245" s="49">
        <v>4704.0556500000002</v>
      </c>
      <c r="G245" s="49">
        <v>1752.3561399999999</v>
      </c>
      <c r="H245" s="49">
        <v>0</v>
      </c>
      <c r="I245" s="49">
        <v>3782.8240599999999</v>
      </c>
      <c r="J245" s="49">
        <v>28423.829649999996</v>
      </c>
      <c r="K245" s="49"/>
      <c r="L245" s="55">
        <v>7.5830000000000002</v>
      </c>
    </row>
    <row r="246" spans="1:12" ht="12.75" customHeight="1" x14ac:dyDescent="0.25">
      <c r="A246" s="51">
        <v>2022</v>
      </c>
      <c r="B246" s="48" t="s">
        <v>8</v>
      </c>
      <c r="C246" s="49">
        <v>5342.9144700000006</v>
      </c>
      <c r="D246" s="49">
        <v>5414.19722</v>
      </c>
      <c r="E246" s="49">
        <v>6145.2185899999995</v>
      </c>
      <c r="F246" s="49">
        <v>4605.9298200000003</v>
      </c>
      <c r="G246" s="49">
        <v>3291.3908600000004</v>
      </c>
      <c r="H246" s="49">
        <v>0</v>
      </c>
      <c r="I246" s="49">
        <v>2795.2583799999998</v>
      </c>
      <c r="J246" s="49">
        <v>27594.909340000002</v>
      </c>
      <c r="K246" s="49"/>
      <c r="L246" s="55">
        <v>18.834</v>
      </c>
    </row>
    <row r="247" spans="1:12" ht="12.75" customHeight="1" x14ac:dyDescent="0.25">
      <c r="A247" s="51">
        <v>2022</v>
      </c>
      <c r="B247" s="48" t="s">
        <v>9</v>
      </c>
      <c r="C247" s="49">
        <v>4242.7123599999995</v>
      </c>
      <c r="D247" s="49">
        <v>5344.9608600000001</v>
      </c>
      <c r="E247" s="49">
        <v>3868.17065</v>
      </c>
      <c r="F247" s="49">
        <v>5793.5465899999999</v>
      </c>
      <c r="G247" s="49">
        <v>1092.4154900000001</v>
      </c>
      <c r="H247" s="49">
        <v>0</v>
      </c>
      <c r="I247" s="49">
        <v>6106.2503299999998</v>
      </c>
      <c r="J247" s="49">
        <v>26448.056280000001</v>
      </c>
      <c r="K247" s="49"/>
      <c r="L247" s="55">
        <v>18.719000000000001</v>
      </c>
    </row>
    <row r="248" spans="1:12" ht="12.75" customHeight="1" x14ac:dyDescent="0.25">
      <c r="A248" s="51">
        <v>2022</v>
      </c>
      <c r="B248" s="48" t="s">
        <v>10</v>
      </c>
      <c r="C248" s="49">
        <v>3709.2574599999998</v>
      </c>
      <c r="D248" s="49">
        <v>6193.3789200000001</v>
      </c>
      <c r="E248" s="49">
        <v>2045.3543300000001</v>
      </c>
      <c r="F248" s="49">
        <v>5015.5296000000008</v>
      </c>
      <c r="G248" s="49">
        <v>1736.4324799999999</v>
      </c>
      <c r="H248" s="49">
        <v>0</v>
      </c>
      <c r="I248" s="49">
        <v>5397.1020499999995</v>
      </c>
      <c r="J248" s="49">
        <v>24097.054839999997</v>
      </c>
      <c r="K248" s="49"/>
      <c r="L248" s="55">
        <v>1.9745599999999999</v>
      </c>
    </row>
    <row r="249" spans="1:12" ht="12.75" customHeight="1" x14ac:dyDescent="0.25">
      <c r="A249" s="51">
        <v>2022</v>
      </c>
      <c r="B249" s="48" t="s">
        <v>11</v>
      </c>
      <c r="C249" s="49">
        <v>3887.7758900000008</v>
      </c>
      <c r="D249" s="49">
        <v>3663.8243700000003</v>
      </c>
      <c r="E249" s="49">
        <v>3703.4415300000001</v>
      </c>
      <c r="F249" s="49">
        <v>6442.0962099999988</v>
      </c>
      <c r="G249" s="49">
        <v>2103.69445</v>
      </c>
      <c r="H249" s="49">
        <v>0</v>
      </c>
      <c r="I249" s="49">
        <v>4689.8637900000003</v>
      </c>
      <c r="J249" s="49">
        <v>24490.696239999997</v>
      </c>
      <c r="K249" s="49"/>
      <c r="L249" s="55">
        <v>6.3928100000000008</v>
      </c>
    </row>
    <row r="250" spans="1:12" ht="12.75" customHeight="1" x14ac:dyDescent="0.25">
      <c r="A250" s="51">
        <v>2022</v>
      </c>
      <c r="B250" s="48" t="s">
        <v>12</v>
      </c>
      <c r="C250" s="49">
        <v>2683.0358999999999</v>
      </c>
      <c r="D250" s="49">
        <v>6238.0934100000004</v>
      </c>
      <c r="E250" s="49">
        <v>4719.9236100000007</v>
      </c>
      <c r="F250" s="49">
        <v>3648.7889799999998</v>
      </c>
      <c r="G250" s="49">
        <v>2128.6237599999999</v>
      </c>
      <c r="H250" s="49">
        <v>0</v>
      </c>
      <c r="I250" s="49">
        <v>4257.3584099999989</v>
      </c>
      <c r="J250" s="49">
        <v>23675.824070000002</v>
      </c>
      <c r="K250" s="49"/>
      <c r="L250" s="55">
        <v>3.2509999999999999</v>
      </c>
    </row>
    <row r="251" spans="1:12" ht="12.75" customHeight="1" x14ac:dyDescent="0.25">
      <c r="A251" s="51">
        <v>2022</v>
      </c>
      <c r="B251" s="48" t="s">
        <v>13</v>
      </c>
      <c r="C251" s="49">
        <v>3461.6061</v>
      </c>
      <c r="D251" s="49">
        <v>4418.6489299999994</v>
      </c>
      <c r="E251" s="49">
        <v>4457.9414999999999</v>
      </c>
      <c r="F251" s="49">
        <v>7285.8502400000007</v>
      </c>
      <c r="G251" s="49">
        <v>2105.9211</v>
      </c>
      <c r="H251" s="49">
        <v>0</v>
      </c>
      <c r="I251" s="49">
        <v>4835.4257400000006</v>
      </c>
      <c r="J251" s="49">
        <v>26565.393609999999</v>
      </c>
      <c r="K251" s="49"/>
      <c r="L251" s="55">
        <v>8.5765599999999989</v>
      </c>
    </row>
    <row r="252" spans="1:12" ht="12.75" customHeight="1" x14ac:dyDescent="0.25">
      <c r="A252" s="51">
        <v>2022</v>
      </c>
      <c r="B252" s="48" t="s">
        <v>14</v>
      </c>
      <c r="C252" s="49">
        <v>5303.6346299999996</v>
      </c>
      <c r="D252" s="49">
        <v>5822.2614599999997</v>
      </c>
      <c r="E252" s="49">
        <v>3559.0195300000005</v>
      </c>
      <c r="F252" s="49">
        <v>5049.9542199999996</v>
      </c>
      <c r="G252" s="49">
        <v>4130.64966</v>
      </c>
      <c r="H252" s="49">
        <v>0</v>
      </c>
      <c r="I252" s="49">
        <v>3965.5761399999997</v>
      </c>
      <c r="J252" s="49">
        <v>27831.09564</v>
      </c>
      <c r="K252" s="49"/>
      <c r="L252" s="55">
        <v>15.787000000000001</v>
      </c>
    </row>
    <row r="253" spans="1:12" ht="12.75" customHeight="1" x14ac:dyDescent="0.25">
      <c r="A253" s="51">
        <v>2022</v>
      </c>
      <c r="B253" s="48" t="s">
        <v>15</v>
      </c>
      <c r="C253" s="49">
        <v>53182.600750000005</v>
      </c>
      <c r="D253" s="49">
        <v>64581.556340000003</v>
      </c>
      <c r="E253" s="49">
        <v>55007.085610000002</v>
      </c>
      <c r="F253" s="49">
        <v>63727.283029999999</v>
      </c>
      <c r="G253" s="49">
        <v>26592.887129999996</v>
      </c>
      <c r="H253" s="49">
        <v>0</v>
      </c>
      <c r="I253" s="49">
        <v>55770.445629999995</v>
      </c>
      <c r="J253" s="49">
        <v>318861.85848999996</v>
      </c>
      <c r="K253" s="49"/>
      <c r="L253" s="55">
        <v>215.91778000000002</v>
      </c>
    </row>
    <row r="254" spans="1:12" ht="12.75" customHeight="1" x14ac:dyDescent="0.25">
      <c r="A254" s="42">
        <v>2023</v>
      </c>
      <c r="B254" s="42" t="s">
        <v>3</v>
      </c>
      <c r="C254" s="49">
        <v>2475.0206699999999</v>
      </c>
      <c r="D254" s="49">
        <v>3080.3571499999998</v>
      </c>
      <c r="E254" s="49">
        <v>4371.2758200000007</v>
      </c>
      <c r="F254" s="49">
        <v>7037.65175</v>
      </c>
      <c r="G254" s="49">
        <v>3210.64923</v>
      </c>
      <c r="H254" s="49">
        <v>0</v>
      </c>
      <c r="I254" s="49">
        <v>2202.4983299999999</v>
      </c>
      <c r="J254" s="56">
        <v>22377.452949999999</v>
      </c>
      <c r="K254" s="49"/>
      <c r="L254" s="55">
        <v>0</v>
      </c>
    </row>
    <row r="255" spans="1:12" ht="12.75" customHeight="1" x14ac:dyDescent="0.25">
      <c r="A255" s="42">
        <v>2023</v>
      </c>
      <c r="B255" s="42" t="s">
        <v>4</v>
      </c>
      <c r="C255" s="49">
        <v>2498.6456899999998</v>
      </c>
      <c r="D255" s="49">
        <v>6333.1459999999997</v>
      </c>
      <c r="E255" s="49">
        <v>2840.9202099999998</v>
      </c>
      <c r="F255" s="49">
        <v>5496.2239900000004</v>
      </c>
      <c r="G255" s="49">
        <v>2205.9315499999998</v>
      </c>
      <c r="H255" s="49">
        <v>0</v>
      </c>
      <c r="I255" s="49">
        <v>2103.9849399999998</v>
      </c>
      <c r="J255" s="56">
        <v>21478.85238</v>
      </c>
      <c r="K255" s="49"/>
      <c r="L255" s="55">
        <v>0</v>
      </c>
    </row>
    <row r="256" spans="1:12" ht="12.75" customHeight="1" x14ac:dyDescent="0.25">
      <c r="A256" s="42">
        <v>2023</v>
      </c>
      <c r="B256" s="42" t="s">
        <v>5</v>
      </c>
      <c r="C256" s="49">
        <v>6927.3922699999994</v>
      </c>
      <c r="D256" s="49">
        <v>6171.45838</v>
      </c>
      <c r="E256" s="49">
        <v>4313.0862300000008</v>
      </c>
      <c r="F256" s="49">
        <v>2764.2141799999995</v>
      </c>
      <c r="G256" s="49">
        <v>2278.5643099999998</v>
      </c>
      <c r="H256" s="49">
        <v>0</v>
      </c>
      <c r="I256" s="49">
        <v>7487.6021200000005</v>
      </c>
      <c r="J256" s="56">
        <v>29942.317489999998</v>
      </c>
      <c r="K256" s="49"/>
      <c r="L256" s="55">
        <v>0</v>
      </c>
    </row>
    <row r="257" spans="1:12" ht="12.75" customHeight="1" x14ac:dyDescent="0.25">
      <c r="A257" s="42">
        <v>2023</v>
      </c>
      <c r="B257" s="42" t="s">
        <v>6</v>
      </c>
      <c r="C257" s="49">
        <v>4770.9162900000001</v>
      </c>
      <c r="D257" s="49">
        <v>6788.7742100000005</v>
      </c>
      <c r="E257" s="49">
        <v>5615.7783799999988</v>
      </c>
      <c r="F257" s="49">
        <v>6272.90146</v>
      </c>
      <c r="G257" s="49">
        <v>3158.0823899999996</v>
      </c>
      <c r="H257" s="49">
        <v>0</v>
      </c>
      <c r="I257" s="49">
        <v>3368.1471399999996</v>
      </c>
      <c r="J257" s="56">
        <v>29974.599870000002</v>
      </c>
      <c r="K257" s="49"/>
      <c r="L257" s="55">
        <v>0</v>
      </c>
    </row>
    <row r="258" spans="1:12" ht="12.75" customHeight="1" x14ac:dyDescent="0.25">
      <c r="A258" s="42">
        <v>2023</v>
      </c>
      <c r="B258" s="42" t="s">
        <v>7</v>
      </c>
      <c r="C258" s="49">
        <v>876.94779000000005</v>
      </c>
      <c r="D258" s="49">
        <v>5106.801989999999</v>
      </c>
      <c r="E258" s="49">
        <v>4478.3614000000007</v>
      </c>
      <c r="F258" s="49">
        <v>7062.9322199999997</v>
      </c>
      <c r="G258" s="49">
        <v>3287.46218</v>
      </c>
      <c r="H258" s="49">
        <v>0</v>
      </c>
      <c r="I258" s="49">
        <v>3962.7757099999999</v>
      </c>
      <c r="J258" s="56">
        <v>24775.281289999999</v>
      </c>
      <c r="K258" s="49"/>
      <c r="L258" s="55">
        <v>0</v>
      </c>
    </row>
    <row r="259" spans="1:12" ht="12.75" customHeight="1" x14ac:dyDescent="0.25">
      <c r="A259" s="42">
        <v>2023</v>
      </c>
      <c r="B259" s="42" t="s">
        <v>8</v>
      </c>
      <c r="C259" s="49">
        <v>3495.1073799999999</v>
      </c>
      <c r="D259" s="49">
        <v>6501.2202499999994</v>
      </c>
      <c r="E259" s="49">
        <v>3787.4397299999996</v>
      </c>
      <c r="F259" s="49">
        <v>2181.3262500000001</v>
      </c>
      <c r="G259" s="49">
        <v>2205.05942</v>
      </c>
      <c r="H259" s="49">
        <v>0</v>
      </c>
      <c r="I259" s="49">
        <v>3218.0662499999999</v>
      </c>
      <c r="J259" s="56">
        <v>21388.219280000001</v>
      </c>
      <c r="K259" s="49"/>
      <c r="L259" s="55">
        <v>0</v>
      </c>
    </row>
    <row r="260" spans="1:12" ht="12.75" customHeight="1" x14ac:dyDescent="0.25">
      <c r="A260" s="42">
        <v>2023</v>
      </c>
      <c r="B260" s="42" t="s">
        <v>9</v>
      </c>
      <c r="C260" s="49">
        <v>3563.1768500000003</v>
      </c>
      <c r="D260" s="49">
        <v>4267.0231400000002</v>
      </c>
      <c r="E260" s="49">
        <v>2482.0957000000003</v>
      </c>
      <c r="F260" s="49">
        <v>3139.5496800000001</v>
      </c>
      <c r="G260" s="49">
        <v>2071.9157300000002</v>
      </c>
      <c r="H260" s="49">
        <v>1980.62336</v>
      </c>
      <c r="I260" s="49">
        <v>3015.9243200000001</v>
      </c>
      <c r="J260" s="56">
        <v>20520.308779999999</v>
      </c>
      <c r="K260" s="49"/>
      <c r="L260" s="55">
        <v>0</v>
      </c>
    </row>
    <row r="261" spans="1:12" ht="12.75" customHeight="1" x14ac:dyDescent="0.25">
      <c r="A261" s="42">
        <v>2023</v>
      </c>
      <c r="B261" s="42" t="s">
        <v>10</v>
      </c>
      <c r="C261" s="49">
        <v>1981.9636399999999</v>
      </c>
      <c r="D261" s="49">
        <v>6401.8908700000002</v>
      </c>
      <c r="E261" s="49">
        <v>4096.6112000000003</v>
      </c>
      <c r="F261" s="49">
        <v>3429.5380500000001</v>
      </c>
      <c r="G261" s="49">
        <v>1798.9539300000001</v>
      </c>
      <c r="H261" s="49">
        <v>1030.0879300000001</v>
      </c>
      <c r="I261" s="49">
        <v>4636.8276699999997</v>
      </c>
      <c r="J261" s="56">
        <v>23375.87329</v>
      </c>
      <c r="K261" s="49"/>
      <c r="L261" s="55">
        <v>0</v>
      </c>
    </row>
    <row r="262" spans="1:12" ht="12.75" customHeight="1" x14ac:dyDescent="0.25">
      <c r="A262" s="42">
        <v>2023</v>
      </c>
      <c r="B262" s="42" t="s">
        <v>11</v>
      </c>
      <c r="C262" s="49">
        <v>5273.1046200000001</v>
      </c>
      <c r="D262" s="49">
        <v>3965.85187</v>
      </c>
      <c r="E262" s="49">
        <v>1066.2323999999999</v>
      </c>
      <c r="F262" s="49">
        <v>2367.3214000000003</v>
      </c>
      <c r="G262" s="49">
        <v>1104.4977900000001</v>
      </c>
      <c r="H262" s="49">
        <v>1101.1926899999999</v>
      </c>
      <c r="I262" s="49">
        <v>5412.7026499999993</v>
      </c>
      <c r="J262" s="56">
        <v>20290.903420000002</v>
      </c>
      <c r="K262" s="49"/>
      <c r="L262" s="55">
        <v>0</v>
      </c>
    </row>
    <row r="263" spans="1:12" ht="12.75" customHeight="1" x14ac:dyDescent="0.25">
      <c r="A263" s="42">
        <v>2023</v>
      </c>
      <c r="B263" s="42" t="s">
        <v>12</v>
      </c>
      <c r="C263" s="49">
        <v>4064.79594</v>
      </c>
      <c r="D263" s="49">
        <v>5132.1066400000009</v>
      </c>
      <c r="E263" s="49">
        <v>4289.3798199999992</v>
      </c>
      <c r="F263" s="49">
        <v>0</v>
      </c>
      <c r="G263" s="49">
        <v>3180.86663</v>
      </c>
      <c r="H263" s="49">
        <v>1095.5131699999999</v>
      </c>
      <c r="I263" s="49">
        <v>5136.0744999999997</v>
      </c>
      <c r="J263" s="56">
        <v>22898.736699999998</v>
      </c>
      <c r="K263" s="49"/>
      <c r="L263" s="55">
        <v>0</v>
      </c>
    </row>
    <row r="264" spans="1:12" ht="12.75" customHeight="1" x14ac:dyDescent="0.25">
      <c r="A264" s="42">
        <v>2023</v>
      </c>
      <c r="B264" s="42" t="s">
        <v>13</v>
      </c>
      <c r="C264" s="49">
        <v>5112.1823599999998</v>
      </c>
      <c r="D264" s="49">
        <v>4347.8705899999995</v>
      </c>
      <c r="E264" s="49">
        <v>3202.7657799999997</v>
      </c>
      <c r="F264" s="49">
        <v>4227.1061999999993</v>
      </c>
      <c r="G264" s="49">
        <v>2065.6700300000002</v>
      </c>
      <c r="H264" s="49">
        <v>1095.5978500000001</v>
      </c>
      <c r="I264" s="49">
        <v>3878.6687099999999</v>
      </c>
      <c r="J264" s="56">
        <v>23929.861519999999</v>
      </c>
      <c r="K264" s="49"/>
      <c r="L264" s="55">
        <v>0</v>
      </c>
    </row>
    <row r="265" spans="1:12" ht="12.75" customHeight="1" x14ac:dyDescent="0.25">
      <c r="A265" s="42">
        <v>2023</v>
      </c>
      <c r="B265" s="42" t="s">
        <v>14</v>
      </c>
      <c r="C265" s="49">
        <v>2073.6311299999998</v>
      </c>
      <c r="D265" s="49">
        <v>4401.3971600000004</v>
      </c>
      <c r="E265" s="49">
        <v>2596.2050199999999</v>
      </c>
      <c r="F265" s="49">
        <v>2676.0932499999999</v>
      </c>
      <c r="G265" s="49">
        <v>3279.3225400000001</v>
      </c>
      <c r="H265" s="49">
        <v>1098.82375</v>
      </c>
      <c r="I265" s="49">
        <v>0</v>
      </c>
      <c r="J265" s="56">
        <v>16125.472849999998</v>
      </c>
      <c r="K265" s="49"/>
      <c r="L265" s="55">
        <v>0</v>
      </c>
    </row>
    <row r="266" spans="1:12" ht="12.75" customHeight="1" x14ac:dyDescent="0.25">
      <c r="A266" s="42">
        <v>2023</v>
      </c>
      <c r="B266" s="42" t="s">
        <v>15</v>
      </c>
      <c r="C266" s="49">
        <v>43112.88463</v>
      </c>
      <c r="D266" s="49">
        <v>62497.898249999998</v>
      </c>
      <c r="E266" s="49">
        <v>43140.151690000006</v>
      </c>
      <c r="F266" s="49">
        <v>46654.858430000008</v>
      </c>
      <c r="G266" s="49">
        <v>29846.975730000002</v>
      </c>
      <c r="H266" s="49">
        <v>7401.8387500000008</v>
      </c>
      <c r="I266" s="49">
        <v>44423.272339999996</v>
      </c>
      <c r="J266" s="56">
        <v>277077.87981999997</v>
      </c>
      <c r="K266" s="49"/>
      <c r="L266" s="55">
        <v>0</v>
      </c>
    </row>
    <row r="267" spans="1:12" ht="12.75" customHeight="1" x14ac:dyDescent="0.25">
      <c r="A267" s="51">
        <v>2024</v>
      </c>
      <c r="B267" s="48" t="s">
        <v>3</v>
      </c>
      <c r="C267" s="49">
        <v>1370.0571499999999</v>
      </c>
      <c r="D267" s="49">
        <v>6431.3296600000012</v>
      </c>
      <c r="E267" s="49">
        <v>2211.9981200000002</v>
      </c>
      <c r="F267" s="49">
        <v>4282.7454900000002</v>
      </c>
      <c r="G267" s="49">
        <v>2192.50614</v>
      </c>
      <c r="H267" s="49">
        <v>1068.1190900000001</v>
      </c>
      <c r="I267" s="49">
        <v>3574.7227699999999</v>
      </c>
      <c r="J267" s="49">
        <v>21131.478420000003</v>
      </c>
      <c r="K267" s="49"/>
      <c r="L267" s="55">
        <v>0</v>
      </c>
    </row>
    <row r="268" spans="1:12" ht="12.75" customHeight="1" x14ac:dyDescent="0.25">
      <c r="A268" s="51">
        <v>2024</v>
      </c>
      <c r="B268" s="48" t="s">
        <v>4</v>
      </c>
      <c r="C268" s="49">
        <v>3277.0619900000002</v>
      </c>
      <c r="D268" s="49">
        <v>5220.4455399999997</v>
      </c>
      <c r="E268" s="49">
        <v>5063.2427799999996</v>
      </c>
      <c r="F268" s="49">
        <v>2234.22145</v>
      </c>
      <c r="G268" s="49">
        <v>1084.90689</v>
      </c>
      <c r="H268" s="49">
        <v>998.86757999999998</v>
      </c>
      <c r="I268" s="49">
        <v>2764.8819399999998</v>
      </c>
      <c r="J268" s="49">
        <v>20643.628169999996</v>
      </c>
      <c r="K268" s="49"/>
      <c r="L268" s="55">
        <v>0</v>
      </c>
    </row>
    <row r="269" spans="1:12" ht="12.75" customHeight="1" x14ac:dyDescent="0.25">
      <c r="A269" s="51">
        <v>2024</v>
      </c>
      <c r="B269" s="48" t="s">
        <v>5</v>
      </c>
      <c r="C269" s="49">
        <v>1980.51755</v>
      </c>
      <c r="D269" s="49">
        <v>5412.3155500000003</v>
      </c>
      <c r="E269" s="49">
        <v>4052.6331599999999</v>
      </c>
      <c r="F269" s="49">
        <v>2054.7880099999998</v>
      </c>
      <c r="G269" s="49">
        <v>2184.4765200000002</v>
      </c>
      <c r="H269" s="49">
        <v>1019.55598</v>
      </c>
      <c r="I269" s="49">
        <v>2364.5408399999997</v>
      </c>
      <c r="J269" s="49">
        <v>19068.82761</v>
      </c>
      <c r="K269" s="49"/>
      <c r="L269" s="55">
        <v>0</v>
      </c>
    </row>
    <row r="270" spans="1:12" ht="12.75" customHeight="1" x14ac:dyDescent="0.25">
      <c r="A270" s="51">
        <v>2024</v>
      </c>
      <c r="B270" s="48" t="s">
        <v>6</v>
      </c>
      <c r="C270" s="49">
        <v>968.72865000000002</v>
      </c>
      <c r="D270" s="49">
        <v>4082.7399500000001</v>
      </c>
      <c r="E270" s="49">
        <v>1983.6648899999998</v>
      </c>
      <c r="F270" s="49">
        <v>4842.2566100000004</v>
      </c>
      <c r="G270" s="49">
        <v>2173.2438399999996</v>
      </c>
      <c r="H270" s="49">
        <v>0</v>
      </c>
      <c r="I270" s="49">
        <v>2075.5406800000001</v>
      </c>
      <c r="J270" s="49">
        <v>16126.17462</v>
      </c>
      <c r="K270" s="49"/>
      <c r="L270" s="55">
        <v>0</v>
      </c>
    </row>
    <row r="271" spans="1:12" ht="12.75" customHeight="1" x14ac:dyDescent="0.25">
      <c r="A271" s="51">
        <v>2024</v>
      </c>
      <c r="B271" s="48" t="s">
        <v>7</v>
      </c>
      <c r="C271" s="49">
        <v>3103.1825600000002</v>
      </c>
      <c r="D271" s="49">
        <v>4269.3695800000005</v>
      </c>
      <c r="E271" s="49">
        <v>1426.6405099999999</v>
      </c>
      <c r="F271" s="49">
        <v>2883.59746</v>
      </c>
      <c r="G271" s="49">
        <v>3061.9315899999997</v>
      </c>
      <c r="H271" s="49">
        <v>2020.1069499999999</v>
      </c>
      <c r="I271" s="49">
        <v>1549.3768700000001</v>
      </c>
      <c r="J271" s="49">
        <v>18314.205520000003</v>
      </c>
      <c r="K271" s="49"/>
      <c r="L271" s="55">
        <v>0</v>
      </c>
    </row>
    <row r="272" spans="1:12" ht="12.75" customHeight="1" x14ac:dyDescent="0.25">
      <c r="A272" s="51">
        <v>2024</v>
      </c>
      <c r="B272" s="48" t="s">
        <v>8</v>
      </c>
      <c r="C272" s="49">
        <v>1697.21983</v>
      </c>
      <c r="D272" s="49">
        <v>5178.2589100000005</v>
      </c>
      <c r="E272" s="49">
        <v>3124.5099799999998</v>
      </c>
      <c r="F272" s="49">
        <v>2566.2916099999998</v>
      </c>
      <c r="G272" s="49">
        <v>2202.0559900000003</v>
      </c>
      <c r="H272" s="49">
        <v>990.41188</v>
      </c>
      <c r="I272" s="49">
        <v>1122.5207399999999</v>
      </c>
      <c r="J272" s="49">
        <v>16881.268940000002</v>
      </c>
      <c r="K272" s="49"/>
      <c r="L272" s="55">
        <v>0</v>
      </c>
    </row>
    <row r="273" spans="1:12" ht="12.75" customHeight="1" x14ac:dyDescent="0.25">
      <c r="A273" s="51">
        <v>2024</v>
      </c>
      <c r="B273" s="48" t="s">
        <v>9</v>
      </c>
      <c r="C273" s="49">
        <v>2266.6149500000001</v>
      </c>
      <c r="D273" s="49">
        <v>3316.1327999999999</v>
      </c>
      <c r="E273" s="49">
        <v>2099.6863499999999</v>
      </c>
      <c r="F273" s="49">
        <v>2912.5642600000001</v>
      </c>
      <c r="G273" s="49">
        <v>1171.84347</v>
      </c>
      <c r="H273" s="49">
        <v>2086.4539200000004</v>
      </c>
      <c r="I273" s="49">
        <v>1953.29648</v>
      </c>
      <c r="J273" s="49">
        <v>15806.592230000002</v>
      </c>
      <c r="K273" s="49"/>
      <c r="L273" s="55">
        <v>0</v>
      </c>
    </row>
    <row r="274" spans="1:12" ht="12.75" customHeight="1" x14ac:dyDescent="0.25">
      <c r="A274" s="51">
        <v>2024</v>
      </c>
      <c r="B274" s="48" t="s">
        <v>10</v>
      </c>
      <c r="C274" s="49">
        <v>865.14893999999993</v>
      </c>
      <c r="D274" s="49">
        <v>3156.3252900000002</v>
      </c>
      <c r="E274" s="49">
        <v>2207.1483699999999</v>
      </c>
      <c r="F274" s="49">
        <v>1938.11519</v>
      </c>
      <c r="G274" s="49">
        <v>2229.9680300000005</v>
      </c>
      <c r="H274" s="49">
        <v>1649.9038500000001</v>
      </c>
      <c r="I274" s="49">
        <v>2563.4344999999998</v>
      </c>
      <c r="J274" s="49">
        <v>14610.044170000001</v>
      </c>
      <c r="K274" s="49"/>
      <c r="L274" s="55">
        <v>0</v>
      </c>
    </row>
    <row r="275" spans="1:12" ht="12.75" customHeight="1" x14ac:dyDescent="0.25">
      <c r="A275" s="51">
        <v>2024</v>
      </c>
      <c r="B275" s="48" t="s">
        <v>11</v>
      </c>
      <c r="C275" s="49">
        <v>3312.60475</v>
      </c>
      <c r="D275" s="49">
        <v>3269.57638</v>
      </c>
      <c r="E275" s="49">
        <v>1018.0159200000001</v>
      </c>
      <c r="F275" s="49">
        <v>2055.0623900000001</v>
      </c>
      <c r="G275" s="49">
        <v>2188.5660300000004</v>
      </c>
      <c r="H275" s="49">
        <v>1052.7360800000001</v>
      </c>
      <c r="I275" s="49">
        <v>2361.4874399999999</v>
      </c>
      <c r="J275" s="49">
        <v>15258.048989999999</v>
      </c>
      <c r="K275" s="49"/>
      <c r="L275" s="55">
        <v>0</v>
      </c>
    </row>
    <row r="276" spans="1:12" ht="12.75" customHeight="1" x14ac:dyDescent="0.25">
      <c r="A276" s="51">
        <v>2024</v>
      </c>
      <c r="B276" s="48" t="s">
        <v>12</v>
      </c>
      <c r="C276" s="49">
        <v>3876.2588999999998</v>
      </c>
      <c r="D276" s="49">
        <v>3221.5435300000004</v>
      </c>
      <c r="E276" s="49">
        <v>1932.85536</v>
      </c>
      <c r="F276" s="49">
        <v>3832.9469700000009</v>
      </c>
      <c r="G276" s="49">
        <v>964.05826999999999</v>
      </c>
      <c r="H276" s="49">
        <v>0</v>
      </c>
      <c r="I276" s="49">
        <v>492.66990000000004</v>
      </c>
      <c r="J276" s="49">
        <v>14320.33293</v>
      </c>
      <c r="K276" s="49"/>
      <c r="L276" s="55">
        <v>0</v>
      </c>
    </row>
    <row r="277" spans="1:12" ht="12.75" customHeight="1" x14ac:dyDescent="0.25">
      <c r="A277" s="51">
        <v>2024</v>
      </c>
      <c r="B277" s="48" t="s">
        <v>13</v>
      </c>
      <c r="C277" s="49">
        <v>3352.0697399999999</v>
      </c>
      <c r="D277" s="49">
        <v>5483.7407800000001</v>
      </c>
      <c r="E277" s="49">
        <v>1951.8601700000002</v>
      </c>
      <c r="F277" s="49">
        <v>1091.5163</v>
      </c>
      <c r="G277" s="49">
        <v>2059.826</v>
      </c>
      <c r="H277" s="49">
        <v>1062.4867400000001</v>
      </c>
      <c r="I277" s="49">
        <v>3191.7342600000002</v>
      </c>
      <c r="J277" s="49">
        <v>18193.233990000001</v>
      </c>
      <c r="K277" s="49"/>
      <c r="L277" s="55">
        <v>0</v>
      </c>
    </row>
    <row r="278" spans="1:12" ht="12.75" customHeight="1" x14ac:dyDescent="0.25">
      <c r="A278" s="51">
        <v>2024</v>
      </c>
      <c r="B278" s="48" t="s">
        <v>14</v>
      </c>
      <c r="C278" s="49">
        <v>1745.75468</v>
      </c>
      <c r="D278" s="49">
        <v>3288.44949</v>
      </c>
      <c r="E278" s="49">
        <v>0</v>
      </c>
      <c r="F278" s="49">
        <v>3170.2461399999997</v>
      </c>
      <c r="G278" s="49">
        <v>2196.6041299999997</v>
      </c>
      <c r="H278" s="49">
        <v>856.43709000000001</v>
      </c>
      <c r="I278" s="49">
        <v>3282.5544900000004</v>
      </c>
      <c r="J278" s="49">
        <v>14540.04602</v>
      </c>
      <c r="K278" s="49"/>
      <c r="L278" s="55">
        <v>0</v>
      </c>
    </row>
    <row r="279" spans="1:12" ht="12.75" customHeight="1" x14ac:dyDescent="0.25">
      <c r="A279" s="51">
        <v>2024</v>
      </c>
      <c r="B279" s="48" t="s">
        <v>15</v>
      </c>
      <c r="C279" s="49">
        <v>27815.219689999998</v>
      </c>
      <c r="D279" s="49">
        <v>52330.227460000002</v>
      </c>
      <c r="E279" s="49">
        <v>27072.25561</v>
      </c>
      <c r="F279" s="49">
        <v>33864.351880000002</v>
      </c>
      <c r="G279" s="49">
        <v>23709.986900000004</v>
      </c>
      <c r="H279" s="49">
        <v>12805.079160000001</v>
      </c>
      <c r="I279" s="49">
        <v>27296.760910000005</v>
      </c>
      <c r="J279" s="49">
        <v>204893.88161000004</v>
      </c>
      <c r="K279" s="49"/>
      <c r="L279" s="55">
        <v>0</v>
      </c>
    </row>
    <row r="280" spans="1:12" ht="12.75" customHeight="1" x14ac:dyDescent="0.25">
      <c r="A280" s="42">
        <v>2025</v>
      </c>
      <c r="B280" s="42" t="s">
        <v>3</v>
      </c>
      <c r="C280" s="49">
        <v>2793.6924800000002</v>
      </c>
      <c r="D280" s="49">
        <v>5243.55861</v>
      </c>
      <c r="E280" s="49">
        <v>3825.1319300000005</v>
      </c>
      <c r="F280" s="49">
        <v>5757.2289500000006</v>
      </c>
      <c r="G280" s="49">
        <v>2196.5396399999995</v>
      </c>
      <c r="H280" s="49">
        <v>947.50656000000004</v>
      </c>
      <c r="I280" s="49">
        <v>3201.0949999999998</v>
      </c>
      <c r="J280" s="56">
        <v>23964.753170000004</v>
      </c>
      <c r="K280" s="49"/>
      <c r="L280" s="55">
        <v>0</v>
      </c>
    </row>
    <row r="281" spans="1:12" ht="12.75" customHeight="1" x14ac:dyDescent="0.25">
      <c r="A281" s="42">
        <v>2025</v>
      </c>
      <c r="B281" s="42" t="s">
        <v>4</v>
      </c>
      <c r="C281" s="49">
        <v>1490.269</v>
      </c>
      <c r="D281" s="49">
        <v>5808.8099399999992</v>
      </c>
      <c r="E281" s="49">
        <v>2039.6593799999998</v>
      </c>
      <c r="F281" s="49">
        <v>3232.9735000000001</v>
      </c>
      <c r="G281" s="49">
        <v>1134.51972</v>
      </c>
      <c r="H281" s="49">
        <v>1028.2059100000001</v>
      </c>
      <c r="I281" s="49">
        <v>1553.5016400000002</v>
      </c>
      <c r="J281" s="56">
        <v>16287.93909</v>
      </c>
      <c r="K281" s="49"/>
      <c r="L281" s="55">
        <v>0</v>
      </c>
    </row>
    <row r="282" spans="1:12" ht="12.75" customHeight="1" x14ac:dyDescent="0.25">
      <c r="A282" s="42">
        <v>2025</v>
      </c>
      <c r="B282" s="42" t="s">
        <v>5</v>
      </c>
      <c r="C282" s="49">
        <v>4617.1127999999999</v>
      </c>
      <c r="D282" s="49">
        <v>6252.9097400000001</v>
      </c>
      <c r="E282" s="49">
        <v>5176.7645700000003</v>
      </c>
      <c r="F282" s="49">
        <v>1140.20874</v>
      </c>
      <c r="G282" s="49">
        <v>3163.1321200000002</v>
      </c>
      <c r="H282" s="49">
        <v>1086.20615</v>
      </c>
      <c r="I282" s="49">
        <v>4873.9627399999999</v>
      </c>
      <c r="J282" s="56">
        <v>26310.296859999999</v>
      </c>
      <c r="K282" s="49"/>
      <c r="L282" s="55">
        <v>0</v>
      </c>
    </row>
    <row r="283" spans="1:12" ht="12.75" customHeight="1" x14ac:dyDescent="0.25">
      <c r="A283" s="42">
        <v>2025</v>
      </c>
      <c r="B283" s="42" t="s">
        <v>6</v>
      </c>
      <c r="C283" s="49">
        <v>5281.6388099999995</v>
      </c>
      <c r="D283" s="49">
        <v>5465.0824199999997</v>
      </c>
      <c r="E283" s="49">
        <v>1992.8477499999999</v>
      </c>
      <c r="F283" s="49">
        <v>6095.8108599999996</v>
      </c>
      <c r="G283" s="49">
        <v>2993.4477700000002</v>
      </c>
      <c r="H283" s="49">
        <v>1085.34761</v>
      </c>
      <c r="I283" s="49">
        <v>612.79390000000001</v>
      </c>
      <c r="J283" s="56">
        <v>23526.969120000002</v>
      </c>
      <c r="K283" s="49"/>
      <c r="L283" s="55">
        <v>0</v>
      </c>
    </row>
    <row r="284" spans="1:12" ht="12.75" customHeight="1" x14ac:dyDescent="0.25">
      <c r="A284" s="42">
        <v>2025</v>
      </c>
      <c r="B284" s="42" t="s">
        <v>7</v>
      </c>
      <c r="C284" s="49">
        <v>4018.4653400000002</v>
      </c>
      <c r="D284" s="49">
        <v>3202.7632999999996</v>
      </c>
      <c r="E284" s="49">
        <v>2224.0146400000003</v>
      </c>
      <c r="F284" s="49">
        <v>4944.2726099999991</v>
      </c>
      <c r="G284" s="49">
        <v>3050.2951200000002</v>
      </c>
      <c r="H284" s="49">
        <v>1069.0113799999999</v>
      </c>
      <c r="I284" s="49">
        <v>3071.3427200000001</v>
      </c>
      <c r="J284" s="56">
        <v>21580.165109999998</v>
      </c>
      <c r="K284" s="49"/>
      <c r="L284" s="55">
        <v>0</v>
      </c>
    </row>
    <row r="285" spans="1:12" ht="12.75" customHeight="1" x14ac:dyDescent="0.25">
      <c r="A285" s="42">
        <v>2025</v>
      </c>
      <c r="B285" s="42" t="s">
        <v>8</v>
      </c>
      <c r="C285" s="49">
        <v>3947.82458</v>
      </c>
      <c r="D285" s="49">
        <v>941.75367999999992</v>
      </c>
      <c r="E285" s="49">
        <v>4100.3079600000001</v>
      </c>
      <c r="F285" s="49">
        <v>2241.5590700000002</v>
      </c>
      <c r="G285" s="49">
        <v>2170.7290400000002</v>
      </c>
      <c r="H285" s="49">
        <v>993.28733</v>
      </c>
      <c r="I285" s="49">
        <v>4558.0453599999992</v>
      </c>
      <c r="J285" s="56">
        <v>18953.507019999997</v>
      </c>
      <c r="K285" s="49"/>
      <c r="L285" s="55">
        <v>0</v>
      </c>
    </row>
    <row r="286" spans="1:12" ht="12.75" customHeight="1" x14ac:dyDescent="0.25">
      <c r="A286" s="42">
        <v>2025</v>
      </c>
      <c r="B286" s="42" t="s">
        <v>9</v>
      </c>
      <c r="C286" s="49">
        <v>2945.3068900000003</v>
      </c>
      <c r="D286" s="49">
        <v>4412.9371099999998</v>
      </c>
      <c r="E286" s="49">
        <v>2900.1857600000003</v>
      </c>
      <c r="F286" s="49">
        <v>6235.8270300000004</v>
      </c>
      <c r="G286" s="49">
        <v>981.63459999999998</v>
      </c>
      <c r="H286" s="49">
        <v>997.99320999999998</v>
      </c>
      <c r="I286" s="49">
        <v>1028.6297400000001</v>
      </c>
      <c r="J286" s="56">
        <v>19502.514340000002</v>
      </c>
      <c r="K286" s="49"/>
      <c r="L286" s="55">
        <v>0</v>
      </c>
    </row>
    <row r="287" spans="1:12" ht="12.75" customHeight="1" x14ac:dyDescent="0.25">
      <c r="A287" s="42">
        <v>2025</v>
      </c>
      <c r="B287" s="42" t="s">
        <v>10</v>
      </c>
      <c r="C287" s="49">
        <v>1723.5194300000001</v>
      </c>
      <c r="D287" s="49">
        <v>4443.4810900000002</v>
      </c>
      <c r="E287" s="49">
        <v>2176.9062999999996</v>
      </c>
      <c r="F287" s="49">
        <v>2955.12662</v>
      </c>
      <c r="G287" s="49">
        <v>2079.1151100000002</v>
      </c>
      <c r="H287" s="49">
        <v>1088.4462599999999</v>
      </c>
      <c r="I287" s="49">
        <v>1882.35241</v>
      </c>
      <c r="J287" s="56">
        <v>16348.94722</v>
      </c>
      <c r="K287" s="49"/>
      <c r="L287" s="55">
        <v>0</v>
      </c>
    </row>
    <row r="288" spans="1:12" ht="12.75" customHeight="1" x14ac:dyDescent="0.25">
      <c r="A288" s="42">
        <v>2025</v>
      </c>
      <c r="B288" s="42" t="s">
        <v>11</v>
      </c>
      <c r="C288" s="49">
        <v>4068.9230899999998</v>
      </c>
      <c r="D288" s="49">
        <v>3180.5601099999999</v>
      </c>
      <c r="E288" s="49">
        <v>1407.29846</v>
      </c>
      <c r="F288" s="49">
        <v>1915.5386699999999</v>
      </c>
      <c r="G288" s="49">
        <v>3148.1550099999999</v>
      </c>
      <c r="H288" s="49">
        <v>999.03068000000007</v>
      </c>
      <c r="I288" s="49">
        <v>3800.6362300000001</v>
      </c>
      <c r="J288" s="56">
        <v>18520.142250000001</v>
      </c>
      <c r="K288" s="49"/>
      <c r="L288" s="55">
        <v>0</v>
      </c>
    </row>
    <row r="289" spans="1:12" ht="12.75" customHeight="1" x14ac:dyDescent="0.25">
      <c r="A289" s="42">
        <v>2025</v>
      </c>
      <c r="B289" s="42" t="s">
        <v>12</v>
      </c>
      <c r="C289" s="49">
        <v>4693.746689999999</v>
      </c>
      <c r="D289" s="49">
        <v>6191.861460000001</v>
      </c>
      <c r="E289" s="49">
        <v>3145.4105600000003</v>
      </c>
      <c r="F289" s="49">
        <v>4110.0492800000002</v>
      </c>
      <c r="G289" s="49">
        <v>1252.43337</v>
      </c>
      <c r="H289" s="49">
        <v>1038.26586</v>
      </c>
      <c r="I289" s="49">
        <v>4108.5845999999992</v>
      </c>
      <c r="J289" s="56">
        <v>24540.351819999996</v>
      </c>
      <c r="K289" s="49"/>
      <c r="L289" s="55">
        <v>0</v>
      </c>
    </row>
    <row r="290" spans="1:12" ht="12.75" customHeight="1" x14ac:dyDescent="0.25">
      <c r="A290" s="42">
        <v>2025</v>
      </c>
      <c r="B290" s="42" t="s">
        <v>13</v>
      </c>
      <c r="C290" s="49">
        <v>2671.5222999999996</v>
      </c>
      <c r="D290" s="49">
        <v>4232.9867200000008</v>
      </c>
      <c r="E290" s="49">
        <v>4491.3944199999996</v>
      </c>
      <c r="F290" s="49">
        <v>926.50343999999996</v>
      </c>
      <c r="G290" s="49">
        <v>2622.9744900000001</v>
      </c>
      <c r="H290" s="49">
        <v>974.78448000000003</v>
      </c>
      <c r="I290" s="49">
        <v>3111.2002800000005</v>
      </c>
      <c r="J290" s="56">
        <v>19031.366130000002</v>
      </c>
      <c r="K290" s="49"/>
      <c r="L290" s="55">
        <v>0</v>
      </c>
    </row>
    <row r="291" spans="1:12" ht="12.75" customHeight="1" x14ac:dyDescent="0.25">
      <c r="A291" s="42">
        <v>2025</v>
      </c>
      <c r="B291" s="42" t="s">
        <v>14</v>
      </c>
      <c r="C291" s="49">
        <v>3982.8635800000002</v>
      </c>
      <c r="D291" s="49">
        <v>5511.2485900000001</v>
      </c>
      <c r="E291" s="49">
        <v>1048.3422700000001</v>
      </c>
      <c r="F291" s="49">
        <v>2288.06342</v>
      </c>
      <c r="G291" s="49">
        <v>2351.2180700000004</v>
      </c>
      <c r="H291" s="49">
        <v>1128.8672099999999</v>
      </c>
      <c r="I291" s="49">
        <v>3240.5159299999996</v>
      </c>
      <c r="J291" s="56">
        <v>19551.119070000001</v>
      </c>
      <c r="K291" s="49"/>
      <c r="L291" s="55">
        <v>0</v>
      </c>
    </row>
    <row r="292" spans="1:12" ht="12.75" customHeight="1" x14ac:dyDescent="0.25">
      <c r="A292" s="42">
        <v>2025</v>
      </c>
      <c r="B292" s="42" t="s">
        <v>15</v>
      </c>
      <c r="C292" s="49">
        <v>42234.884989999991</v>
      </c>
      <c r="D292" s="49">
        <v>54887.952769999996</v>
      </c>
      <c r="E292" s="49">
        <v>34528.264000000003</v>
      </c>
      <c r="F292" s="49">
        <v>41843.162189999995</v>
      </c>
      <c r="G292" s="49">
        <v>27144.194059999998</v>
      </c>
      <c r="H292" s="49">
        <v>12436.95264</v>
      </c>
      <c r="I292" s="49">
        <v>35042.660550000001</v>
      </c>
      <c r="J292" s="56">
        <v>248118.07120000001</v>
      </c>
      <c r="K292" s="49"/>
      <c r="L292" s="55">
        <v>0</v>
      </c>
    </row>
    <row r="293" spans="1:12" ht="12.75" customHeight="1" x14ac:dyDescent="0.25">
      <c r="A293" s="51">
        <v>2026</v>
      </c>
      <c r="B293" s="48" t="s">
        <v>3</v>
      </c>
      <c r="C293" s="49">
        <v>4270.8887999999997</v>
      </c>
      <c r="D293" s="49">
        <v>3229.1617000000001</v>
      </c>
      <c r="E293" s="49">
        <v>2977.8962900000001</v>
      </c>
      <c r="F293" s="49">
        <v>4994.5948600000002</v>
      </c>
      <c r="G293" s="49">
        <v>1888.5225600000001</v>
      </c>
      <c r="H293" s="49">
        <v>1090.5375300000001</v>
      </c>
      <c r="I293" s="49">
        <v>3016.8328499999998</v>
      </c>
      <c r="J293" s="49">
        <v>21468.434590000001</v>
      </c>
      <c r="K293" s="49"/>
      <c r="L293" s="55">
        <v>0</v>
      </c>
    </row>
    <row r="294" spans="1:12" ht="12.75" customHeight="1" x14ac:dyDescent="0.25">
      <c r="A294" s="51">
        <v>2026</v>
      </c>
      <c r="B294" s="48" t="s">
        <v>4</v>
      </c>
      <c r="C294" s="49">
        <v>2106.1355899999999</v>
      </c>
      <c r="D294" s="49">
        <v>5469.1431899999998</v>
      </c>
      <c r="E294" s="49">
        <v>1898.3056100000001</v>
      </c>
      <c r="F294" s="49">
        <v>5281.680409999999</v>
      </c>
      <c r="G294" s="49">
        <v>2827.2599699999996</v>
      </c>
      <c r="H294" s="49">
        <v>855.83623999999998</v>
      </c>
      <c r="I294" s="49">
        <v>3183.6143400000005</v>
      </c>
      <c r="J294" s="49">
        <v>21621.975350000001</v>
      </c>
      <c r="K294" s="49"/>
      <c r="L294" s="55">
        <v>0</v>
      </c>
    </row>
    <row r="295" spans="1:12" ht="12.75" customHeight="1" x14ac:dyDescent="0.25">
      <c r="A295" s="51">
        <v>2026</v>
      </c>
      <c r="B295" s="48" t="s">
        <v>5</v>
      </c>
      <c r="C295" s="49">
        <v>5276.1306199999999</v>
      </c>
      <c r="D295" s="49">
        <v>7601.6415000000006</v>
      </c>
      <c r="E295" s="49">
        <v>4827.0965299999989</v>
      </c>
      <c r="F295" s="49">
        <v>1252.3966699999999</v>
      </c>
      <c r="G295" s="49">
        <v>2197.0416799999998</v>
      </c>
      <c r="H295" s="49">
        <v>897.79588999999999</v>
      </c>
      <c r="I295" s="49">
        <v>5019.9896799999997</v>
      </c>
      <c r="J295" s="49">
        <v>27072.092569999997</v>
      </c>
      <c r="K295" s="49"/>
      <c r="L295" s="55">
        <v>0</v>
      </c>
    </row>
    <row r="296" spans="1:12" ht="12.75" customHeight="1" x14ac:dyDescent="0.25">
      <c r="A296" s="51">
        <v>2026</v>
      </c>
      <c r="B296" s="48" t="s">
        <v>6</v>
      </c>
      <c r="C296" s="49">
        <v>4589.8320100000001</v>
      </c>
      <c r="D296" s="49">
        <v>4416.5509199999997</v>
      </c>
      <c r="E296" s="49">
        <v>401.33780999999999</v>
      </c>
      <c r="F296" s="49">
        <v>3182.37592</v>
      </c>
      <c r="G296" s="49">
        <v>2192.3368599999999</v>
      </c>
      <c r="H296" s="49">
        <v>1066.9046499999999</v>
      </c>
      <c r="I296" s="49">
        <v>1869.0453399999999</v>
      </c>
      <c r="J296" s="49">
        <v>17718.38351</v>
      </c>
      <c r="K296" s="49"/>
      <c r="L296" s="55">
        <v>0</v>
      </c>
    </row>
    <row r="297" spans="1:12" ht="12.75" customHeight="1" x14ac:dyDescent="0.25">
      <c r="A297" s="51">
        <v>2026</v>
      </c>
      <c r="B297" s="48" t="s">
        <v>7</v>
      </c>
      <c r="C297" s="49">
        <v>2493.1156800000003</v>
      </c>
      <c r="D297" s="49">
        <v>5471.6141799999996</v>
      </c>
      <c r="E297" s="49">
        <v>2585.9947000000002</v>
      </c>
      <c r="F297" s="49">
        <v>1560.4566199999999</v>
      </c>
      <c r="G297" s="49">
        <v>2198.1156900000001</v>
      </c>
      <c r="H297" s="49">
        <v>1098.7381399999999</v>
      </c>
      <c r="I297" s="49">
        <v>4224.1940400000003</v>
      </c>
      <c r="J297" s="49">
        <v>19632.229050000002</v>
      </c>
      <c r="K297" s="49"/>
      <c r="L297" s="55">
        <v>0</v>
      </c>
    </row>
    <row r="298" spans="1:12" ht="12.75" customHeight="1" x14ac:dyDescent="0.25">
      <c r="A298" s="51">
        <v>2026</v>
      </c>
      <c r="B298" s="48" t="s">
        <v>8</v>
      </c>
      <c r="C298" s="49">
        <v>1558.88806</v>
      </c>
      <c r="D298" s="49">
        <v>3299.3052599999996</v>
      </c>
      <c r="E298" s="49">
        <v>1882.0888399999999</v>
      </c>
      <c r="F298" s="49">
        <v>2173.3646200000003</v>
      </c>
      <c r="G298" s="49">
        <v>2132.4973600000003</v>
      </c>
      <c r="H298" s="49">
        <v>1060.14787</v>
      </c>
      <c r="I298" s="49">
        <v>1065.39645</v>
      </c>
      <c r="J298" s="49">
        <v>13171.688460000001</v>
      </c>
      <c r="K298" s="49"/>
      <c r="L298" s="55">
        <v>0</v>
      </c>
    </row>
    <row r="299" spans="1:12" ht="12.75" customHeight="1" x14ac:dyDescent="0.25">
      <c r="A299" s="51" t="s">
        <v>39</v>
      </c>
      <c r="B299" s="48" t="s">
        <v>39</v>
      </c>
      <c r="C299" s="49">
        <v>0</v>
      </c>
      <c r="D299" s="49">
        <v>0</v>
      </c>
      <c r="E299" s="49">
        <v>0</v>
      </c>
      <c r="F299" s="49">
        <v>0</v>
      </c>
      <c r="G299" s="49">
        <v>0</v>
      </c>
      <c r="H299" s="49">
        <v>0</v>
      </c>
      <c r="I299" s="49">
        <v>0</v>
      </c>
      <c r="J299" s="49">
        <v>0</v>
      </c>
      <c r="K299" s="49"/>
      <c r="L299" s="55">
        <v>0</v>
      </c>
    </row>
    <row r="300" spans="1:12" ht="12.75" customHeight="1" x14ac:dyDescent="0.25">
      <c r="A300" s="51" t="s">
        <v>39</v>
      </c>
      <c r="B300" s="48" t="s">
        <v>39</v>
      </c>
      <c r="C300" s="49">
        <v>0</v>
      </c>
      <c r="D300" s="49">
        <v>0</v>
      </c>
      <c r="E300" s="49">
        <v>0</v>
      </c>
      <c r="F300" s="49">
        <v>0</v>
      </c>
      <c r="G300" s="49">
        <v>0</v>
      </c>
      <c r="H300" s="49">
        <v>0</v>
      </c>
      <c r="I300" s="49">
        <v>0</v>
      </c>
      <c r="J300" s="49">
        <v>0</v>
      </c>
      <c r="K300" s="49"/>
      <c r="L300" s="55">
        <v>0</v>
      </c>
    </row>
    <row r="301" spans="1:12" ht="12.75" customHeight="1" x14ac:dyDescent="0.25">
      <c r="A301" s="51" t="s">
        <v>39</v>
      </c>
      <c r="B301" s="48" t="s">
        <v>39</v>
      </c>
      <c r="C301" s="49">
        <v>0</v>
      </c>
      <c r="D301" s="49">
        <v>0</v>
      </c>
      <c r="E301" s="49">
        <v>0</v>
      </c>
      <c r="F301" s="49">
        <v>0</v>
      </c>
      <c r="G301" s="49">
        <v>0</v>
      </c>
      <c r="H301" s="49">
        <v>0</v>
      </c>
      <c r="I301" s="49">
        <v>0</v>
      </c>
      <c r="J301" s="49">
        <v>0</v>
      </c>
      <c r="K301" s="49"/>
      <c r="L301" s="55">
        <v>0</v>
      </c>
    </row>
    <row r="302" spans="1:12" ht="12.75" customHeight="1" x14ac:dyDescent="0.25">
      <c r="A302" s="51" t="s">
        <v>39</v>
      </c>
      <c r="B302" s="48" t="s">
        <v>39</v>
      </c>
      <c r="C302" s="49">
        <v>0</v>
      </c>
      <c r="D302" s="49">
        <v>0</v>
      </c>
      <c r="E302" s="49">
        <v>0</v>
      </c>
      <c r="F302" s="49">
        <v>0</v>
      </c>
      <c r="G302" s="49">
        <v>0</v>
      </c>
      <c r="H302" s="49">
        <v>0</v>
      </c>
      <c r="I302" s="49">
        <v>0</v>
      </c>
      <c r="J302" s="49">
        <v>0</v>
      </c>
      <c r="K302" s="49"/>
      <c r="L302" s="55">
        <v>0</v>
      </c>
    </row>
    <row r="303" spans="1:12" ht="12.75" customHeight="1" x14ac:dyDescent="0.25">
      <c r="A303" s="51" t="s">
        <v>39</v>
      </c>
      <c r="B303" s="48" t="s">
        <v>39</v>
      </c>
      <c r="C303" s="49">
        <v>0</v>
      </c>
      <c r="D303" s="49">
        <v>0</v>
      </c>
      <c r="E303" s="49">
        <v>0</v>
      </c>
      <c r="F303" s="49">
        <v>0</v>
      </c>
      <c r="G303" s="49">
        <v>0</v>
      </c>
      <c r="H303" s="49">
        <v>0</v>
      </c>
      <c r="I303" s="49">
        <v>0</v>
      </c>
      <c r="J303" s="49">
        <v>0</v>
      </c>
      <c r="K303" s="49"/>
      <c r="L303" s="55">
        <v>0</v>
      </c>
    </row>
    <row r="304" spans="1:12" ht="12.75" customHeight="1" x14ac:dyDescent="0.25">
      <c r="A304" s="51" t="s">
        <v>39</v>
      </c>
      <c r="B304" s="48" t="s">
        <v>39</v>
      </c>
      <c r="C304" s="49">
        <v>0</v>
      </c>
      <c r="D304" s="49">
        <v>0</v>
      </c>
      <c r="E304" s="49">
        <v>0</v>
      </c>
      <c r="F304" s="49">
        <v>0</v>
      </c>
      <c r="G304" s="49">
        <v>0</v>
      </c>
      <c r="H304" s="49">
        <v>0</v>
      </c>
      <c r="I304" s="49">
        <v>0</v>
      </c>
      <c r="J304" s="49">
        <v>0</v>
      </c>
      <c r="K304" s="49"/>
      <c r="L304" s="55">
        <v>0</v>
      </c>
    </row>
    <row r="305" spans="3:12" ht="12.75" customHeight="1" x14ac:dyDescent="0.25">
      <c r="C305" s="57"/>
      <c r="D305" s="57"/>
      <c r="E305" s="57"/>
      <c r="F305" s="57"/>
      <c r="G305" s="57"/>
      <c r="H305" s="57"/>
      <c r="I305" s="57"/>
      <c r="J305" s="57"/>
      <c r="K305" s="57"/>
      <c r="L305" s="57"/>
    </row>
    <row r="306" spans="3:12" ht="12.75" customHeight="1" x14ac:dyDescent="0.25">
      <c r="C306" s="57"/>
      <c r="D306" s="57"/>
      <c r="E306" s="57"/>
      <c r="F306" s="57"/>
      <c r="G306" s="57"/>
      <c r="H306" s="57"/>
      <c r="I306" s="57"/>
      <c r="J306" s="57"/>
      <c r="K306" s="57"/>
      <c r="L306" s="57"/>
    </row>
    <row r="307" spans="3:12" ht="12.75" customHeight="1" x14ac:dyDescent="0.25">
      <c r="C307" s="57"/>
      <c r="D307" s="57"/>
      <c r="E307" s="57"/>
      <c r="F307" s="57"/>
      <c r="G307" s="57"/>
      <c r="H307" s="57"/>
      <c r="I307" s="57"/>
      <c r="J307" s="57"/>
      <c r="K307" s="57"/>
      <c r="L307" s="57"/>
    </row>
    <row r="308" spans="3:12" ht="12.75" customHeight="1" x14ac:dyDescent="0.25">
      <c r="C308" s="57"/>
      <c r="D308" s="57"/>
      <c r="E308" s="57"/>
      <c r="F308" s="57"/>
      <c r="G308" s="57"/>
      <c r="H308" s="57"/>
      <c r="I308" s="57"/>
      <c r="J308" s="57"/>
      <c r="K308" s="57"/>
      <c r="L308" s="57"/>
    </row>
    <row r="309" spans="3:12" ht="12.75" customHeight="1" x14ac:dyDescent="0.25">
      <c r="C309" s="57"/>
      <c r="D309" s="57"/>
      <c r="E309" s="57"/>
      <c r="F309" s="57"/>
      <c r="G309" s="57"/>
      <c r="H309" s="57"/>
      <c r="I309" s="57"/>
      <c r="J309" s="57"/>
      <c r="K309" s="57"/>
      <c r="L309" s="57"/>
    </row>
    <row r="310" spans="3:12" ht="12.75" customHeight="1" x14ac:dyDescent="0.25">
      <c r="C310" s="57"/>
      <c r="D310" s="57"/>
      <c r="E310" s="57"/>
      <c r="F310" s="57"/>
      <c r="G310" s="57"/>
      <c r="H310" s="57"/>
      <c r="I310" s="57"/>
      <c r="J310" s="57"/>
      <c r="K310" s="57"/>
      <c r="L310" s="57"/>
    </row>
    <row r="311" spans="3:12" ht="12.75" customHeight="1" x14ac:dyDescent="0.25">
      <c r="C311" s="57"/>
      <c r="D311" s="57"/>
      <c r="E311" s="57"/>
      <c r="F311" s="57"/>
      <c r="G311" s="57"/>
      <c r="H311" s="57"/>
      <c r="I311" s="57"/>
      <c r="J311" s="57"/>
      <c r="K311" s="57"/>
      <c r="L311" s="57"/>
    </row>
    <row r="312" spans="3:12" ht="12.75" customHeight="1" x14ac:dyDescent="0.25">
      <c r="C312" s="57"/>
      <c r="D312" s="57"/>
      <c r="E312" s="57"/>
      <c r="F312" s="57"/>
      <c r="G312" s="57"/>
      <c r="H312" s="57"/>
      <c r="I312" s="57"/>
      <c r="J312" s="57"/>
      <c r="K312" s="57"/>
      <c r="L312" s="57"/>
    </row>
    <row r="313" spans="3:12" ht="12.75" customHeight="1" x14ac:dyDescent="0.25">
      <c r="C313" s="57"/>
      <c r="D313" s="57"/>
      <c r="E313" s="57"/>
      <c r="F313" s="57"/>
      <c r="G313" s="57"/>
      <c r="H313" s="57"/>
      <c r="I313" s="57"/>
      <c r="J313" s="57"/>
      <c r="K313" s="57"/>
      <c r="L313" s="57"/>
    </row>
    <row r="314" spans="3:12" ht="12.75" customHeight="1" x14ac:dyDescent="0.25">
      <c r="C314" s="57"/>
      <c r="D314" s="57"/>
      <c r="E314" s="57"/>
      <c r="F314" s="57"/>
      <c r="G314" s="57"/>
      <c r="H314" s="57"/>
      <c r="I314" s="57"/>
      <c r="J314" s="57"/>
      <c r="K314" s="57"/>
      <c r="L314" s="57"/>
    </row>
    <row r="315" spans="3:12" ht="12.75" customHeight="1" x14ac:dyDescent="0.25">
      <c r="C315" s="57"/>
      <c r="D315" s="57"/>
      <c r="E315" s="57"/>
      <c r="F315" s="57"/>
      <c r="G315" s="57"/>
      <c r="H315" s="57"/>
      <c r="I315" s="57"/>
      <c r="J315" s="57"/>
      <c r="K315" s="57"/>
      <c r="L315" s="57"/>
    </row>
    <row r="316" spans="3:12" ht="12.75" customHeight="1" x14ac:dyDescent="0.25">
      <c r="C316" s="57"/>
      <c r="D316" s="57"/>
      <c r="E316" s="57"/>
      <c r="F316" s="57"/>
      <c r="G316" s="57"/>
      <c r="H316" s="57"/>
      <c r="I316" s="57"/>
      <c r="J316" s="57"/>
      <c r="K316" s="57"/>
      <c r="L316" s="57"/>
    </row>
    <row r="317" spans="3:12" ht="12.75" customHeight="1" x14ac:dyDescent="0.25">
      <c r="C317" s="57"/>
      <c r="D317" s="57"/>
      <c r="E317" s="57"/>
      <c r="F317" s="57"/>
      <c r="G317" s="57"/>
      <c r="H317" s="57"/>
      <c r="I317" s="57"/>
      <c r="J317" s="57"/>
      <c r="K317" s="57"/>
      <c r="L317" s="57"/>
    </row>
    <row r="318" spans="3:12" ht="12.75" customHeight="1" x14ac:dyDescent="0.25">
      <c r="C318" s="57"/>
      <c r="D318" s="57"/>
      <c r="E318" s="57"/>
      <c r="F318" s="57"/>
      <c r="G318" s="57"/>
      <c r="H318" s="57"/>
      <c r="I318" s="57"/>
      <c r="J318" s="57"/>
      <c r="K318" s="57"/>
      <c r="L318" s="57"/>
    </row>
    <row r="319" spans="3:12" ht="12.75" customHeight="1" x14ac:dyDescent="0.25">
      <c r="C319" s="57"/>
      <c r="D319" s="57"/>
      <c r="E319" s="57"/>
      <c r="F319" s="57"/>
      <c r="G319" s="57"/>
      <c r="H319" s="57"/>
      <c r="I319" s="57"/>
      <c r="J319" s="57"/>
      <c r="K319" s="57"/>
      <c r="L319" s="57"/>
    </row>
    <row r="320" spans="3:12" ht="12.75" customHeight="1" x14ac:dyDescent="0.25">
      <c r="C320" s="57"/>
      <c r="D320" s="57"/>
      <c r="E320" s="57"/>
      <c r="F320" s="57"/>
      <c r="G320" s="57"/>
      <c r="H320" s="57"/>
      <c r="I320" s="57"/>
      <c r="J320" s="57"/>
      <c r="K320" s="57"/>
      <c r="L320" s="57"/>
    </row>
    <row r="321" spans="3:12" ht="12.75" customHeight="1" x14ac:dyDescent="0.25">
      <c r="C321" s="57"/>
      <c r="D321" s="57"/>
      <c r="E321" s="57"/>
      <c r="F321" s="57"/>
      <c r="G321" s="57"/>
      <c r="H321" s="57"/>
      <c r="I321" s="57"/>
      <c r="J321" s="57"/>
      <c r="K321" s="57"/>
      <c r="L321" s="57"/>
    </row>
    <row r="322" spans="3:12" ht="12.75" customHeight="1" x14ac:dyDescent="0.25">
      <c r="C322" s="57"/>
      <c r="D322" s="57"/>
      <c r="E322" s="57"/>
      <c r="F322" s="57"/>
      <c r="G322" s="57"/>
      <c r="H322" s="57"/>
      <c r="I322" s="57"/>
      <c r="J322" s="57"/>
      <c r="K322" s="57"/>
      <c r="L322" s="57"/>
    </row>
    <row r="323" spans="3:12" ht="12.75" customHeight="1" x14ac:dyDescent="0.25">
      <c r="C323" s="57"/>
      <c r="D323" s="57"/>
      <c r="E323" s="57"/>
      <c r="F323" s="57"/>
      <c r="G323" s="57"/>
      <c r="H323" s="57"/>
      <c r="I323" s="57"/>
      <c r="J323" s="57"/>
      <c r="K323" s="57"/>
      <c r="L323" s="57"/>
    </row>
    <row r="324" spans="3:12" ht="12.75" customHeight="1" x14ac:dyDescent="0.25">
      <c r="C324" s="57"/>
      <c r="D324" s="57"/>
      <c r="E324" s="57"/>
      <c r="F324" s="57"/>
      <c r="G324" s="57"/>
      <c r="H324" s="57"/>
      <c r="I324" s="57"/>
      <c r="J324" s="57"/>
      <c r="K324" s="57"/>
      <c r="L324" s="57"/>
    </row>
    <row r="325" spans="3:12" ht="12.75" customHeight="1" x14ac:dyDescent="0.25">
      <c r="C325" s="57"/>
      <c r="D325" s="57"/>
      <c r="E325" s="57"/>
      <c r="F325" s="57"/>
      <c r="G325" s="57"/>
      <c r="H325" s="57"/>
      <c r="I325" s="57"/>
      <c r="J325" s="57"/>
      <c r="K325" s="57"/>
      <c r="L325" s="57"/>
    </row>
    <row r="326" spans="3:12" ht="12.75" customHeight="1" x14ac:dyDescent="0.25">
      <c r="C326" s="57"/>
      <c r="D326" s="57"/>
      <c r="E326" s="57"/>
      <c r="F326" s="57"/>
      <c r="G326" s="57"/>
      <c r="H326" s="57"/>
      <c r="I326" s="57"/>
      <c r="J326" s="57"/>
      <c r="K326" s="57"/>
      <c r="L326" s="57"/>
    </row>
    <row r="327" spans="3:12" ht="12.75" customHeight="1" x14ac:dyDescent="0.25">
      <c r="C327" s="57"/>
      <c r="D327" s="57"/>
      <c r="E327" s="57"/>
      <c r="F327" s="57"/>
      <c r="G327" s="57"/>
      <c r="H327" s="57"/>
      <c r="I327" s="57"/>
      <c r="J327" s="57"/>
      <c r="K327" s="57"/>
      <c r="L327" s="57"/>
    </row>
    <row r="328" spans="3:12" ht="12.75" customHeight="1" x14ac:dyDescent="0.25">
      <c r="C328" s="57"/>
      <c r="D328" s="57"/>
      <c r="E328" s="57"/>
      <c r="F328" s="57"/>
      <c r="G328" s="57"/>
      <c r="H328" s="57"/>
      <c r="I328" s="57"/>
      <c r="J328" s="57"/>
      <c r="K328" s="57"/>
      <c r="L328" s="57"/>
    </row>
    <row r="329" spans="3:12" ht="12.75" customHeight="1" x14ac:dyDescent="0.25">
      <c r="C329" s="57"/>
      <c r="D329" s="57"/>
      <c r="E329" s="57"/>
      <c r="F329" s="57"/>
      <c r="G329" s="57"/>
      <c r="H329" s="57"/>
      <c r="I329" s="57"/>
      <c r="J329" s="57"/>
      <c r="K329" s="57"/>
      <c r="L329" s="57"/>
    </row>
    <row r="330" spans="3:12" ht="12.75" customHeight="1" x14ac:dyDescent="0.25">
      <c r="C330" s="57"/>
      <c r="D330" s="57"/>
      <c r="E330" s="57"/>
      <c r="F330" s="57"/>
      <c r="G330" s="57"/>
      <c r="H330" s="57"/>
      <c r="I330" s="57"/>
      <c r="J330" s="57"/>
      <c r="K330" s="57"/>
      <c r="L330" s="57"/>
    </row>
    <row r="331" spans="3:12" ht="12.75" customHeight="1" x14ac:dyDescent="0.25">
      <c r="C331" s="57"/>
      <c r="D331" s="57"/>
      <c r="E331" s="57"/>
      <c r="F331" s="57"/>
      <c r="G331" s="57"/>
      <c r="H331" s="57"/>
      <c r="I331" s="57"/>
      <c r="J331" s="57"/>
      <c r="K331" s="57"/>
      <c r="L331" s="57"/>
    </row>
    <row r="332" spans="3:12" ht="12.75" customHeight="1" x14ac:dyDescent="0.25">
      <c r="C332" s="57"/>
      <c r="D332" s="57"/>
      <c r="E332" s="57"/>
      <c r="F332" s="57"/>
      <c r="G332" s="57"/>
      <c r="H332" s="57"/>
      <c r="I332" s="57"/>
      <c r="J332" s="57"/>
      <c r="K332" s="57"/>
      <c r="L332" s="57"/>
    </row>
    <row r="333" spans="3:12" ht="12.75" customHeight="1" x14ac:dyDescent="0.25">
      <c r="C333" s="57"/>
      <c r="D333" s="57"/>
      <c r="E333" s="57"/>
      <c r="F333" s="57"/>
      <c r="G333" s="57"/>
      <c r="H333" s="57"/>
      <c r="I333" s="57"/>
      <c r="J333" s="57"/>
      <c r="K333" s="57"/>
      <c r="L333" s="57"/>
    </row>
    <row r="334" spans="3:12" ht="12.75" customHeight="1" x14ac:dyDescent="0.25">
      <c r="C334" s="57"/>
      <c r="D334" s="57"/>
      <c r="E334" s="57"/>
      <c r="F334" s="57"/>
      <c r="G334" s="57"/>
      <c r="H334" s="57"/>
      <c r="I334" s="57"/>
      <c r="J334" s="57"/>
      <c r="K334" s="57"/>
      <c r="L334" s="57"/>
    </row>
    <row r="335" spans="3:12" ht="12.75" customHeight="1" x14ac:dyDescent="0.25">
      <c r="C335" s="57"/>
      <c r="D335" s="57"/>
      <c r="E335" s="57"/>
      <c r="F335" s="57"/>
      <c r="G335" s="57"/>
      <c r="H335" s="57"/>
      <c r="I335" s="57"/>
      <c r="J335" s="57"/>
      <c r="K335" s="57"/>
      <c r="L335" s="57"/>
    </row>
    <row r="336" spans="3:12" ht="12.75" customHeight="1" x14ac:dyDescent="0.25">
      <c r="C336" s="57"/>
      <c r="D336" s="57"/>
      <c r="E336" s="57"/>
      <c r="F336" s="57"/>
      <c r="G336" s="57"/>
      <c r="H336" s="57"/>
      <c r="I336" s="57"/>
      <c r="J336" s="57"/>
      <c r="K336" s="57"/>
      <c r="L336" s="57"/>
    </row>
    <row r="337" spans="3:12" ht="12.75" customHeight="1" x14ac:dyDescent="0.25">
      <c r="C337" s="57"/>
      <c r="D337" s="57"/>
      <c r="E337" s="57"/>
      <c r="F337" s="57"/>
      <c r="G337" s="57"/>
      <c r="H337" s="57"/>
      <c r="I337" s="57"/>
      <c r="J337" s="57"/>
      <c r="K337" s="57"/>
      <c r="L337" s="57"/>
    </row>
    <row r="338" spans="3:12" ht="12.75" customHeight="1" x14ac:dyDescent="0.25">
      <c r="C338" s="57"/>
      <c r="D338" s="57"/>
      <c r="E338" s="57"/>
      <c r="F338" s="57"/>
      <c r="G338" s="57"/>
      <c r="H338" s="57"/>
      <c r="I338" s="57"/>
      <c r="J338" s="57"/>
      <c r="K338" s="57"/>
      <c r="L338" s="57"/>
    </row>
    <row r="339" spans="3:12" ht="12.75" customHeight="1" x14ac:dyDescent="0.25">
      <c r="C339" s="57"/>
      <c r="D339" s="57"/>
      <c r="E339" s="57"/>
      <c r="F339" s="57"/>
      <c r="G339" s="57"/>
      <c r="H339" s="57"/>
      <c r="I339" s="57"/>
      <c r="J339" s="57"/>
      <c r="K339" s="57"/>
      <c r="L339" s="57"/>
    </row>
    <row r="340" spans="3:12" ht="12.75" customHeight="1" x14ac:dyDescent="0.25">
      <c r="C340" s="57"/>
      <c r="D340" s="57"/>
      <c r="E340" s="57"/>
      <c r="F340" s="57"/>
      <c r="G340" s="57"/>
      <c r="H340" s="57"/>
      <c r="I340" s="57"/>
      <c r="J340" s="57"/>
      <c r="K340" s="57"/>
      <c r="L340" s="57"/>
    </row>
    <row r="341" spans="3:12" ht="12.75" customHeight="1" x14ac:dyDescent="0.25">
      <c r="C341" s="57"/>
      <c r="D341" s="57"/>
      <c r="E341" s="57"/>
      <c r="F341" s="57"/>
      <c r="G341" s="57"/>
      <c r="H341" s="57"/>
      <c r="I341" s="57"/>
      <c r="J341" s="57"/>
      <c r="K341" s="57"/>
      <c r="L341" s="57"/>
    </row>
    <row r="342" spans="3:12" ht="12.75" customHeight="1" x14ac:dyDescent="0.25">
      <c r="C342" s="57"/>
      <c r="D342" s="57"/>
      <c r="E342" s="57"/>
      <c r="F342" s="57"/>
      <c r="G342" s="57"/>
      <c r="H342" s="57"/>
      <c r="I342" s="57"/>
      <c r="J342" s="57"/>
      <c r="K342" s="57"/>
      <c r="L342" s="57"/>
    </row>
    <row r="343" spans="3:12" ht="12.75" customHeight="1" x14ac:dyDescent="0.25">
      <c r="C343" s="57"/>
      <c r="D343" s="57"/>
      <c r="E343" s="57"/>
      <c r="F343" s="57"/>
      <c r="G343" s="57"/>
      <c r="H343" s="57"/>
      <c r="I343" s="57"/>
      <c r="J343" s="57"/>
      <c r="K343" s="57"/>
      <c r="L343" s="57"/>
    </row>
    <row r="344" spans="3:12" ht="12.75" customHeight="1" x14ac:dyDescent="0.25">
      <c r="C344" s="57"/>
      <c r="D344" s="57"/>
      <c r="E344" s="57"/>
      <c r="F344" s="57"/>
      <c r="G344" s="57"/>
      <c r="H344" s="57"/>
      <c r="I344" s="57"/>
      <c r="J344" s="57"/>
      <c r="K344" s="57"/>
      <c r="L344" s="57"/>
    </row>
    <row r="345" spans="3:12" ht="12.75" customHeight="1" x14ac:dyDescent="0.25">
      <c r="C345" s="57"/>
      <c r="D345" s="57"/>
      <c r="E345" s="57"/>
      <c r="F345" s="57"/>
      <c r="G345" s="57"/>
      <c r="H345" s="57"/>
      <c r="I345" s="57"/>
      <c r="J345" s="57"/>
      <c r="K345" s="57"/>
      <c r="L345" s="57"/>
    </row>
    <row r="346" spans="3:12" ht="12.75" customHeight="1" x14ac:dyDescent="0.25">
      <c r="C346" s="57"/>
      <c r="D346" s="57"/>
      <c r="E346" s="57"/>
      <c r="F346" s="57"/>
      <c r="G346" s="57"/>
      <c r="H346" s="57"/>
      <c r="I346" s="57"/>
      <c r="J346" s="57"/>
      <c r="K346" s="57"/>
      <c r="L346" s="57"/>
    </row>
    <row r="347" spans="3:12" ht="12.75" customHeight="1" x14ac:dyDescent="0.25">
      <c r="C347" s="57"/>
      <c r="D347" s="57"/>
      <c r="E347" s="57"/>
      <c r="F347" s="57"/>
      <c r="G347" s="57"/>
      <c r="H347" s="57"/>
      <c r="I347" s="57"/>
      <c r="J347" s="57"/>
      <c r="K347" s="57"/>
      <c r="L347" s="57"/>
    </row>
    <row r="348" spans="3:12" ht="12.75" customHeight="1" x14ac:dyDescent="0.25">
      <c r="C348" s="57"/>
      <c r="D348" s="57"/>
      <c r="E348" s="57"/>
      <c r="F348" s="57"/>
      <c r="G348" s="57"/>
      <c r="H348" s="57"/>
      <c r="I348" s="57"/>
      <c r="J348" s="57"/>
      <c r="K348" s="57"/>
      <c r="L348" s="57"/>
    </row>
    <row r="349" spans="3:12" ht="12.75" customHeight="1" x14ac:dyDescent="0.25">
      <c r="C349" s="57"/>
      <c r="D349" s="57"/>
      <c r="E349" s="57"/>
      <c r="F349" s="57"/>
      <c r="G349" s="57"/>
      <c r="H349" s="57"/>
      <c r="I349" s="57"/>
      <c r="J349" s="57"/>
      <c r="K349" s="57"/>
      <c r="L349" s="57"/>
    </row>
    <row r="350" spans="3:12" ht="12.75" customHeight="1" x14ac:dyDescent="0.25">
      <c r="C350" s="57"/>
      <c r="D350" s="57"/>
      <c r="E350" s="57"/>
      <c r="F350" s="57"/>
      <c r="G350" s="57"/>
      <c r="H350" s="57"/>
      <c r="I350" s="57"/>
      <c r="J350" s="57"/>
      <c r="K350" s="57"/>
      <c r="L350" s="57"/>
    </row>
    <row r="351" spans="3:12" ht="12.75" customHeight="1" x14ac:dyDescent="0.25">
      <c r="C351" s="57"/>
      <c r="D351" s="57"/>
      <c r="E351" s="57"/>
      <c r="F351" s="57"/>
      <c r="G351" s="57"/>
      <c r="H351" s="57"/>
      <c r="I351" s="57"/>
      <c r="J351" s="57"/>
      <c r="K351" s="57"/>
      <c r="L351" s="57"/>
    </row>
    <row r="352" spans="3:12" ht="12.75" customHeight="1" x14ac:dyDescent="0.25">
      <c r="C352" s="57"/>
      <c r="D352" s="57"/>
      <c r="E352" s="57"/>
      <c r="F352" s="57"/>
      <c r="G352" s="57"/>
      <c r="H352" s="57"/>
      <c r="I352" s="57"/>
      <c r="J352" s="57"/>
      <c r="K352" s="57"/>
      <c r="L352" s="57"/>
    </row>
    <row r="353" spans="3:12" ht="12.75" customHeight="1" x14ac:dyDescent="0.25">
      <c r="C353" s="57"/>
      <c r="D353" s="57"/>
      <c r="E353" s="57"/>
      <c r="F353" s="57"/>
      <c r="G353" s="57"/>
      <c r="H353" s="57"/>
      <c r="I353" s="57"/>
      <c r="J353" s="57"/>
      <c r="K353" s="57"/>
      <c r="L353" s="57"/>
    </row>
    <row r="354" spans="3:12" ht="12.75" customHeight="1" x14ac:dyDescent="0.25">
      <c r="C354" s="57"/>
      <c r="D354" s="57"/>
      <c r="E354" s="57"/>
      <c r="F354" s="57"/>
      <c r="G354" s="57"/>
      <c r="H354" s="57"/>
      <c r="I354" s="57"/>
      <c r="J354" s="57"/>
      <c r="K354" s="57"/>
      <c r="L354" s="57"/>
    </row>
    <row r="355" spans="3:12" ht="12.75" customHeight="1" x14ac:dyDescent="0.25">
      <c r="C355" s="57"/>
      <c r="D355" s="57"/>
      <c r="E355" s="57"/>
      <c r="F355" s="57"/>
      <c r="G355" s="57"/>
      <c r="H355" s="57"/>
      <c r="I355" s="57"/>
      <c r="J355" s="57"/>
      <c r="K355" s="57"/>
      <c r="L355" s="57"/>
    </row>
    <row r="356" spans="3:12" ht="12.75" customHeight="1" x14ac:dyDescent="0.25">
      <c r="C356" s="57"/>
      <c r="D356" s="57"/>
      <c r="E356" s="57"/>
      <c r="F356" s="57"/>
      <c r="G356" s="57"/>
      <c r="H356" s="57"/>
      <c r="I356" s="57"/>
      <c r="J356" s="57"/>
      <c r="K356" s="57"/>
      <c r="L356" s="57"/>
    </row>
    <row r="357" spans="3:12" ht="12.75" customHeight="1" x14ac:dyDescent="0.25">
      <c r="C357" s="57"/>
      <c r="D357" s="57"/>
      <c r="E357" s="57"/>
      <c r="F357" s="57"/>
      <c r="G357" s="57"/>
      <c r="H357" s="57"/>
      <c r="I357" s="57"/>
      <c r="J357" s="57"/>
      <c r="K357" s="57"/>
      <c r="L357" s="57"/>
    </row>
    <row r="358" spans="3:12" ht="12.75" customHeight="1" x14ac:dyDescent="0.25">
      <c r="C358" s="57"/>
      <c r="D358" s="57"/>
      <c r="E358" s="57"/>
      <c r="F358" s="57"/>
      <c r="G358" s="57"/>
      <c r="H358" s="57"/>
      <c r="I358" s="57"/>
      <c r="J358" s="57"/>
      <c r="K358" s="57"/>
      <c r="L358" s="57"/>
    </row>
    <row r="359" spans="3:12" ht="12.75" customHeight="1" x14ac:dyDescent="0.25">
      <c r="C359" s="57"/>
      <c r="D359" s="57"/>
      <c r="E359" s="57"/>
      <c r="F359" s="57"/>
      <c r="G359" s="57"/>
      <c r="H359" s="57"/>
      <c r="I359" s="57"/>
      <c r="J359" s="57"/>
      <c r="K359" s="57"/>
      <c r="L359" s="57"/>
    </row>
    <row r="360" spans="3:12" ht="12.75" customHeight="1" x14ac:dyDescent="0.25">
      <c r="C360" s="57"/>
      <c r="D360" s="57"/>
      <c r="E360" s="57"/>
      <c r="F360" s="57"/>
      <c r="G360" s="57"/>
      <c r="H360" s="57"/>
      <c r="I360" s="57"/>
      <c r="J360" s="57"/>
      <c r="K360" s="57"/>
      <c r="L360" s="57"/>
    </row>
    <row r="361" spans="3:12" ht="12.75" customHeight="1" x14ac:dyDescent="0.25">
      <c r="C361" s="57"/>
      <c r="D361" s="57"/>
      <c r="E361" s="57"/>
      <c r="F361" s="57"/>
      <c r="G361" s="57"/>
      <c r="H361" s="57"/>
      <c r="I361" s="57"/>
      <c r="J361" s="57"/>
      <c r="K361" s="57"/>
      <c r="L361" s="57"/>
    </row>
    <row r="362" spans="3:12" ht="12.75" customHeight="1" x14ac:dyDescent="0.25">
      <c r="C362" s="57"/>
      <c r="D362" s="57"/>
      <c r="E362" s="57"/>
      <c r="F362" s="57"/>
      <c r="G362" s="57"/>
      <c r="H362" s="57"/>
      <c r="I362" s="57"/>
      <c r="J362" s="57"/>
      <c r="K362" s="57"/>
      <c r="L362" s="57"/>
    </row>
    <row r="363" spans="3:12" ht="12.75" customHeight="1" x14ac:dyDescent="0.25">
      <c r="C363" s="57"/>
      <c r="D363" s="57"/>
      <c r="E363" s="57"/>
      <c r="F363" s="57"/>
      <c r="G363" s="57"/>
      <c r="H363" s="57"/>
      <c r="I363" s="57"/>
      <c r="J363" s="57"/>
      <c r="K363" s="57"/>
      <c r="L363" s="57"/>
    </row>
    <row r="364" spans="3:12" ht="12.75" customHeight="1" x14ac:dyDescent="0.25">
      <c r="C364" s="57"/>
      <c r="D364" s="57"/>
      <c r="E364" s="57"/>
      <c r="F364" s="57"/>
      <c r="G364" s="57"/>
      <c r="H364" s="57"/>
      <c r="I364" s="57"/>
      <c r="J364" s="57"/>
      <c r="K364" s="57"/>
      <c r="L364" s="57"/>
    </row>
    <row r="365" spans="3:12" ht="12.75" customHeight="1" x14ac:dyDescent="0.25">
      <c r="C365" s="57"/>
      <c r="D365" s="57"/>
      <c r="E365" s="57"/>
      <c r="F365" s="57"/>
      <c r="G365" s="57"/>
      <c r="H365" s="57"/>
      <c r="I365" s="57"/>
      <c r="J365" s="57"/>
      <c r="K365" s="57"/>
      <c r="L365" s="57"/>
    </row>
    <row r="366" spans="3:12" ht="12.75" customHeight="1" x14ac:dyDescent="0.25">
      <c r="C366" s="57"/>
      <c r="D366" s="57"/>
      <c r="E366" s="57"/>
      <c r="F366" s="57"/>
      <c r="G366" s="57"/>
      <c r="H366" s="57"/>
      <c r="I366" s="57"/>
      <c r="J366" s="57"/>
      <c r="K366" s="57"/>
      <c r="L366" s="57"/>
    </row>
    <row r="367" spans="3:12" ht="12.75" customHeight="1" x14ac:dyDescent="0.25">
      <c r="C367" s="57"/>
      <c r="D367" s="57"/>
      <c r="E367" s="57"/>
      <c r="F367" s="57"/>
      <c r="G367" s="57"/>
      <c r="H367" s="57"/>
      <c r="I367" s="57"/>
      <c r="J367" s="57"/>
      <c r="K367" s="57"/>
      <c r="L367" s="57"/>
    </row>
    <row r="368" spans="3:12" ht="12.75" customHeight="1" x14ac:dyDescent="0.25">
      <c r="C368" s="57"/>
      <c r="D368" s="57"/>
      <c r="E368" s="57"/>
      <c r="F368" s="57"/>
      <c r="G368" s="57"/>
      <c r="H368" s="57"/>
      <c r="I368" s="57"/>
      <c r="J368" s="57"/>
      <c r="K368" s="57"/>
      <c r="L368" s="57"/>
    </row>
    <row r="369" spans="3:12" ht="12.75" customHeight="1" x14ac:dyDescent="0.25">
      <c r="C369" s="57"/>
      <c r="D369" s="57"/>
      <c r="E369" s="57"/>
      <c r="F369" s="57"/>
      <c r="G369" s="57"/>
      <c r="H369" s="57"/>
      <c r="I369" s="57"/>
      <c r="J369" s="57"/>
      <c r="K369" s="57"/>
      <c r="L369" s="57"/>
    </row>
    <row r="370" spans="3:12" ht="12.75" customHeight="1" x14ac:dyDescent="0.25">
      <c r="C370" s="57"/>
      <c r="D370" s="57"/>
      <c r="E370" s="57"/>
      <c r="F370" s="57"/>
      <c r="G370" s="57"/>
      <c r="H370" s="57"/>
      <c r="I370" s="57"/>
      <c r="J370" s="57"/>
      <c r="K370" s="57"/>
      <c r="L370" s="57"/>
    </row>
    <row r="371" spans="3:12" ht="12.75" customHeight="1" x14ac:dyDescent="0.25">
      <c r="C371" s="57"/>
      <c r="D371" s="57"/>
      <c r="E371" s="57"/>
      <c r="F371" s="57"/>
      <c r="G371" s="57"/>
      <c r="H371" s="57"/>
      <c r="I371" s="57"/>
      <c r="J371" s="57"/>
      <c r="K371" s="57"/>
      <c r="L371" s="57"/>
    </row>
    <row r="372" spans="3:12" ht="12.75" customHeight="1" x14ac:dyDescent="0.25">
      <c r="C372" s="57"/>
      <c r="D372" s="57"/>
      <c r="E372" s="57"/>
      <c r="F372" s="57"/>
      <c r="G372" s="57"/>
      <c r="H372" s="57"/>
      <c r="I372" s="57"/>
      <c r="J372" s="57"/>
      <c r="K372" s="57"/>
      <c r="L372" s="57"/>
    </row>
    <row r="373" spans="3:12" ht="12.75" customHeight="1" x14ac:dyDescent="0.25">
      <c r="C373" s="57"/>
      <c r="D373" s="57"/>
      <c r="E373" s="57"/>
      <c r="F373" s="57"/>
      <c r="G373" s="57"/>
      <c r="H373" s="57"/>
      <c r="I373" s="57"/>
      <c r="J373" s="57"/>
      <c r="K373" s="57"/>
      <c r="L373" s="57"/>
    </row>
    <row r="374" spans="3:12" ht="12.75" customHeight="1" x14ac:dyDescent="0.25">
      <c r="C374" s="57"/>
      <c r="D374" s="57"/>
      <c r="E374" s="57"/>
      <c r="F374" s="57"/>
      <c r="G374" s="57"/>
      <c r="H374" s="57"/>
      <c r="I374" s="57"/>
      <c r="J374" s="57"/>
      <c r="K374" s="57"/>
      <c r="L374" s="57"/>
    </row>
    <row r="375" spans="3:12" ht="12.75" customHeight="1" x14ac:dyDescent="0.25">
      <c r="C375" s="57"/>
      <c r="D375" s="57"/>
      <c r="E375" s="57"/>
      <c r="F375" s="57"/>
      <c r="G375" s="57"/>
      <c r="H375" s="57"/>
      <c r="I375" s="57"/>
      <c r="J375" s="57"/>
      <c r="K375" s="57"/>
      <c r="L375" s="57"/>
    </row>
    <row r="376" spans="3:12" ht="12.75" customHeight="1" x14ac:dyDescent="0.25">
      <c r="C376" s="57"/>
      <c r="D376" s="57"/>
      <c r="E376" s="57"/>
      <c r="F376" s="57"/>
      <c r="G376" s="57"/>
      <c r="H376" s="57"/>
      <c r="I376" s="57"/>
      <c r="J376" s="57"/>
      <c r="K376" s="57"/>
      <c r="L376" s="57"/>
    </row>
    <row r="377" spans="3:12" ht="12.75" customHeight="1" x14ac:dyDescent="0.25">
      <c r="C377" s="57"/>
      <c r="D377" s="57"/>
      <c r="E377" s="57"/>
      <c r="F377" s="57"/>
      <c r="G377" s="57"/>
      <c r="H377" s="57"/>
      <c r="I377" s="57"/>
      <c r="J377" s="57"/>
      <c r="K377" s="57"/>
      <c r="L377" s="57"/>
    </row>
    <row r="378" spans="3:12" ht="12.75" customHeight="1" x14ac:dyDescent="0.25">
      <c r="C378" s="57"/>
      <c r="D378" s="57"/>
      <c r="E378" s="57"/>
      <c r="F378" s="57"/>
      <c r="G378" s="57"/>
      <c r="H378" s="57"/>
      <c r="I378" s="57"/>
      <c r="J378" s="57"/>
      <c r="K378" s="57"/>
      <c r="L378" s="57"/>
    </row>
    <row r="379" spans="3:12" ht="12.75" customHeight="1" x14ac:dyDescent="0.25">
      <c r="C379" s="57"/>
      <c r="D379" s="57"/>
      <c r="E379" s="57"/>
      <c r="F379" s="57"/>
      <c r="G379" s="57"/>
      <c r="H379" s="57"/>
      <c r="I379" s="57"/>
      <c r="J379" s="57"/>
      <c r="K379" s="57"/>
      <c r="L379" s="57"/>
    </row>
    <row r="380" spans="3:12" ht="12.75" customHeight="1" x14ac:dyDescent="0.25">
      <c r="C380" s="57"/>
      <c r="D380" s="57"/>
      <c r="E380" s="57"/>
      <c r="F380" s="57"/>
      <c r="G380" s="57"/>
      <c r="H380" s="57"/>
      <c r="I380" s="57"/>
      <c r="J380" s="57"/>
      <c r="K380" s="57"/>
      <c r="L380" s="57"/>
    </row>
    <row r="381" spans="3:12" ht="12.75" customHeight="1" x14ac:dyDescent="0.25">
      <c r="C381" s="45"/>
      <c r="D381" s="45"/>
      <c r="E381" s="45"/>
      <c r="F381" s="45"/>
      <c r="G381" s="45"/>
      <c r="H381" s="45"/>
      <c r="I381" s="45"/>
      <c r="J381" s="45"/>
      <c r="K381" s="45"/>
      <c r="L381" s="45"/>
    </row>
    <row r="382" spans="3:12" ht="12.75" customHeight="1" x14ac:dyDescent="0.25">
      <c r="C382" s="45"/>
      <c r="D382" s="45"/>
      <c r="E382" s="45"/>
      <c r="F382" s="45"/>
      <c r="G382" s="45"/>
      <c r="H382" s="45"/>
      <c r="I382" s="45"/>
      <c r="J382" s="45"/>
      <c r="K382" s="45"/>
      <c r="L382" s="45"/>
    </row>
    <row r="383" spans="3:12" ht="12.75" customHeight="1" x14ac:dyDescent="0.25">
      <c r="C383" s="45"/>
      <c r="D383" s="45"/>
      <c r="E383" s="45"/>
      <c r="F383" s="45"/>
      <c r="G383" s="45"/>
      <c r="H383" s="45"/>
      <c r="I383" s="45"/>
      <c r="J383" s="45"/>
      <c r="K383" s="45"/>
      <c r="L383" s="45"/>
    </row>
    <row r="384" spans="3:12" ht="12.75" customHeight="1" x14ac:dyDescent="0.25">
      <c r="C384" s="45"/>
      <c r="D384" s="45"/>
      <c r="E384" s="45"/>
      <c r="F384" s="45"/>
      <c r="G384" s="45"/>
      <c r="H384" s="45"/>
      <c r="I384" s="45"/>
      <c r="J384" s="45"/>
      <c r="K384" s="45"/>
      <c r="L384" s="45"/>
    </row>
    <row r="385" spans="3:12" ht="12.75" customHeight="1" x14ac:dyDescent="0.25">
      <c r="C385" s="45"/>
      <c r="D385" s="45"/>
      <c r="E385" s="45"/>
      <c r="F385" s="45"/>
      <c r="G385" s="45"/>
      <c r="H385" s="45"/>
      <c r="I385" s="45"/>
      <c r="J385" s="45"/>
      <c r="K385" s="45"/>
      <c r="L385" s="45"/>
    </row>
    <row r="386" spans="3:12" ht="12.75" customHeight="1" x14ac:dyDescent="0.25">
      <c r="C386" s="45"/>
      <c r="D386" s="45"/>
      <c r="E386" s="45"/>
      <c r="F386" s="45"/>
      <c r="G386" s="45"/>
      <c r="H386" s="45"/>
      <c r="I386" s="45"/>
      <c r="J386" s="45"/>
      <c r="K386" s="45"/>
      <c r="L386" s="45"/>
    </row>
    <row r="387" spans="3:12" ht="12.75" customHeight="1" x14ac:dyDescent="0.25">
      <c r="C387" s="45"/>
      <c r="D387" s="45"/>
      <c r="E387" s="45"/>
      <c r="F387" s="45"/>
      <c r="G387" s="45"/>
      <c r="H387" s="45"/>
      <c r="I387" s="45"/>
      <c r="J387" s="45"/>
      <c r="K387" s="45"/>
      <c r="L387" s="45"/>
    </row>
    <row r="388" spans="3:12" ht="12.75" customHeight="1" x14ac:dyDescent="0.25">
      <c r="C388" s="45"/>
      <c r="D388" s="45"/>
      <c r="E388" s="45"/>
      <c r="F388" s="45"/>
      <c r="G388" s="45"/>
      <c r="H388" s="45"/>
      <c r="I388" s="45"/>
      <c r="J388" s="45"/>
      <c r="K388" s="45"/>
      <c r="L388" s="45"/>
    </row>
    <row r="389" spans="3:12" ht="12.75" customHeight="1" x14ac:dyDescent="0.25">
      <c r="C389" s="45"/>
      <c r="D389" s="45"/>
      <c r="E389" s="45"/>
      <c r="F389" s="45"/>
      <c r="G389" s="45"/>
      <c r="H389" s="45"/>
      <c r="I389" s="45"/>
      <c r="J389" s="45"/>
      <c r="K389" s="45"/>
      <c r="L389" s="45"/>
    </row>
    <row r="390" spans="3:12" ht="12.75" customHeight="1" x14ac:dyDescent="0.25">
      <c r="C390" s="45"/>
      <c r="D390" s="45"/>
      <c r="E390" s="45"/>
      <c r="F390" s="45"/>
      <c r="G390" s="45"/>
      <c r="H390" s="45"/>
      <c r="I390" s="45"/>
      <c r="J390" s="45"/>
      <c r="K390" s="45"/>
      <c r="L390" s="45"/>
    </row>
    <row r="391" spans="3:12" ht="12.75" customHeight="1" x14ac:dyDescent="0.25">
      <c r="C391" s="45"/>
      <c r="D391" s="45"/>
      <c r="E391" s="45"/>
      <c r="F391" s="45"/>
      <c r="G391" s="45"/>
      <c r="H391" s="45"/>
      <c r="I391" s="45"/>
      <c r="J391" s="45"/>
      <c r="K391" s="45"/>
      <c r="L391" s="45"/>
    </row>
    <row r="392" spans="3:12" ht="12.75" customHeight="1" x14ac:dyDescent="0.25">
      <c r="C392" s="45"/>
      <c r="D392" s="45"/>
      <c r="E392" s="45"/>
      <c r="F392" s="45"/>
      <c r="G392" s="45"/>
      <c r="H392" s="45"/>
      <c r="I392" s="45"/>
      <c r="J392" s="45"/>
      <c r="K392" s="45"/>
      <c r="L392" s="45"/>
    </row>
    <row r="393" spans="3:12" ht="12.75" customHeight="1" x14ac:dyDescent="0.25">
      <c r="C393" s="45"/>
      <c r="D393" s="45"/>
      <c r="E393" s="45"/>
      <c r="F393" s="45"/>
      <c r="G393" s="45"/>
      <c r="H393" s="45"/>
      <c r="I393" s="45"/>
      <c r="J393" s="45"/>
      <c r="K393" s="45"/>
      <c r="L393" s="45"/>
    </row>
    <row r="394" spans="3:12" ht="12.75" customHeight="1" x14ac:dyDescent="0.25">
      <c r="C394" s="45"/>
      <c r="D394" s="45"/>
      <c r="E394" s="45"/>
      <c r="F394" s="45"/>
      <c r="G394" s="45"/>
      <c r="H394" s="45"/>
      <c r="I394" s="45"/>
      <c r="J394" s="45"/>
      <c r="K394" s="45"/>
      <c r="L394" s="45"/>
    </row>
    <row r="395" spans="3:12" ht="12.75" customHeight="1" x14ac:dyDescent="0.25">
      <c r="C395" s="45"/>
      <c r="D395" s="45"/>
      <c r="E395" s="45"/>
      <c r="F395" s="45"/>
      <c r="G395" s="45"/>
      <c r="H395" s="45"/>
      <c r="I395" s="45"/>
      <c r="J395" s="45"/>
      <c r="K395" s="45"/>
      <c r="L395" s="45"/>
    </row>
    <row r="396" spans="3:12" ht="12.75" customHeight="1" x14ac:dyDescent="0.25">
      <c r="C396" s="45"/>
      <c r="D396" s="45"/>
      <c r="E396" s="45"/>
      <c r="F396" s="45"/>
      <c r="G396" s="45"/>
      <c r="H396" s="45"/>
      <c r="I396" s="45"/>
      <c r="J396" s="45"/>
      <c r="K396" s="45"/>
      <c r="L396" s="45"/>
    </row>
    <row r="397" spans="3:12" ht="12.75" customHeight="1" x14ac:dyDescent="0.25">
      <c r="C397" s="45"/>
      <c r="D397" s="45"/>
      <c r="E397" s="45"/>
      <c r="F397" s="45"/>
      <c r="G397" s="45"/>
      <c r="H397" s="45"/>
      <c r="I397" s="45"/>
      <c r="J397" s="45"/>
      <c r="K397" s="45"/>
      <c r="L397" s="45"/>
    </row>
    <row r="398" spans="3:12" ht="12.75" customHeight="1" x14ac:dyDescent="0.25">
      <c r="C398" s="45"/>
      <c r="D398" s="45"/>
      <c r="E398" s="45"/>
      <c r="F398" s="45"/>
      <c r="G398" s="45"/>
      <c r="H398" s="45"/>
      <c r="I398" s="45"/>
      <c r="J398" s="45"/>
      <c r="K398" s="45"/>
      <c r="L398" s="45"/>
    </row>
    <row r="399" spans="3:12" ht="12.75" customHeight="1" x14ac:dyDescent="0.25">
      <c r="C399" s="45"/>
      <c r="D399" s="45"/>
      <c r="E399" s="45"/>
      <c r="F399" s="45"/>
      <c r="G399" s="45"/>
      <c r="H399" s="45"/>
      <c r="I399" s="45"/>
      <c r="J399" s="45"/>
      <c r="K399" s="45"/>
      <c r="L399" s="45"/>
    </row>
    <row r="400" spans="3:12" ht="12.75" customHeight="1" x14ac:dyDescent="0.25">
      <c r="C400" s="45"/>
      <c r="D400" s="45"/>
      <c r="E400" s="45"/>
      <c r="F400" s="45"/>
      <c r="G400" s="45"/>
      <c r="H400" s="45"/>
      <c r="I400" s="45"/>
      <c r="J400" s="45"/>
      <c r="K400" s="45"/>
      <c r="L400" s="45"/>
    </row>
    <row r="401" spans="3:12" ht="12.75" customHeight="1" x14ac:dyDescent="0.25">
      <c r="C401" s="45"/>
      <c r="D401" s="45"/>
      <c r="E401" s="45"/>
      <c r="F401" s="45"/>
      <c r="G401" s="45"/>
      <c r="H401" s="45"/>
      <c r="I401" s="45"/>
      <c r="J401" s="45"/>
      <c r="K401" s="45"/>
      <c r="L401" s="45"/>
    </row>
    <row r="402" spans="3:12" ht="12.75" customHeight="1" x14ac:dyDescent="0.25">
      <c r="C402" s="45"/>
      <c r="D402" s="45"/>
      <c r="E402" s="45"/>
      <c r="F402" s="45"/>
      <c r="G402" s="45"/>
      <c r="H402" s="45"/>
      <c r="I402" s="45"/>
      <c r="J402" s="45"/>
      <c r="K402" s="45"/>
      <c r="L402" s="45"/>
    </row>
    <row r="403" spans="3:12" ht="12.75" customHeight="1" x14ac:dyDescent="0.25">
      <c r="C403" s="45"/>
      <c r="D403" s="45"/>
      <c r="E403" s="45"/>
      <c r="F403" s="45"/>
      <c r="G403" s="45"/>
      <c r="H403" s="45"/>
      <c r="I403" s="45"/>
      <c r="J403" s="45"/>
      <c r="K403" s="45"/>
      <c r="L403" s="45"/>
    </row>
    <row r="404" spans="3:12" ht="12.75" customHeight="1" x14ac:dyDescent="0.25">
      <c r="C404" s="45"/>
      <c r="D404" s="45"/>
      <c r="E404" s="45"/>
      <c r="F404" s="45"/>
      <c r="G404" s="45"/>
      <c r="H404" s="45"/>
      <c r="I404" s="45"/>
      <c r="J404" s="45"/>
      <c r="K404" s="45"/>
      <c r="L404" s="45"/>
    </row>
    <row r="405" spans="3:12" ht="12.75" customHeight="1" x14ac:dyDescent="0.25">
      <c r="C405" s="45"/>
      <c r="D405" s="45"/>
      <c r="E405" s="45"/>
      <c r="F405" s="45"/>
      <c r="G405" s="45"/>
      <c r="H405" s="45"/>
      <c r="I405" s="45"/>
      <c r="J405" s="45"/>
      <c r="K405" s="45"/>
      <c r="L405" s="45"/>
    </row>
    <row r="406" spans="3:12" ht="12.75" customHeight="1" x14ac:dyDescent="0.25">
      <c r="C406" s="45"/>
      <c r="D406" s="45"/>
      <c r="E406" s="45"/>
      <c r="F406" s="45"/>
      <c r="G406" s="45"/>
      <c r="H406" s="45"/>
      <c r="I406" s="45"/>
      <c r="J406" s="45"/>
      <c r="K406" s="45"/>
      <c r="L406" s="45"/>
    </row>
    <row r="407" spans="3:12" ht="12.75" customHeight="1" x14ac:dyDescent="0.25">
      <c r="C407" s="45"/>
      <c r="D407" s="45"/>
      <c r="E407" s="45"/>
      <c r="F407" s="45"/>
      <c r="G407" s="45"/>
      <c r="H407" s="45"/>
      <c r="I407" s="45"/>
      <c r="J407" s="45"/>
      <c r="K407" s="45"/>
      <c r="L407" s="45"/>
    </row>
    <row r="408" spans="3:12" ht="12.75" customHeight="1" x14ac:dyDescent="0.25">
      <c r="C408" s="45"/>
      <c r="D408" s="45"/>
      <c r="E408" s="45"/>
      <c r="F408" s="45"/>
      <c r="G408" s="45"/>
      <c r="H408" s="45"/>
      <c r="I408" s="45"/>
      <c r="J408" s="45"/>
      <c r="K408" s="45"/>
      <c r="L408" s="45"/>
    </row>
    <row r="409" spans="3:12" ht="12.75" customHeight="1" x14ac:dyDescent="0.25">
      <c r="C409" s="45"/>
      <c r="D409" s="45"/>
      <c r="E409" s="45"/>
      <c r="F409" s="45"/>
      <c r="G409" s="45"/>
      <c r="H409" s="45"/>
      <c r="I409" s="45"/>
      <c r="J409" s="45"/>
      <c r="K409" s="45"/>
      <c r="L409" s="45"/>
    </row>
    <row r="410" spans="3:12" ht="12.75" customHeight="1" x14ac:dyDescent="0.25">
      <c r="C410" s="45"/>
      <c r="D410" s="45"/>
      <c r="E410" s="45"/>
      <c r="F410" s="45"/>
      <c r="G410" s="45"/>
      <c r="H410" s="45"/>
      <c r="I410" s="45"/>
      <c r="J410" s="45"/>
      <c r="K410" s="45"/>
      <c r="L410" s="45"/>
    </row>
    <row r="411" spans="3:12" ht="12.75" customHeight="1" x14ac:dyDescent="0.25">
      <c r="C411" s="45"/>
      <c r="D411" s="45"/>
      <c r="E411" s="45"/>
      <c r="F411" s="45"/>
      <c r="G411" s="45"/>
      <c r="H411" s="45"/>
      <c r="I411" s="45"/>
      <c r="J411" s="45"/>
      <c r="K411" s="45"/>
      <c r="L411" s="45"/>
    </row>
    <row r="412" spans="3:12" ht="12.75" customHeight="1" x14ac:dyDescent="0.25">
      <c r="C412" s="45"/>
      <c r="D412" s="45"/>
      <c r="E412" s="45"/>
      <c r="F412" s="45"/>
      <c r="G412" s="45"/>
      <c r="H412" s="45"/>
      <c r="I412" s="45"/>
      <c r="J412" s="45"/>
      <c r="K412" s="45"/>
      <c r="L412" s="45"/>
    </row>
    <row r="413" spans="3:12" ht="12.75" customHeight="1" x14ac:dyDescent="0.25">
      <c r="C413" s="45"/>
      <c r="D413" s="45"/>
      <c r="E413" s="45"/>
      <c r="F413" s="45"/>
      <c r="G413" s="45"/>
      <c r="H413" s="45"/>
      <c r="I413" s="45"/>
      <c r="J413" s="45"/>
      <c r="K413" s="45"/>
      <c r="L413" s="45"/>
    </row>
    <row r="414" spans="3:12" ht="12.75" customHeight="1" x14ac:dyDescent="0.25">
      <c r="C414" s="45"/>
      <c r="D414" s="45"/>
      <c r="E414" s="45"/>
      <c r="F414" s="45"/>
      <c r="G414" s="45"/>
      <c r="H414" s="45"/>
      <c r="I414" s="45"/>
      <c r="J414" s="45"/>
      <c r="K414" s="45"/>
      <c r="L414" s="45"/>
    </row>
    <row r="415" spans="3:12" ht="12.75" customHeight="1" x14ac:dyDescent="0.25">
      <c r="C415" s="45"/>
      <c r="D415" s="45"/>
      <c r="E415" s="45"/>
      <c r="F415" s="45"/>
      <c r="G415" s="45"/>
      <c r="H415" s="45"/>
      <c r="I415" s="45"/>
      <c r="J415" s="45"/>
      <c r="K415" s="45"/>
      <c r="L415" s="45"/>
    </row>
    <row r="416" spans="3:12" ht="12.75" customHeight="1" x14ac:dyDescent="0.25">
      <c r="C416" s="45"/>
      <c r="D416" s="45"/>
      <c r="E416" s="45"/>
      <c r="F416" s="45"/>
      <c r="G416" s="45"/>
      <c r="H416" s="45"/>
      <c r="I416" s="45"/>
      <c r="J416" s="45"/>
      <c r="K416" s="45"/>
      <c r="L416" s="45"/>
    </row>
    <row r="417" spans="3:12" ht="12.75" customHeight="1" x14ac:dyDescent="0.25">
      <c r="C417" s="45"/>
      <c r="D417" s="45"/>
      <c r="E417" s="45"/>
      <c r="F417" s="45"/>
      <c r="G417" s="45"/>
      <c r="H417" s="45"/>
      <c r="I417" s="45"/>
      <c r="J417" s="45"/>
      <c r="K417" s="45"/>
      <c r="L417" s="45"/>
    </row>
    <row r="418" spans="3:12" ht="12.75" customHeight="1" x14ac:dyDescent="0.25">
      <c r="C418" s="45"/>
      <c r="D418" s="45"/>
      <c r="E418" s="45"/>
      <c r="F418" s="45"/>
      <c r="G418" s="45"/>
      <c r="H418" s="45"/>
      <c r="I418" s="45"/>
      <c r="J418" s="45"/>
      <c r="K418" s="45"/>
      <c r="L418" s="45"/>
    </row>
    <row r="419" spans="3:12" ht="12.75" customHeight="1" x14ac:dyDescent="0.25">
      <c r="C419" s="45"/>
      <c r="D419" s="45"/>
      <c r="E419" s="45"/>
      <c r="F419" s="45"/>
      <c r="G419" s="45"/>
      <c r="H419" s="45"/>
      <c r="I419" s="45"/>
      <c r="J419" s="45"/>
      <c r="K419" s="45"/>
      <c r="L419" s="45"/>
    </row>
    <row r="420" spans="3:12" ht="12.75" customHeight="1" x14ac:dyDescent="0.25">
      <c r="C420" s="45"/>
      <c r="D420" s="45"/>
      <c r="E420" s="45"/>
      <c r="F420" s="45"/>
      <c r="G420" s="45"/>
      <c r="H420" s="45"/>
      <c r="I420" s="45"/>
      <c r="J420" s="45"/>
      <c r="K420" s="45"/>
      <c r="L420" s="45"/>
    </row>
    <row r="421" spans="3:12" ht="12.75" customHeight="1" x14ac:dyDescent="0.25">
      <c r="C421" s="45"/>
      <c r="D421" s="45"/>
      <c r="E421" s="45"/>
      <c r="F421" s="45"/>
      <c r="G421" s="45"/>
      <c r="H421" s="45"/>
      <c r="I421" s="45"/>
      <c r="J421" s="45"/>
      <c r="K421" s="45"/>
      <c r="L421" s="45"/>
    </row>
    <row r="422" spans="3:12" ht="12.75" customHeight="1" x14ac:dyDescent="0.25">
      <c r="C422" s="45"/>
      <c r="D422" s="45"/>
      <c r="E422" s="45"/>
      <c r="F422" s="45"/>
      <c r="G422" s="45"/>
      <c r="H422" s="45"/>
      <c r="I422" s="45"/>
      <c r="J422" s="45"/>
      <c r="K422" s="45"/>
      <c r="L422" s="45"/>
    </row>
    <row r="423" spans="3:12" ht="12.75" customHeight="1" x14ac:dyDescent="0.25">
      <c r="C423" s="45"/>
      <c r="D423" s="45"/>
      <c r="E423" s="45"/>
      <c r="F423" s="45"/>
      <c r="G423" s="45"/>
      <c r="H423" s="45"/>
      <c r="I423" s="45"/>
      <c r="J423" s="45"/>
      <c r="K423" s="45"/>
      <c r="L423" s="45"/>
    </row>
    <row r="424" spans="3:12" ht="12.75" customHeight="1" x14ac:dyDescent="0.25">
      <c r="C424" s="45"/>
      <c r="D424" s="45"/>
      <c r="E424" s="45"/>
      <c r="F424" s="45"/>
      <c r="G424" s="45"/>
      <c r="H424" s="45"/>
      <c r="I424" s="45"/>
      <c r="J424" s="45"/>
      <c r="K424" s="45"/>
      <c r="L424" s="45"/>
    </row>
    <row r="425" spans="3:12" ht="12.75" customHeight="1" x14ac:dyDescent="0.25">
      <c r="C425" s="45"/>
      <c r="D425" s="45"/>
      <c r="E425" s="45"/>
      <c r="F425" s="45"/>
      <c r="G425" s="45"/>
      <c r="H425" s="45"/>
      <c r="I425" s="45"/>
      <c r="J425" s="45"/>
      <c r="K425" s="45"/>
      <c r="L425" s="45"/>
    </row>
    <row r="426" spans="3:12" ht="12.75" customHeight="1" x14ac:dyDescent="0.25">
      <c r="C426" s="45"/>
      <c r="D426" s="45"/>
      <c r="E426" s="45"/>
      <c r="F426" s="45"/>
      <c r="G426" s="45"/>
      <c r="H426" s="45"/>
      <c r="I426" s="45"/>
      <c r="J426" s="45"/>
      <c r="K426" s="45"/>
      <c r="L426" s="45"/>
    </row>
    <row r="427" spans="3:12" ht="12.75" customHeight="1" x14ac:dyDescent="0.25">
      <c r="C427" s="45"/>
      <c r="D427" s="45"/>
      <c r="E427" s="45"/>
      <c r="F427" s="45"/>
      <c r="G427" s="45"/>
      <c r="H427" s="45"/>
      <c r="I427" s="45"/>
      <c r="J427" s="45"/>
      <c r="K427" s="45"/>
      <c r="L427" s="45"/>
    </row>
    <row r="428" spans="3:12" ht="12.75" customHeight="1" x14ac:dyDescent="0.25">
      <c r="C428" s="45"/>
      <c r="D428" s="45"/>
      <c r="E428" s="45"/>
      <c r="F428" s="45"/>
      <c r="G428" s="45"/>
      <c r="H428" s="45"/>
      <c r="I428" s="45"/>
      <c r="J428" s="45"/>
      <c r="K428" s="45"/>
      <c r="L428" s="45"/>
    </row>
    <row r="429" spans="3:12" ht="12.75" customHeight="1" x14ac:dyDescent="0.25">
      <c r="C429" s="45"/>
      <c r="D429" s="45"/>
      <c r="E429" s="45"/>
      <c r="F429" s="45"/>
      <c r="G429" s="45"/>
      <c r="H429" s="45"/>
      <c r="I429" s="45"/>
      <c r="J429" s="45"/>
      <c r="K429" s="45"/>
      <c r="L429" s="45"/>
    </row>
    <row r="430" spans="3:12" ht="12.75" customHeight="1" x14ac:dyDescent="0.25">
      <c r="C430" s="45"/>
      <c r="D430" s="45"/>
      <c r="E430" s="45"/>
      <c r="F430" s="45"/>
      <c r="G430" s="45"/>
      <c r="H430" s="45"/>
      <c r="I430" s="45"/>
      <c r="J430" s="45"/>
      <c r="K430" s="45"/>
      <c r="L430" s="45"/>
    </row>
    <row r="431" spans="3:12" ht="12.75" customHeight="1" x14ac:dyDescent="0.25">
      <c r="C431" s="45"/>
      <c r="D431" s="45"/>
      <c r="E431" s="45"/>
      <c r="F431" s="45"/>
      <c r="G431" s="45"/>
      <c r="H431" s="45"/>
      <c r="I431" s="45"/>
      <c r="J431" s="45"/>
      <c r="K431" s="45"/>
      <c r="L431" s="45"/>
    </row>
    <row r="432" spans="3:12" ht="12.75" customHeight="1" x14ac:dyDescent="0.25">
      <c r="C432" s="45"/>
      <c r="D432" s="45"/>
      <c r="E432" s="45"/>
      <c r="F432" s="45"/>
      <c r="G432" s="45"/>
      <c r="H432" s="45"/>
      <c r="I432" s="45"/>
      <c r="J432" s="45"/>
      <c r="K432" s="45"/>
      <c r="L432" s="45"/>
    </row>
    <row r="433" spans="3:12" ht="12.75" customHeight="1" x14ac:dyDescent="0.25">
      <c r="C433" s="45"/>
      <c r="D433" s="45"/>
      <c r="E433" s="45"/>
      <c r="F433" s="45"/>
      <c r="G433" s="45"/>
      <c r="H433" s="45"/>
      <c r="I433" s="45"/>
      <c r="J433" s="45"/>
      <c r="K433" s="45"/>
      <c r="L433" s="45"/>
    </row>
    <row r="434" spans="3:12" ht="12.75" customHeight="1" x14ac:dyDescent="0.25">
      <c r="C434" s="45"/>
      <c r="D434" s="45"/>
      <c r="E434" s="45"/>
      <c r="F434" s="45"/>
      <c r="G434" s="45"/>
      <c r="H434" s="45"/>
      <c r="I434" s="45"/>
      <c r="J434" s="45"/>
      <c r="K434" s="45"/>
      <c r="L434" s="45"/>
    </row>
    <row r="435" spans="3:12" ht="12.75" customHeight="1" x14ac:dyDescent="0.25">
      <c r="C435" s="45"/>
      <c r="D435" s="45"/>
      <c r="E435" s="45"/>
      <c r="F435" s="45"/>
      <c r="G435" s="45"/>
      <c r="H435" s="45"/>
      <c r="I435" s="45"/>
      <c r="J435" s="45"/>
      <c r="K435" s="45"/>
      <c r="L435" s="45"/>
    </row>
    <row r="436" spans="3:12" ht="12.75" customHeight="1" x14ac:dyDescent="0.25">
      <c r="C436" s="45"/>
      <c r="D436" s="45"/>
      <c r="E436" s="45"/>
      <c r="F436" s="45"/>
      <c r="G436" s="45"/>
      <c r="H436" s="45"/>
      <c r="I436" s="45"/>
      <c r="J436" s="45"/>
      <c r="K436" s="45"/>
      <c r="L436" s="45"/>
    </row>
    <row r="437" spans="3:12" ht="12.75" customHeight="1" x14ac:dyDescent="0.25">
      <c r="C437" s="45"/>
      <c r="D437" s="45"/>
      <c r="E437" s="45"/>
      <c r="F437" s="45"/>
      <c r="G437" s="45"/>
      <c r="H437" s="45"/>
      <c r="I437" s="45"/>
      <c r="J437" s="45"/>
      <c r="K437" s="45"/>
      <c r="L437" s="45"/>
    </row>
    <row r="438" spans="3:12" ht="12.75" customHeight="1" x14ac:dyDescent="0.25">
      <c r="C438" s="45"/>
      <c r="D438" s="45"/>
      <c r="E438" s="45"/>
      <c r="F438" s="45"/>
      <c r="G438" s="45"/>
      <c r="H438" s="45"/>
      <c r="I438" s="45"/>
      <c r="J438" s="45"/>
      <c r="K438" s="45"/>
      <c r="L438" s="45"/>
    </row>
    <row r="439" spans="3:12" ht="12.75" customHeight="1" x14ac:dyDescent="0.25">
      <c r="C439" s="45"/>
      <c r="D439" s="45"/>
      <c r="E439" s="45"/>
      <c r="F439" s="45"/>
      <c r="G439" s="45"/>
      <c r="H439" s="45"/>
      <c r="I439" s="45"/>
      <c r="J439" s="45"/>
      <c r="K439" s="45"/>
      <c r="L439" s="45"/>
    </row>
    <row r="440" spans="3:12" ht="12.75" customHeight="1" x14ac:dyDescent="0.25">
      <c r="C440" s="45"/>
      <c r="D440" s="45"/>
      <c r="E440" s="45"/>
      <c r="F440" s="45"/>
      <c r="G440" s="45"/>
      <c r="H440" s="45"/>
      <c r="I440" s="45"/>
      <c r="J440" s="45"/>
      <c r="K440" s="45"/>
      <c r="L440" s="45"/>
    </row>
    <row r="441" spans="3:12" ht="12.75" customHeight="1" x14ac:dyDescent="0.25">
      <c r="C441" s="45"/>
      <c r="D441" s="45"/>
      <c r="E441" s="45"/>
      <c r="F441" s="45"/>
      <c r="G441" s="45"/>
      <c r="H441" s="45"/>
      <c r="I441" s="45"/>
      <c r="J441" s="45"/>
      <c r="K441" s="45"/>
      <c r="L441" s="45"/>
    </row>
    <row r="442" spans="3:12" ht="12.75" customHeight="1" x14ac:dyDescent="0.25">
      <c r="C442" s="45"/>
      <c r="D442" s="45"/>
      <c r="E442" s="45"/>
      <c r="F442" s="45"/>
      <c r="G442" s="45"/>
      <c r="H442" s="45"/>
      <c r="I442" s="45"/>
      <c r="J442" s="45"/>
      <c r="K442" s="45"/>
      <c r="L442" s="45"/>
    </row>
    <row r="443" spans="3:12" ht="12.75" customHeight="1" x14ac:dyDescent="0.25">
      <c r="C443" s="45"/>
      <c r="D443" s="45"/>
      <c r="E443" s="45"/>
      <c r="F443" s="45"/>
      <c r="G443" s="45"/>
      <c r="H443" s="45"/>
      <c r="I443" s="45"/>
      <c r="J443" s="45"/>
      <c r="K443" s="45"/>
      <c r="L443" s="45"/>
    </row>
    <row r="444" spans="3:12" ht="12.75" customHeight="1" x14ac:dyDescent="0.25">
      <c r="C444" s="45"/>
      <c r="D444" s="45"/>
      <c r="E444" s="45"/>
      <c r="F444" s="45"/>
      <c r="G444" s="45"/>
      <c r="H444" s="45"/>
      <c r="I444" s="45"/>
      <c r="J444" s="45"/>
      <c r="K444" s="45"/>
      <c r="L444" s="45"/>
    </row>
    <row r="445" spans="3:12" ht="12.75" customHeight="1" x14ac:dyDescent="0.25">
      <c r="C445" s="45"/>
      <c r="D445" s="45"/>
      <c r="E445" s="45"/>
      <c r="F445" s="45"/>
      <c r="G445" s="45"/>
      <c r="H445" s="45"/>
      <c r="I445" s="45"/>
      <c r="J445" s="45"/>
      <c r="K445" s="45"/>
      <c r="L445" s="45"/>
    </row>
    <row r="446" spans="3:12" ht="12.75" customHeight="1" x14ac:dyDescent="0.25">
      <c r="C446" s="45"/>
      <c r="D446" s="45"/>
      <c r="E446" s="45"/>
      <c r="F446" s="45"/>
      <c r="G446" s="45"/>
      <c r="H446" s="45"/>
      <c r="I446" s="45"/>
      <c r="J446" s="45"/>
      <c r="K446" s="45"/>
      <c r="L446" s="45"/>
    </row>
    <row r="447" spans="3:12" ht="12.75" customHeight="1" x14ac:dyDescent="0.25">
      <c r="C447" s="45"/>
      <c r="D447" s="45"/>
      <c r="E447" s="45"/>
      <c r="F447" s="45"/>
      <c r="G447" s="45"/>
      <c r="H447" s="45"/>
      <c r="I447" s="45"/>
      <c r="J447" s="45"/>
      <c r="K447" s="45"/>
      <c r="L447" s="45"/>
    </row>
    <row r="448" spans="3:12" ht="12.75" customHeight="1" x14ac:dyDescent="0.25">
      <c r="C448" s="45"/>
      <c r="D448" s="45"/>
      <c r="E448" s="45"/>
      <c r="F448" s="45"/>
      <c r="G448" s="45"/>
      <c r="H448" s="45"/>
      <c r="I448" s="45"/>
      <c r="J448" s="45"/>
      <c r="K448" s="45"/>
      <c r="L448" s="45"/>
    </row>
    <row r="449" spans="3:12" ht="12.75" customHeight="1" x14ac:dyDescent="0.25">
      <c r="C449" s="45"/>
      <c r="D449" s="45"/>
      <c r="E449" s="45"/>
      <c r="F449" s="45"/>
      <c r="G449" s="45"/>
      <c r="H449" s="45"/>
      <c r="I449" s="45"/>
      <c r="J449" s="45"/>
      <c r="K449" s="45"/>
      <c r="L449" s="45"/>
    </row>
    <row r="450" spans="3:12" ht="12.75" customHeight="1" x14ac:dyDescent="0.25">
      <c r="C450" s="45"/>
      <c r="D450" s="45"/>
      <c r="E450" s="45"/>
      <c r="F450" s="45"/>
      <c r="G450" s="45"/>
      <c r="H450" s="45"/>
      <c r="I450" s="45"/>
      <c r="J450" s="45"/>
      <c r="K450" s="45"/>
      <c r="L450" s="45"/>
    </row>
    <row r="451" spans="3:12" ht="12.75" customHeight="1" x14ac:dyDescent="0.25">
      <c r="C451" s="45"/>
      <c r="D451" s="45"/>
      <c r="E451" s="45"/>
      <c r="F451" s="45"/>
      <c r="G451" s="45"/>
      <c r="H451" s="45"/>
      <c r="I451" s="45"/>
      <c r="J451" s="45"/>
      <c r="K451" s="45"/>
      <c r="L451" s="45"/>
    </row>
    <row r="452" spans="3:12" ht="12.75" customHeight="1" x14ac:dyDescent="0.25">
      <c r="C452" s="45"/>
      <c r="D452" s="45"/>
      <c r="E452" s="45"/>
      <c r="F452" s="45"/>
      <c r="G452" s="45"/>
      <c r="H452" s="45"/>
      <c r="I452" s="45"/>
      <c r="J452" s="45"/>
      <c r="K452" s="45"/>
      <c r="L452" s="45"/>
    </row>
    <row r="453" spans="3:12" ht="12.75" customHeight="1" x14ac:dyDescent="0.25">
      <c r="C453" s="45"/>
      <c r="D453" s="45"/>
      <c r="E453" s="45"/>
      <c r="F453" s="45"/>
      <c r="G453" s="45"/>
      <c r="H453" s="45"/>
      <c r="I453" s="45"/>
      <c r="J453" s="45"/>
      <c r="K453" s="45"/>
      <c r="L453" s="45"/>
    </row>
    <row r="454" spans="3:12" ht="12.75" customHeight="1" x14ac:dyDescent="0.25">
      <c r="C454" s="45"/>
      <c r="D454" s="45"/>
      <c r="E454" s="45"/>
      <c r="F454" s="45"/>
      <c r="G454" s="45"/>
      <c r="H454" s="45"/>
      <c r="I454" s="45"/>
      <c r="J454" s="45"/>
      <c r="K454" s="45"/>
      <c r="L454" s="45"/>
    </row>
    <row r="455" spans="3:12" ht="12.75" customHeight="1" x14ac:dyDescent="0.25">
      <c r="C455" s="45"/>
      <c r="D455" s="45"/>
      <c r="E455" s="45"/>
      <c r="F455" s="45"/>
      <c r="G455" s="45"/>
      <c r="H455" s="45"/>
      <c r="I455" s="45"/>
      <c r="J455" s="45"/>
      <c r="K455" s="45"/>
      <c r="L455" s="45"/>
    </row>
    <row r="456" spans="3:12" ht="12.75" customHeight="1" x14ac:dyDescent="0.25">
      <c r="C456" s="45"/>
      <c r="D456" s="45"/>
      <c r="E456" s="45"/>
      <c r="F456" s="45"/>
      <c r="G456" s="45"/>
      <c r="H456" s="45"/>
      <c r="I456" s="45"/>
      <c r="J456" s="45"/>
      <c r="K456" s="45"/>
      <c r="L456" s="45"/>
    </row>
    <row r="457" spans="3:12" ht="12.75" customHeight="1" x14ac:dyDescent="0.25">
      <c r="C457" s="45"/>
      <c r="D457" s="45"/>
      <c r="E457" s="45"/>
      <c r="F457" s="45"/>
      <c r="G457" s="45"/>
      <c r="H457" s="45"/>
      <c r="I457" s="45"/>
      <c r="J457" s="45"/>
      <c r="K457" s="45"/>
      <c r="L457" s="45"/>
    </row>
    <row r="458" spans="3:12" ht="12.75" customHeight="1" x14ac:dyDescent="0.25">
      <c r="C458" s="45"/>
      <c r="D458" s="45"/>
      <c r="E458" s="45"/>
      <c r="F458" s="45"/>
      <c r="G458" s="45"/>
      <c r="H458" s="45"/>
      <c r="I458" s="45"/>
      <c r="J458" s="45"/>
      <c r="K458" s="45"/>
      <c r="L458" s="45"/>
    </row>
    <row r="459" spans="3:12" ht="12.75" customHeight="1" x14ac:dyDescent="0.25">
      <c r="C459" s="45"/>
      <c r="D459" s="45"/>
      <c r="E459" s="45"/>
      <c r="F459" s="45"/>
      <c r="G459" s="45"/>
      <c r="H459" s="45"/>
      <c r="I459" s="45"/>
      <c r="J459" s="45"/>
      <c r="K459" s="45"/>
      <c r="L459" s="45"/>
    </row>
    <row r="460" spans="3:12" ht="12.75" customHeight="1" x14ac:dyDescent="0.25">
      <c r="C460" s="45"/>
      <c r="D460" s="45"/>
      <c r="E460" s="45"/>
      <c r="F460" s="45"/>
      <c r="G460" s="45"/>
      <c r="H460" s="45"/>
      <c r="I460" s="45"/>
      <c r="J460" s="45"/>
      <c r="K460" s="45"/>
      <c r="L460" s="45"/>
    </row>
    <row r="461" spans="3:12" ht="12.75" customHeight="1" x14ac:dyDescent="0.25">
      <c r="C461" s="45"/>
      <c r="D461" s="45"/>
      <c r="E461" s="45"/>
      <c r="F461" s="45"/>
      <c r="G461" s="45"/>
      <c r="H461" s="45"/>
      <c r="I461" s="45"/>
      <c r="J461" s="45"/>
      <c r="K461" s="45"/>
      <c r="L461" s="45"/>
    </row>
    <row r="462" spans="3:12" ht="12.75" customHeight="1" x14ac:dyDescent="0.25">
      <c r="C462" s="45"/>
      <c r="D462" s="45"/>
      <c r="E462" s="45"/>
      <c r="F462" s="45"/>
      <c r="G462" s="45"/>
      <c r="H462" s="45"/>
      <c r="I462" s="45"/>
      <c r="J462" s="45"/>
      <c r="K462" s="45"/>
      <c r="L462" s="45"/>
    </row>
    <row r="463" spans="3:12" ht="12.75" customHeight="1" x14ac:dyDescent="0.25">
      <c r="C463" s="45"/>
      <c r="D463" s="45"/>
      <c r="E463" s="45"/>
      <c r="F463" s="45"/>
      <c r="G463" s="45"/>
      <c r="H463" s="45"/>
      <c r="I463" s="45"/>
      <c r="J463" s="45"/>
      <c r="K463" s="45"/>
      <c r="L463" s="45"/>
    </row>
    <row r="464" spans="3:12" ht="12.75" customHeight="1" x14ac:dyDescent="0.25">
      <c r="C464" s="45"/>
      <c r="D464" s="45"/>
      <c r="E464" s="45"/>
      <c r="F464" s="45"/>
      <c r="G464" s="45"/>
      <c r="H464" s="45"/>
      <c r="I464" s="45"/>
      <c r="J464" s="45"/>
      <c r="K464" s="45"/>
      <c r="L464" s="45"/>
    </row>
    <row r="465" spans="3:12" ht="12.75" customHeight="1" x14ac:dyDescent="0.25">
      <c r="C465" s="45"/>
      <c r="D465" s="45"/>
      <c r="E465" s="45"/>
      <c r="F465" s="45"/>
      <c r="G465" s="45"/>
      <c r="H465" s="45"/>
      <c r="I465" s="45"/>
      <c r="J465" s="45"/>
      <c r="K465" s="45"/>
      <c r="L465" s="45"/>
    </row>
    <row r="466" spans="3:12" ht="12.75" customHeight="1" x14ac:dyDescent="0.25">
      <c r="C466" s="45"/>
      <c r="D466" s="45"/>
      <c r="E466" s="45"/>
      <c r="F466" s="45"/>
      <c r="G466" s="45"/>
      <c r="H466" s="45"/>
      <c r="I466" s="45"/>
      <c r="J466" s="45"/>
      <c r="K466" s="45"/>
      <c r="L466" s="45"/>
    </row>
    <row r="467" spans="3:12" ht="12.75" customHeight="1" x14ac:dyDescent="0.25">
      <c r="C467" s="45"/>
      <c r="D467" s="45"/>
      <c r="E467" s="45"/>
      <c r="F467" s="45"/>
      <c r="G467" s="45"/>
      <c r="H467" s="45"/>
      <c r="I467" s="45"/>
      <c r="J467" s="45"/>
      <c r="K467" s="45"/>
      <c r="L467" s="45"/>
    </row>
    <row r="468" spans="3:12" ht="12.75" customHeight="1" x14ac:dyDescent="0.25">
      <c r="C468" s="45"/>
      <c r="D468" s="45"/>
      <c r="E468" s="45"/>
      <c r="F468" s="45"/>
      <c r="G468" s="45"/>
      <c r="H468" s="45"/>
      <c r="I468" s="45"/>
      <c r="J468" s="45"/>
      <c r="K468" s="45"/>
      <c r="L468" s="45"/>
    </row>
    <row r="469" spans="3:12" ht="12.75" customHeight="1" x14ac:dyDescent="0.25">
      <c r="C469" s="45"/>
      <c r="D469" s="45"/>
      <c r="E469" s="45"/>
      <c r="F469" s="45"/>
      <c r="G469" s="45"/>
      <c r="H469" s="45"/>
      <c r="I469" s="45"/>
      <c r="J469" s="45"/>
      <c r="K469" s="45"/>
      <c r="L469" s="45"/>
    </row>
    <row r="470" spans="3:12" ht="12.75" customHeight="1" x14ac:dyDescent="0.25">
      <c r="C470" s="45"/>
      <c r="D470" s="45"/>
      <c r="E470" s="45"/>
      <c r="F470" s="45"/>
      <c r="G470" s="45"/>
      <c r="H470" s="45"/>
      <c r="I470" s="45"/>
      <c r="J470" s="45"/>
      <c r="K470" s="45"/>
      <c r="L470" s="45"/>
    </row>
    <row r="471" spans="3:12" ht="12.75" customHeight="1" x14ac:dyDescent="0.25">
      <c r="C471" s="45"/>
      <c r="D471" s="45"/>
      <c r="E471" s="45"/>
      <c r="F471" s="45"/>
      <c r="G471" s="45"/>
      <c r="H471" s="45"/>
      <c r="I471" s="45"/>
      <c r="J471" s="45"/>
      <c r="K471" s="45"/>
      <c r="L471" s="45"/>
    </row>
    <row r="472" spans="3:12" ht="12.75" customHeight="1" x14ac:dyDescent="0.25">
      <c r="C472" s="45"/>
      <c r="D472" s="45"/>
      <c r="E472" s="45"/>
      <c r="F472" s="45"/>
      <c r="G472" s="45"/>
      <c r="H472" s="45"/>
      <c r="I472" s="45"/>
      <c r="J472" s="45"/>
      <c r="K472" s="45"/>
      <c r="L472" s="45"/>
    </row>
    <row r="473" spans="3:12" ht="12.75" customHeight="1" x14ac:dyDescent="0.25">
      <c r="C473" s="45"/>
      <c r="D473" s="45"/>
      <c r="E473" s="45"/>
      <c r="F473" s="45"/>
      <c r="G473" s="45"/>
      <c r="H473" s="45"/>
      <c r="I473" s="45"/>
      <c r="J473" s="45"/>
      <c r="K473" s="45"/>
      <c r="L473" s="45"/>
    </row>
    <row r="474" spans="3:12" ht="12.75" customHeight="1" x14ac:dyDescent="0.25">
      <c r="C474" s="45"/>
      <c r="D474" s="45"/>
      <c r="E474" s="45"/>
      <c r="F474" s="45"/>
      <c r="G474" s="45"/>
      <c r="H474" s="45"/>
      <c r="I474" s="45"/>
      <c r="J474" s="45"/>
      <c r="K474" s="45"/>
      <c r="L474" s="45"/>
    </row>
    <row r="475" spans="3:12" ht="12.75" customHeight="1" x14ac:dyDescent="0.25">
      <c r="C475" s="45"/>
      <c r="D475" s="45"/>
      <c r="E475" s="45"/>
      <c r="F475" s="45"/>
      <c r="G475" s="45"/>
      <c r="H475" s="45"/>
      <c r="I475" s="45"/>
      <c r="J475" s="45"/>
      <c r="K475" s="45"/>
      <c r="L475" s="45"/>
    </row>
    <row r="476" spans="3:12" ht="12.75" customHeight="1" x14ac:dyDescent="0.25">
      <c r="C476" s="45"/>
      <c r="D476" s="45"/>
      <c r="E476" s="45"/>
      <c r="F476" s="45"/>
      <c r="G476" s="45"/>
      <c r="H476" s="45"/>
      <c r="I476" s="45"/>
      <c r="J476" s="45"/>
      <c r="K476" s="45"/>
      <c r="L476" s="45"/>
    </row>
    <row r="477" spans="3:12" ht="12.75" customHeight="1" x14ac:dyDescent="0.25">
      <c r="C477" s="45"/>
      <c r="D477" s="45"/>
      <c r="E477" s="45"/>
      <c r="F477" s="45"/>
      <c r="G477" s="45"/>
      <c r="H477" s="45"/>
      <c r="I477" s="45"/>
      <c r="J477" s="45"/>
      <c r="K477" s="45"/>
      <c r="L477" s="45"/>
    </row>
    <row r="478" spans="3:12" ht="12.75" customHeight="1" x14ac:dyDescent="0.25">
      <c r="C478" s="45"/>
      <c r="D478" s="45"/>
      <c r="E478" s="45"/>
      <c r="F478" s="45"/>
      <c r="G478" s="45"/>
      <c r="H478" s="45"/>
      <c r="I478" s="45"/>
      <c r="J478" s="45"/>
      <c r="K478" s="45"/>
      <c r="L478" s="45"/>
    </row>
    <row r="479" spans="3:12" ht="12.75" customHeight="1" x14ac:dyDescent="0.25">
      <c r="C479" s="45"/>
      <c r="D479" s="45"/>
      <c r="E479" s="45"/>
      <c r="F479" s="45"/>
      <c r="G479" s="45"/>
      <c r="H479" s="45"/>
      <c r="I479" s="45"/>
      <c r="J479" s="45"/>
      <c r="K479" s="45"/>
      <c r="L479" s="45"/>
    </row>
    <row r="480" spans="3:12" ht="12.75" customHeight="1" x14ac:dyDescent="0.25">
      <c r="C480" s="45"/>
      <c r="D480" s="45"/>
      <c r="E480" s="45"/>
      <c r="F480" s="45"/>
      <c r="G480" s="45"/>
      <c r="H480" s="45"/>
      <c r="I480" s="45"/>
      <c r="J480" s="45"/>
      <c r="K480" s="45"/>
      <c r="L480" s="45"/>
    </row>
    <row r="481" spans="3:12" ht="12.75" customHeight="1" x14ac:dyDescent="0.25">
      <c r="C481" s="45"/>
      <c r="D481" s="45"/>
      <c r="E481" s="45"/>
      <c r="F481" s="45"/>
      <c r="G481" s="45"/>
      <c r="H481" s="45"/>
      <c r="I481" s="45"/>
      <c r="J481" s="45"/>
      <c r="K481" s="45"/>
      <c r="L481" s="45"/>
    </row>
    <row r="482" spans="3:12" ht="12.75" customHeight="1" x14ac:dyDescent="0.25">
      <c r="C482" s="45"/>
      <c r="D482" s="45"/>
      <c r="E482" s="45"/>
      <c r="F482" s="45"/>
      <c r="G482" s="45"/>
      <c r="H482" s="45"/>
      <c r="I482" s="45"/>
      <c r="J482" s="45"/>
      <c r="K482" s="45"/>
      <c r="L482" s="45"/>
    </row>
    <row r="483" spans="3:12" ht="12.75" customHeight="1" x14ac:dyDescent="0.25">
      <c r="C483" s="45"/>
      <c r="D483" s="45"/>
      <c r="E483" s="45"/>
      <c r="F483" s="45"/>
      <c r="G483" s="45"/>
      <c r="H483" s="45"/>
      <c r="I483" s="45"/>
      <c r="J483" s="45"/>
      <c r="K483" s="45"/>
      <c r="L483" s="45"/>
    </row>
    <row r="484" spans="3:12" ht="12.75" customHeight="1" x14ac:dyDescent="0.25">
      <c r="C484" s="45"/>
      <c r="D484" s="45"/>
      <c r="E484" s="45"/>
      <c r="F484" s="45"/>
      <c r="G484" s="45"/>
      <c r="H484" s="45"/>
      <c r="I484" s="45"/>
      <c r="J484" s="45"/>
      <c r="K484" s="45"/>
      <c r="L484" s="45"/>
    </row>
    <row r="485" spans="3:12" ht="12.75" customHeight="1" x14ac:dyDescent="0.25">
      <c r="C485" s="45"/>
      <c r="D485" s="45"/>
      <c r="E485" s="45"/>
      <c r="F485" s="45"/>
      <c r="G485" s="45"/>
      <c r="H485" s="45"/>
      <c r="I485" s="45"/>
      <c r="J485" s="45"/>
      <c r="K485" s="45"/>
      <c r="L485" s="45"/>
    </row>
    <row r="486" spans="3:12" ht="12.75" customHeight="1" x14ac:dyDescent="0.25">
      <c r="C486" s="45"/>
      <c r="D486" s="45"/>
      <c r="E486" s="45"/>
      <c r="F486" s="45"/>
      <c r="G486" s="45"/>
      <c r="H486" s="45"/>
      <c r="I486" s="45"/>
      <c r="J486" s="45"/>
      <c r="K486" s="45"/>
      <c r="L486" s="45"/>
    </row>
    <row r="487" spans="3:12" ht="12.75" customHeight="1" x14ac:dyDescent="0.25">
      <c r="C487" s="45"/>
      <c r="D487" s="45"/>
      <c r="E487" s="45"/>
      <c r="F487" s="45"/>
      <c r="G487" s="45"/>
      <c r="H487" s="45"/>
      <c r="I487" s="45"/>
      <c r="J487" s="45"/>
      <c r="K487" s="45"/>
      <c r="L487" s="45"/>
    </row>
    <row r="488" spans="3:12" ht="12.75" customHeight="1" x14ac:dyDescent="0.25">
      <c r="C488" s="45"/>
      <c r="D488" s="45"/>
      <c r="E488" s="45"/>
      <c r="F488" s="45"/>
      <c r="G488" s="45"/>
      <c r="H488" s="45"/>
      <c r="I488" s="45"/>
      <c r="J488" s="45"/>
      <c r="K488" s="45"/>
      <c r="L488" s="45"/>
    </row>
    <row r="489" spans="3:12" ht="12.75" customHeight="1" x14ac:dyDescent="0.25">
      <c r="C489" s="45"/>
      <c r="D489" s="45"/>
      <c r="E489" s="45"/>
      <c r="F489" s="45"/>
      <c r="G489" s="45"/>
      <c r="H489" s="45"/>
      <c r="I489" s="45"/>
      <c r="J489" s="45"/>
      <c r="K489" s="45"/>
      <c r="L489" s="45"/>
    </row>
    <row r="490" spans="3:12" ht="12.75" customHeight="1" x14ac:dyDescent="0.25">
      <c r="C490" s="45"/>
      <c r="D490" s="45"/>
      <c r="E490" s="45"/>
      <c r="F490" s="45"/>
      <c r="G490" s="45"/>
      <c r="H490" s="45"/>
      <c r="I490" s="45"/>
      <c r="J490" s="45"/>
      <c r="K490" s="45"/>
      <c r="L490" s="45"/>
    </row>
    <row r="491" spans="3:12" ht="12.75" customHeight="1" x14ac:dyDescent="0.25">
      <c r="C491" s="45"/>
      <c r="D491" s="45"/>
      <c r="E491" s="45"/>
      <c r="F491" s="45"/>
      <c r="G491" s="45"/>
      <c r="H491" s="45"/>
      <c r="I491" s="45"/>
      <c r="J491" s="45"/>
      <c r="K491" s="45"/>
      <c r="L491" s="45"/>
    </row>
    <row r="492" spans="3:12" ht="12.75" customHeight="1" x14ac:dyDescent="0.25">
      <c r="C492" s="45"/>
      <c r="D492" s="45"/>
      <c r="E492" s="45"/>
      <c r="F492" s="45"/>
      <c r="G492" s="45"/>
      <c r="H492" s="45"/>
      <c r="I492" s="45"/>
      <c r="J492" s="45"/>
      <c r="K492" s="45"/>
      <c r="L492" s="45"/>
    </row>
    <row r="493" spans="3:12" ht="12.75" customHeight="1" x14ac:dyDescent="0.25">
      <c r="C493" s="45"/>
      <c r="D493" s="45"/>
      <c r="E493" s="45"/>
      <c r="F493" s="45"/>
      <c r="G493" s="45"/>
      <c r="H493" s="45"/>
      <c r="I493" s="45"/>
      <c r="J493" s="45"/>
      <c r="K493" s="45"/>
      <c r="L493" s="45"/>
    </row>
    <row r="494" spans="3:12" ht="12.75" customHeight="1" x14ac:dyDescent="0.25">
      <c r="C494" s="45"/>
      <c r="D494" s="45"/>
      <c r="E494" s="45"/>
      <c r="F494" s="45"/>
      <c r="G494" s="45"/>
      <c r="H494" s="45"/>
      <c r="I494" s="45"/>
      <c r="J494" s="45"/>
      <c r="K494" s="45"/>
      <c r="L494" s="45"/>
    </row>
    <row r="495" spans="3:12" ht="12.75" customHeight="1" x14ac:dyDescent="0.25">
      <c r="C495" s="45"/>
      <c r="D495" s="45"/>
      <c r="E495" s="45"/>
      <c r="F495" s="45"/>
      <c r="G495" s="45"/>
      <c r="H495" s="45"/>
      <c r="I495" s="45"/>
      <c r="J495" s="45"/>
      <c r="K495" s="45"/>
      <c r="L495" s="45"/>
    </row>
    <row r="496" spans="3:12" ht="12.75" customHeight="1" x14ac:dyDescent="0.25">
      <c r="C496" s="45"/>
      <c r="D496" s="45"/>
      <c r="E496" s="45"/>
      <c r="F496" s="45"/>
      <c r="G496" s="45"/>
      <c r="H496" s="45"/>
      <c r="I496" s="45"/>
      <c r="J496" s="45"/>
      <c r="K496" s="45"/>
      <c r="L496" s="45"/>
    </row>
    <row r="497" spans="3:12" ht="12.75" customHeight="1" x14ac:dyDescent="0.25">
      <c r="C497" s="45"/>
      <c r="D497" s="45"/>
      <c r="E497" s="45"/>
      <c r="F497" s="45"/>
      <c r="G497" s="45"/>
      <c r="H497" s="45"/>
      <c r="I497" s="45"/>
      <c r="J497" s="45"/>
      <c r="K497" s="45"/>
      <c r="L497" s="45"/>
    </row>
    <row r="498" spans="3:12" ht="12.75" customHeight="1" x14ac:dyDescent="0.25">
      <c r="C498" s="45"/>
      <c r="D498" s="45"/>
      <c r="E498" s="45"/>
      <c r="F498" s="45"/>
      <c r="G498" s="45"/>
      <c r="H498" s="45"/>
      <c r="I498" s="45"/>
      <c r="J498" s="45"/>
      <c r="K498" s="45"/>
      <c r="L498" s="45"/>
    </row>
    <row r="499" spans="3:12" ht="12.75" customHeight="1" x14ac:dyDescent="0.25">
      <c r="C499" s="45"/>
      <c r="D499" s="45"/>
      <c r="E499" s="45"/>
      <c r="F499" s="45"/>
      <c r="G499" s="45"/>
      <c r="H499" s="45"/>
      <c r="I499" s="45"/>
      <c r="J499" s="45"/>
      <c r="K499" s="45"/>
      <c r="L499" s="45"/>
    </row>
    <row r="500" spans="3:12" ht="12.75" customHeight="1" x14ac:dyDescent="0.25">
      <c r="C500" s="45"/>
      <c r="D500" s="45"/>
      <c r="E500" s="45"/>
      <c r="F500" s="45"/>
      <c r="G500" s="45"/>
      <c r="H500" s="45"/>
      <c r="I500" s="45"/>
      <c r="J500" s="45"/>
      <c r="K500" s="45"/>
      <c r="L500" s="45"/>
    </row>
    <row r="501" spans="3:12" ht="12.75" customHeight="1" x14ac:dyDescent="0.25">
      <c r="C501" s="45"/>
      <c r="D501" s="45"/>
      <c r="E501" s="45"/>
      <c r="F501" s="45"/>
      <c r="G501" s="45"/>
      <c r="H501" s="45"/>
      <c r="I501" s="45"/>
      <c r="J501" s="45"/>
      <c r="K501" s="45"/>
      <c r="L501" s="45"/>
    </row>
    <row r="502" spans="3:12" ht="12.75" customHeight="1" x14ac:dyDescent="0.25">
      <c r="C502" s="45"/>
      <c r="D502" s="45"/>
      <c r="E502" s="45"/>
      <c r="F502" s="45"/>
      <c r="G502" s="45"/>
      <c r="H502" s="45"/>
      <c r="I502" s="45"/>
      <c r="J502" s="45"/>
      <c r="K502" s="45"/>
      <c r="L502" s="45"/>
    </row>
    <row r="503" spans="3:12" ht="12.75" customHeight="1" x14ac:dyDescent="0.25">
      <c r="C503" s="45"/>
      <c r="D503" s="45"/>
      <c r="E503" s="45"/>
      <c r="F503" s="45"/>
      <c r="G503" s="45"/>
      <c r="H503" s="45"/>
      <c r="I503" s="45"/>
      <c r="J503" s="45"/>
      <c r="K503" s="45"/>
      <c r="L503" s="45"/>
    </row>
    <row r="504" spans="3:12" ht="12.75" customHeight="1" x14ac:dyDescent="0.25">
      <c r="C504" s="45"/>
      <c r="D504" s="45"/>
      <c r="E504" s="45"/>
      <c r="F504" s="45"/>
      <c r="G504" s="45"/>
      <c r="H504" s="45"/>
      <c r="I504" s="45"/>
      <c r="J504" s="45"/>
      <c r="K504" s="45"/>
      <c r="L504" s="45"/>
    </row>
    <row r="505" spans="3:12" ht="12.75" customHeight="1" x14ac:dyDescent="0.25">
      <c r="C505" s="45"/>
      <c r="D505" s="45"/>
      <c r="E505" s="45"/>
      <c r="F505" s="45"/>
      <c r="G505" s="45"/>
      <c r="H505" s="45"/>
      <c r="I505" s="45"/>
      <c r="J505" s="45"/>
      <c r="K505" s="45"/>
      <c r="L505" s="45"/>
    </row>
    <row r="506" spans="3:12" ht="12.75" customHeight="1" x14ac:dyDescent="0.25">
      <c r="C506" s="45"/>
      <c r="D506" s="45"/>
      <c r="E506" s="45"/>
      <c r="F506" s="45"/>
      <c r="G506" s="45"/>
      <c r="H506" s="45"/>
      <c r="I506" s="45"/>
      <c r="J506" s="45"/>
      <c r="K506" s="45"/>
      <c r="L506" s="45"/>
    </row>
    <row r="507" spans="3:12" ht="12.75" customHeight="1" x14ac:dyDescent="0.25">
      <c r="C507" s="45"/>
      <c r="D507" s="45"/>
      <c r="E507" s="45"/>
      <c r="F507" s="45"/>
      <c r="G507" s="45"/>
      <c r="H507" s="45"/>
      <c r="I507" s="45"/>
      <c r="J507" s="45"/>
      <c r="K507" s="45"/>
      <c r="L507" s="45"/>
    </row>
    <row r="508" spans="3:12" ht="12.75" customHeight="1" x14ac:dyDescent="0.25">
      <c r="C508" s="45"/>
      <c r="D508" s="45"/>
      <c r="E508" s="45"/>
      <c r="F508" s="45"/>
      <c r="G508" s="45"/>
      <c r="H508" s="45"/>
      <c r="I508" s="45"/>
      <c r="J508" s="45"/>
      <c r="K508" s="45"/>
      <c r="L508" s="45"/>
    </row>
    <row r="509" spans="3:12" ht="12.75" customHeight="1" x14ac:dyDescent="0.25">
      <c r="C509" s="45"/>
      <c r="D509" s="45"/>
      <c r="E509" s="45"/>
      <c r="F509" s="45"/>
      <c r="G509" s="45"/>
      <c r="H509" s="45"/>
      <c r="I509" s="45"/>
      <c r="J509" s="45"/>
      <c r="K509" s="45"/>
      <c r="L509" s="45"/>
    </row>
    <row r="510" spans="3:12" ht="12.75" customHeight="1" x14ac:dyDescent="0.25">
      <c r="C510" s="45"/>
      <c r="D510" s="45"/>
      <c r="E510" s="45"/>
      <c r="F510" s="45"/>
      <c r="G510" s="45"/>
      <c r="H510" s="45"/>
      <c r="I510" s="45"/>
      <c r="J510" s="45"/>
      <c r="K510" s="45"/>
      <c r="L510" s="45"/>
    </row>
    <row r="511" spans="3:12" ht="12.75" customHeight="1" x14ac:dyDescent="0.25">
      <c r="C511" s="45"/>
      <c r="D511" s="45"/>
      <c r="E511" s="45"/>
      <c r="F511" s="45"/>
      <c r="G511" s="45"/>
      <c r="H511" s="45"/>
      <c r="I511" s="45"/>
      <c r="J511" s="45"/>
      <c r="K511" s="45"/>
      <c r="L511" s="45"/>
    </row>
    <row r="512" spans="3:12" ht="12.75" customHeight="1" x14ac:dyDescent="0.25">
      <c r="C512" s="45"/>
      <c r="D512" s="45"/>
      <c r="E512" s="45"/>
      <c r="F512" s="45"/>
      <c r="G512" s="45"/>
      <c r="H512" s="45"/>
      <c r="I512" s="45"/>
      <c r="J512" s="45"/>
      <c r="K512" s="45"/>
      <c r="L512" s="45"/>
    </row>
    <row r="513" spans="3:12" ht="12.75" customHeight="1" x14ac:dyDescent="0.25">
      <c r="C513" s="45"/>
      <c r="D513" s="45"/>
      <c r="E513" s="45"/>
      <c r="F513" s="45"/>
      <c r="G513" s="45"/>
      <c r="H513" s="45"/>
      <c r="I513" s="45"/>
      <c r="J513" s="45"/>
      <c r="K513" s="45"/>
      <c r="L513" s="45"/>
    </row>
    <row r="514" spans="3:12" ht="12.75" customHeight="1" x14ac:dyDescent="0.25">
      <c r="C514" s="45"/>
      <c r="D514" s="45"/>
      <c r="E514" s="45"/>
      <c r="F514" s="45"/>
      <c r="G514" s="45"/>
      <c r="H514" s="45"/>
      <c r="I514" s="45"/>
      <c r="J514" s="45"/>
      <c r="K514" s="45"/>
      <c r="L514" s="45"/>
    </row>
    <row r="515" spans="3:12" ht="12.75" customHeight="1" x14ac:dyDescent="0.25">
      <c r="C515" s="45"/>
      <c r="D515" s="45"/>
      <c r="E515" s="45"/>
      <c r="F515" s="45"/>
      <c r="G515" s="45"/>
      <c r="H515" s="45"/>
      <c r="I515" s="45"/>
      <c r="J515" s="45"/>
      <c r="K515" s="45"/>
      <c r="L515" s="45"/>
    </row>
    <row r="516" spans="3:12" ht="12.75" customHeight="1" x14ac:dyDescent="0.25">
      <c r="C516" s="45"/>
      <c r="D516" s="45"/>
      <c r="E516" s="45"/>
      <c r="F516" s="45"/>
      <c r="G516" s="45"/>
      <c r="H516" s="45"/>
      <c r="I516" s="45"/>
      <c r="J516" s="45"/>
      <c r="K516" s="45"/>
      <c r="L516" s="45"/>
    </row>
    <row r="517" spans="3:12" ht="12.75" customHeight="1" x14ac:dyDescent="0.25">
      <c r="C517" s="45"/>
      <c r="D517" s="45"/>
      <c r="E517" s="45"/>
      <c r="F517" s="45"/>
      <c r="G517" s="45"/>
      <c r="H517" s="45"/>
      <c r="I517" s="45"/>
      <c r="J517" s="45"/>
      <c r="K517" s="45"/>
      <c r="L517" s="45"/>
    </row>
    <row r="518" spans="3:12" ht="12.75" customHeight="1" x14ac:dyDescent="0.25">
      <c r="C518" s="45"/>
      <c r="D518" s="45"/>
      <c r="E518" s="45"/>
      <c r="F518" s="45"/>
      <c r="G518" s="45"/>
      <c r="H518" s="45"/>
      <c r="I518" s="45"/>
      <c r="J518" s="45"/>
      <c r="K518" s="45"/>
      <c r="L518" s="45"/>
    </row>
    <row r="519" spans="3:12" ht="12.75" customHeight="1" x14ac:dyDescent="0.25">
      <c r="C519" s="45"/>
      <c r="D519" s="45"/>
      <c r="E519" s="45"/>
      <c r="F519" s="45"/>
      <c r="G519" s="45"/>
      <c r="H519" s="45"/>
      <c r="I519" s="45"/>
      <c r="J519" s="45"/>
      <c r="K519" s="45"/>
      <c r="L519" s="45"/>
    </row>
    <row r="520" spans="3:12" ht="12.75" customHeight="1" x14ac:dyDescent="0.25">
      <c r="C520" s="45"/>
      <c r="D520" s="45"/>
      <c r="E520" s="45"/>
      <c r="F520" s="45"/>
      <c r="G520" s="45"/>
      <c r="H520" s="45"/>
      <c r="I520" s="45"/>
      <c r="J520" s="45"/>
      <c r="K520" s="45"/>
      <c r="L520" s="45"/>
    </row>
    <row r="521" spans="3:12" ht="12.75" customHeight="1" x14ac:dyDescent="0.25">
      <c r="C521" s="45"/>
      <c r="D521" s="45"/>
      <c r="E521" s="45"/>
      <c r="F521" s="45"/>
      <c r="G521" s="45"/>
      <c r="H521" s="45"/>
      <c r="I521" s="45"/>
      <c r="J521" s="45"/>
      <c r="K521" s="45"/>
      <c r="L521" s="45"/>
    </row>
    <row r="522" spans="3:12" ht="12.75" customHeight="1" x14ac:dyDescent="0.25">
      <c r="C522" s="45"/>
      <c r="D522" s="45"/>
      <c r="E522" s="45"/>
      <c r="F522" s="45"/>
      <c r="G522" s="45"/>
      <c r="H522" s="45"/>
      <c r="I522" s="45"/>
      <c r="J522" s="45"/>
      <c r="K522" s="45"/>
      <c r="L522" s="45"/>
    </row>
    <row r="523" spans="3:12" ht="12.75" customHeight="1" x14ac:dyDescent="0.25">
      <c r="C523" s="45"/>
      <c r="D523" s="45"/>
      <c r="E523" s="45"/>
      <c r="F523" s="45"/>
      <c r="G523" s="45"/>
      <c r="H523" s="45"/>
      <c r="I523" s="45"/>
      <c r="J523" s="45"/>
      <c r="K523" s="45"/>
      <c r="L523" s="45"/>
    </row>
    <row r="524" spans="3:12" ht="12.75" customHeight="1" x14ac:dyDescent="0.25">
      <c r="C524" s="45"/>
      <c r="D524" s="45"/>
      <c r="E524" s="45"/>
      <c r="F524" s="45"/>
      <c r="G524" s="45"/>
      <c r="H524" s="45"/>
      <c r="I524" s="45"/>
      <c r="J524" s="45"/>
      <c r="K524" s="45"/>
      <c r="L524" s="45"/>
    </row>
    <row r="525" spans="3:12" ht="12.75" customHeight="1" x14ac:dyDescent="0.25">
      <c r="C525" s="45"/>
      <c r="D525" s="45"/>
      <c r="E525" s="45"/>
      <c r="F525" s="45"/>
      <c r="G525" s="45"/>
      <c r="H525" s="45"/>
      <c r="I525" s="45"/>
      <c r="J525" s="45"/>
      <c r="K525" s="45"/>
      <c r="L525" s="45"/>
    </row>
    <row r="526" spans="3:12" ht="12.75" customHeight="1" x14ac:dyDescent="0.25">
      <c r="C526" s="45"/>
      <c r="D526" s="45"/>
      <c r="E526" s="45"/>
      <c r="F526" s="45"/>
      <c r="G526" s="45"/>
      <c r="H526" s="45"/>
      <c r="I526" s="45"/>
      <c r="J526" s="45"/>
      <c r="K526" s="45"/>
      <c r="L526" s="45"/>
    </row>
    <row r="527" spans="3:12" ht="12.75" customHeight="1" x14ac:dyDescent="0.25">
      <c r="C527" s="45"/>
      <c r="D527" s="45"/>
      <c r="E527" s="45"/>
      <c r="F527" s="45"/>
      <c r="G527" s="45"/>
      <c r="H527" s="45"/>
      <c r="I527" s="45"/>
      <c r="J527" s="45"/>
      <c r="K527" s="45"/>
      <c r="L527" s="45"/>
    </row>
    <row r="528" spans="3:12" ht="12.75" customHeight="1" x14ac:dyDescent="0.25">
      <c r="C528" s="45"/>
      <c r="D528" s="45"/>
      <c r="E528" s="45"/>
      <c r="F528" s="45"/>
      <c r="G528" s="45"/>
      <c r="H528" s="45"/>
      <c r="I528" s="45"/>
      <c r="J528" s="45"/>
      <c r="K528" s="45"/>
      <c r="L528" s="45"/>
    </row>
    <row r="529" spans="3:12" ht="12.75" customHeight="1" x14ac:dyDescent="0.25">
      <c r="C529" s="45"/>
      <c r="D529" s="45"/>
      <c r="E529" s="45"/>
      <c r="F529" s="45"/>
      <c r="G529" s="45"/>
      <c r="H529" s="45"/>
      <c r="I529" s="45"/>
      <c r="J529" s="45"/>
      <c r="K529" s="45"/>
      <c r="L529" s="45"/>
    </row>
    <row r="530" spans="3:12" ht="12.75" customHeight="1" x14ac:dyDescent="0.25">
      <c r="C530" s="45"/>
      <c r="D530" s="45"/>
      <c r="E530" s="45"/>
      <c r="F530" s="45"/>
      <c r="G530" s="45"/>
      <c r="H530" s="45"/>
      <c r="I530" s="45"/>
      <c r="J530" s="45"/>
      <c r="K530" s="45"/>
      <c r="L530" s="45"/>
    </row>
    <row r="531" spans="3:12" ht="12.75" customHeight="1" x14ac:dyDescent="0.25">
      <c r="C531" s="45"/>
      <c r="D531" s="45"/>
      <c r="E531" s="45"/>
      <c r="F531" s="45"/>
      <c r="G531" s="45"/>
      <c r="H531" s="45"/>
      <c r="I531" s="45"/>
      <c r="J531" s="45"/>
      <c r="K531" s="45"/>
      <c r="L531" s="45"/>
    </row>
    <row r="532" spans="3:12" ht="12.75" customHeight="1" x14ac:dyDescent="0.25">
      <c r="C532" s="45"/>
      <c r="D532" s="45"/>
      <c r="E532" s="45"/>
      <c r="F532" s="45"/>
      <c r="G532" s="45"/>
      <c r="H532" s="45"/>
      <c r="I532" s="45"/>
      <c r="J532" s="45"/>
      <c r="K532" s="45"/>
      <c r="L532" s="45"/>
    </row>
    <row r="533" spans="3:12" ht="12.75" customHeight="1" x14ac:dyDescent="0.25">
      <c r="C533" s="45"/>
      <c r="D533" s="45"/>
      <c r="E533" s="45"/>
      <c r="F533" s="45"/>
      <c r="G533" s="45"/>
      <c r="H533" s="45"/>
      <c r="I533" s="45"/>
      <c r="J533" s="45"/>
      <c r="K533" s="45"/>
      <c r="L533" s="45"/>
    </row>
    <row r="534" spans="3:12" ht="12.75" customHeight="1" x14ac:dyDescent="0.25">
      <c r="C534" s="45"/>
      <c r="D534" s="45"/>
      <c r="E534" s="45"/>
      <c r="F534" s="45"/>
      <c r="G534" s="45"/>
      <c r="H534" s="45"/>
      <c r="I534" s="45"/>
      <c r="J534" s="45"/>
      <c r="K534" s="45"/>
      <c r="L534" s="45"/>
    </row>
    <row r="535" spans="3:12" ht="12.75" customHeight="1" x14ac:dyDescent="0.25">
      <c r="C535" s="45"/>
      <c r="D535" s="45"/>
      <c r="E535" s="45"/>
      <c r="F535" s="45"/>
      <c r="G535" s="45"/>
      <c r="H535" s="45"/>
      <c r="I535" s="45"/>
      <c r="J535" s="45"/>
      <c r="K535" s="45"/>
      <c r="L535" s="45"/>
    </row>
    <row r="536" spans="3:12" ht="12.75" customHeight="1" x14ac:dyDescent="0.25">
      <c r="C536" s="45"/>
      <c r="D536" s="45"/>
      <c r="E536" s="45"/>
      <c r="F536" s="45"/>
      <c r="G536" s="45"/>
      <c r="H536" s="45"/>
      <c r="I536" s="45"/>
      <c r="J536" s="45"/>
      <c r="K536" s="45"/>
      <c r="L536" s="45"/>
    </row>
    <row r="537" spans="3:12" ht="12.75" customHeight="1" x14ac:dyDescent="0.25">
      <c r="C537" s="45"/>
      <c r="D537" s="45"/>
      <c r="E537" s="45"/>
      <c r="F537" s="45"/>
      <c r="G537" s="45"/>
      <c r="H537" s="45"/>
      <c r="I537" s="45"/>
      <c r="J537" s="45"/>
      <c r="K537" s="45"/>
      <c r="L537" s="45"/>
    </row>
    <row r="538" spans="3:12" ht="12.75" customHeight="1" x14ac:dyDescent="0.25">
      <c r="C538" s="45"/>
      <c r="D538" s="45"/>
      <c r="E538" s="45"/>
      <c r="F538" s="45"/>
      <c r="G538" s="45"/>
      <c r="H538" s="45"/>
      <c r="I538" s="45"/>
      <c r="J538" s="45"/>
      <c r="K538" s="45"/>
      <c r="L538" s="45"/>
    </row>
    <row r="539" spans="3:12" ht="12.75" customHeight="1" x14ac:dyDescent="0.25">
      <c r="C539" s="45"/>
      <c r="D539" s="45"/>
      <c r="E539" s="45"/>
      <c r="F539" s="45"/>
      <c r="G539" s="45"/>
      <c r="H539" s="45"/>
      <c r="I539" s="45"/>
      <c r="J539" s="45"/>
      <c r="K539" s="45"/>
      <c r="L539" s="45"/>
    </row>
    <row r="540" spans="3:12" ht="12.75" customHeight="1" x14ac:dyDescent="0.25">
      <c r="C540" s="45"/>
      <c r="D540" s="45"/>
      <c r="E540" s="45"/>
      <c r="F540" s="45"/>
      <c r="G540" s="45"/>
      <c r="H540" s="45"/>
      <c r="I540" s="45"/>
      <c r="J540" s="45"/>
      <c r="K540" s="45"/>
      <c r="L540" s="45"/>
    </row>
    <row r="541" spans="3:12" ht="12.75" customHeight="1" x14ac:dyDescent="0.25">
      <c r="C541" s="45"/>
      <c r="D541" s="45"/>
      <c r="E541" s="45"/>
      <c r="F541" s="45"/>
      <c r="G541" s="45"/>
      <c r="H541" s="45"/>
      <c r="I541" s="45"/>
      <c r="J541" s="45"/>
      <c r="K541" s="45"/>
      <c r="L541" s="45"/>
    </row>
    <row r="542" spans="3:12" ht="12.75" customHeight="1" x14ac:dyDescent="0.25">
      <c r="C542" s="45"/>
      <c r="D542" s="45"/>
      <c r="E542" s="45"/>
      <c r="F542" s="45"/>
      <c r="G542" s="45"/>
      <c r="H542" s="45"/>
      <c r="I542" s="45"/>
      <c r="J542" s="45"/>
      <c r="K542" s="45"/>
      <c r="L542" s="45"/>
    </row>
    <row r="543" spans="3:12" ht="12.75" customHeight="1" x14ac:dyDescent="0.25">
      <c r="C543" s="45"/>
      <c r="D543" s="45"/>
      <c r="E543" s="45"/>
      <c r="F543" s="45"/>
      <c r="G543" s="45"/>
      <c r="H543" s="45"/>
      <c r="I543" s="45"/>
      <c r="J543" s="45"/>
      <c r="K543" s="45"/>
      <c r="L543" s="45"/>
    </row>
    <row r="544" spans="3:12" ht="12.75" customHeight="1" x14ac:dyDescent="0.25">
      <c r="C544" s="45"/>
      <c r="D544" s="45"/>
      <c r="E544" s="45"/>
      <c r="F544" s="45"/>
      <c r="G544" s="45"/>
      <c r="H544" s="45"/>
      <c r="I544" s="45"/>
      <c r="J544" s="45"/>
      <c r="K544" s="45"/>
      <c r="L544" s="45"/>
    </row>
    <row r="545" spans="3:12" ht="12.75" customHeight="1" x14ac:dyDescent="0.25">
      <c r="C545" s="45"/>
      <c r="D545" s="45"/>
      <c r="E545" s="45"/>
      <c r="F545" s="45"/>
      <c r="G545" s="45"/>
      <c r="H545" s="45"/>
      <c r="I545" s="45"/>
      <c r="J545" s="45"/>
      <c r="K545" s="45"/>
      <c r="L545" s="45"/>
    </row>
    <row r="546" spans="3:12" ht="12.75" customHeight="1" x14ac:dyDescent="0.25">
      <c r="C546" s="45"/>
      <c r="D546" s="45"/>
      <c r="E546" s="45"/>
      <c r="F546" s="45"/>
      <c r="G546" s="45"/>
      <c r="H546" s="45"/>
      <c r="I546" s="45"/>
      <c r="J546" s="45"/>
      <c r="K546" s="45"/>
      <c r="L546" s="45"/>
    </row>
    <row r="547" spans="3:12" ht="12.75" customHeight="1" x14ac:dyDescent="0.25">
      <c r="C547" s="45"/>
      <c r="D547" s="45"/>
      <c r="E547" s="45"/>
      <c r="F547" s="45"/>
      <c r="G547" s="45"/>
      <c r="H547" s="45"/>
      <c r="I547" s="45"/>
      <c r="J547" s="45"/>
      <c r="K547" s="45"/>
      <c r="L547" s="45"/>
    </row>
    <row r="548" spans="3:12" ht="12.75" customHeight="1" x14ac:dyDescent="0.25">
      <c r="C548" s="45"/>
      <c r="D548" s="45"/>
      <c r="E548" s="45"/>
      <c r="F548" s="45"/>
      <c r="G548" s="45"/>
      <c r="H548" s="45"/>
      <c r="I548" s="45"/>
      <c r="J548" s="45"/>
      <c r="K548" s="45"/>
      <c r="L548" s="45"/>
    </row>
    <row r="549" spans="3:12" ht="12.75" customHeight="1" x14ac:dyDescent="0.25">
      <c r="C549" s="45"/>
      <c r="D549" s="45"/>
      <c r="E549" s="45"/>
      <c r="F549" s="45"/>
      <c r="G549" s="45"/>
      <c r="H549" s="45"/>
      <c r="I549" s="45"/>
      <c r="J549" s="45"/>
      <c r="K549" s="45"/>
      <c r="L549" s="45"/>
    </row>
    <row r="550" spans="3:12" ht="12.75" customHeight="1" x14ac:dyDescent="0.25">
      <c r="C550" s="45"/>
      <c r="D550" s="45"/>
      <c r="E550" s="45"/>
      <c r="F550" s="45"/>
      <c r="G550" s="45"/>
      <c r="H550" s="45"/>
      <c r="I550" s="45"/>
      <c r="J550" s="45"/>
      <c r="K550" s="45"/>
      <c r="L550" s="45"/>
    </row>
    <row r="551" spans="3:12" ht="12.75" customHeight="1" x14ac:dyDescent="0.25">
      <c r="C551" s="45"/>
      <c r="D551" s="45"/>
      <c r="E551" s="45"/>
      <c r="F551" s="45"/>
      <c r="G551" s="45"/>
      <c r="H551" s="45"/>
      <c r="I551" s="45"/>
      <c r="J551" s="45"/>
      <c r="K551" s="45"/>
      <c r="L551" s="45"/>
    </row>
    <row r="552" spans="3:12" ht="12.75" customHeight="1" x14ac:dyDescent="0.25">
      <c r="C552" s="45"/>
      <c r="D552" s="45"/>
      <c r="E552" s="45"/>
      <c r="F552" s="45"/>
      <c r="G552" s="45"/>
      <c r="H552" s="45"/>
      <c r="I552" s="45"/>
      <c r="J552" s="45"/>
      <c r="K552" s="45"/>
      <c r="L552" s="45"/>
    </row>
    <row r="553" spans="3:12" ht="12.75" customHeight="1" x14ac:dyDescent="0.25">
      <c r="C553" s="45"/>
      <c r="D553" s="45"/>
      <c r="E553" s="45"/>
      <c r="F553" s="45"/>
      <c r="G553" s="45"/>
      <c r="H553" s="45"/>
      <c r="I553" s="45"/>
      <c r="J553" s="45"/>
      <c r="K553" s="45"/>
      <c r="L553" s="45"/>
    </row>
    <row r="554" spans="3:12" ht="12.75" customHeight="1" x14ac:dyDescent="0.25">
      <c r="C554" s="45"/>
      <c r="D554" s="45"/>
      <c r="E554" s="45"/>
      <c r="F554" s="45"/>
      <c r="G554" s="45"/>
      <c r="H554" s="45"/>
      <c r="I554" s="45"/>
      <c r="J554" s="45"/>
      <c r="K554" s="45"/>
      <c r="L554" s="45"/>
    </row>
    <row r="555" spans="3:12" ht="12.75" customHeight="1" x14ac:dyDescent="0.25">
      <c r="C555" s="45"/>
      <c r="D555" s="45"/>
      <c r="E555" s="45"/>
      <c r="F555" s="45"/>
      <c r="G555" s="45"/>
      <c r="H555" s="45"/>
      <c r="I555" s="45"/>
      <c r="J555" s="45"/>
      <c r="K555" s="45"/>
      <c r="L555" s="45"/>
    </row>
    <row r="556" spans="3:12" ht="12.75" customHeight="1" x14ac:dyDescent="0.25">
      <c r="C556" s="45"/>
      <c r="D556" s="45"/>
      <c r="E556" s="45"/>
      <c r="F556" s="45"/>
      <c r="G556" s="45"/>
      <c r="H556" s="45"/>
      <c r="I556" s="45"/>
      <c r="J556" s="45"/>
      <c r="K556" s="45"/>
      <c r="L556" s="45"/>
    </row>
    <row r="557" spans="3:12" ht="12.75" customHeight="1" x14ac:dyDescent="0.25">
      <c r="C557" s="45"/>
      <c r="D557" s="45"/>
      <c r="E557" s="45"/>
      <c r="F557" s="45"/>
      <c r="G557" s="45"/>
      <c r="H557" s="45"/>
      <c r="I557" s="45"/>
      <c r="J557" s="45"/>
      <c r="K557" s="45"/>
      <c r="L557" s="45"/>
    </row>
    <row r="558" spans="3:12" ht="12.75" customHeight="1" x14ac:dyDescent="0.25">
      <c r="C558" s="45"/>
      <c r="D558" s="45"/>
      <c r="E558" s="45"/>
      <c r="F558" s="45"/>
      <c r="G558" s="45"/>
      <c r="H558" s="45"/>
      <c r="I558" s="45"/>
      <c r="J558" s="45"/>
      <c r="K558" s="45"/>
      <c r="L558" s="45"/>
    </row>
    <row r="559" spans="3:12" ht="12.75" customHeight="1" x14ac:dyDescent="0.25">
      <c r="C559" s="45"/>
      <c r="D559" s="45"/>
      <c r="E559" s="45"/>
      <c r="F559" s="45"/>
      <c r="G559" s="45"/>
      <c r="H559" s="45"/>
      <c r="I559" s="45"/>
      <c r="J559" s="45"/>
      <c r="K559" s="45"/>
      <c r="L559" s="45"/>
    </row>
    <row r="560" spans="3:12" ht="12.75" customHeight="1" x14ac:dyDescent="0.25">
      <c r="C560" s="45"/>
      <c r="D560" s="45"/>
      <c r="E560" s="45"/>
      <c r="F560" s="45"/>
      <c r="G560" s="45"/>
      <c r="H560" s="45"/>
      <c r="I560" s="45"/>
      <c r="J560" s="45"/>
      <c r="K560" s="45"/>
      <c r="L560" s="45"/>
    </row>
    <row r="561" spans="3:12" ht="12.75" customHeight="1" x14ac:dyDescent="0.25">
      <c r="C561" s="45"/>
      <c r="D561" s="45"/>
      <c r="E561" s="45"/>
      <c r="F561" s="45"/>
      <c r="G561" s="45"/>
      <c r="H561" s="45"/>
      <c r="I561" s="45"/>
      <c r="J561" s="45"/>
      <c r="K561" s="45"/>
      <c r="L561" s="45"/>
    </row>
    <row r="562" spans="3:12" ht="12.75" customHeight="1" x14ac:dyDescent="0.25">
      <c r="C562" s="45"/>
      <c r="D562" s="45"/>
      <c r="E562" s="45"/>
      <c r="F562" s="45"/>
      <c r="G562" s="45"/>
      <c r="H562" s="45"/>
      <c r="I562" s="45"/>
      <c r="J562" s="45"/>
      <c r="K562" s="45"/>
      <c r="L562" s="45"/>
    </row>
    <row r="563" spans="3:12" ht="12.75" customHeight="1" x14ac:dyDescent="0.25">
      <c r="C563" s="45"/>
      <c r="D563" s="45"/>
      <c r="E563" s="45"/>
      <c r="F563" s="45"/>
      <c r="G563" s="45"/>
      <c r="H563" s="45"/>
      <c r="I563" s="45"/>
      <c r="J563" s="45"/>
      <c r="K563" s="45"/>
      <c r="L563" s="45"/>
    </row>
    <row r="564" spans="3:12" ht="12.75" customHeight="1" x14ac:dyDescent="0.25">
      <c r="C564" s="45"/>
      <c r="D564" s="45"/>
      <c r="E564" s="45"/>
      <c r="F564" s="45"/>
      <c r="G564" s="45"/>
      <c r="H564" s="45"/>
      <c r="I564" s="45"/>
      <c r="J564" s="45"/>
      <c r="K564" s="45"/>
      <c r="L564" s="45"/>
    </row>
    <row r="565" spans="3:12" ht="12.75" customHeight="1" x14ac:dyDescent="0.25">
      <c r="C565" s="45"/>
      <c r="D565" s="45"/>
      <c r="E565" s="45"/>
      <c r="F565" s="45"/>
      <c r="G565" s="45"/>
      <c r="H565" s="45"/>
      <c r="I565" s="45"/>
      <c r="J565" s="45"/>
      <c r="K565" s="45"/>
      <c r="L565" s="45"/>
    </row>
    <row r="566" spans="3:12" ht="12.75" customHeight="1" x14ac:dyDescent="0.25">
      <c r="C566" s="45"/>
      <c r="D566" s="45"/>
      <c r="E566" s="45"/>
      <c r="F566" s="45"/>
      <c r="G566" s="45"/>
      <c r="H566" s="45"/>
      <c r="I566" s="45"/>
      <c r="J566" s="45"/>
      <c r="K566" s="45"/>
      <c r="L566" s="45"/>
    </row>
    <row r="567" spans="3:12" ht="12.75" customHeight="1" x14ac:dyDescent="0.25">
      <c r="C567" s="45"/>
      <c r="D567" s="45"/>
      <c r="E567" s="45"/>
      <c r="F567" s="45"/>
      <c r="G567" s="45"/>
      <c r="H567" s="45"/>
      <c r="I567" s="45"/>
      <c r="J567" s="45"/>
      <c r="K567" s="45"/>
      <c r="L567" s="45"/>
    </row>
    <row r="568" spans="3:12" ht="12.75" customHeight="1" x14ac:dyDescent="0.25">
      <c r="C568" s="45"/>
      <c r="D568" s="45"/>
      <c r="E568" s="45"/>
      <c r="F568" s="45"/>
      <c r="G568" s="45"/>
      <c r="H568" s="45"/>
      <c r="I568" s="45"/>
      <c r="J568" s="45"/>
      <c r="K568" s="45"/>
      <c r="L568" s="45"/>
    </row>
    <row r="569" spans="3:12" ht="12.75" customHeight="1" x14ac:dyDescent="0.25">
      <c r="C569" s="45"/>
      <c r="D569" s="45"/>
      <c r="E569" s="45"/>
      <c r="F569" s="45"/>
      <c r="G569" s="45"/>
      <c r="H569" s="45"/>
      <c r="I569" s="45"/>
      <c r="J569" s="45"/>
      <c r="K569" s="45"/>
      <c r="L569" s="45"/>
    </row>
    <row r="570" spans="3:12" ht="12.75" customHeight="1" x14ac:dyDescent="0.25">
      <c r="C570" s="45"/>
      <c r="D570" s="45"/>
      <c r="E570" s="45"/>
      <c r="F570" s="45"/>
      <c r="G570" s="45"/>
      <c r="H570" s="45"/>
      <c r="I570" s="45"/>
      <c r="J570" s="45"/>
      <c r="K570" s="45"/>
      <c r="L570" s="45"/>
    </row>
    <row r="571" spans="3:12" ht="12.75" customHeight="1" x14ac:dyDescent="0.25">
      <c r="C571" s="45"/>
      <c r="D571" s="45"/>
      <c r="E571" s="45"/>
      <c r="F571" s="45"/>
      <c r="G571" s="45"/>
      <c r="H571" s="45"/>
      <c r="I571" s="45"/>
      <c r="J571" s="45"/>
      <c r="K571" s="45"/>
      <c r="L571" s="45"/>
    </row>
    <row r="572" spans="3:12" ht="12.75" customHeight="1" x14ac:dyDescent="0.25">
      <c r="C572" s="45"/>
      <c r="D572" s="45"/>
      <c r="E572" s="45"/>
      <c r="F572" s="45"/>
      <c r="G572" s="45"/>
      <c r="H572" s="45"/>
      <c r="I572" s="45"/>
      <c r="J572" s="45"/>
      <c r="K572" s="45"/>
      <c r="L572" s="45"/>
    </row>
    <row r="573" spans="3:12" ht="12.75" customHeight="1" x14ac:dyDescent="0.25">
      <c r="C573" s="45"/>
      <c r="D573" s="45"/>
      <c r="E573" s="45"/>
      <c r="F573" s="45"/>
      <c r="G573" s="45"/>
      <c r="H573" s="45"/>
      <c r="I573" s="45"/>
      <c r="J573" s="45"/>
      <c r="K573" s="45"/>
      <c r="L573" s="45"/>
    </row>
    <row r="574" spans="3:12" ht="12.75" customHeight="1" x14ac:dyDescent="0.25">
      <c r="C574" s="45"/>
      <c r="D574" s="45"/>
      <c r="E574" s="45"/>
      <c r="F574" s="45"/>
      <c r="G574" s="45"/>
      <c r="H574" s="45"/>
      <c r="I574" s="45"/>
      <c r="J574" s="45"/>
      <c r="K574" s="45"/>
      <c r="L574" s="45"/>
    </row>
    <row r="575" spans="3:12" ht="12.75" customHeight="1" x14ac:dyDescent="0.25">
      <c r="C575" s="45"/>
      <c r="D575" s="45"/>
      <c r="E575" s="45"/>
      <c r="F575" s="45"/>
      <c r="G575" s="45"/>
      <c r="H575" s="45"/>
      <c r="I575" s="45"/>
      <c r="J575" s="45"/>
      <c r="K575" s="45"/>
      <c r="L575" s="45"/>
    </row>
    <row r="576" spans="3:12" ht="12.75" customHeight="1" x14ac:dyDescent="0.25">
      <c r="C576" s="45"/>
      <c r="D576" s="45"/>
      <c r="E576" s="45"/>
      <c r="F576" s="45"/>
      <c r="G576" s="45"/>
      <c r="H576" s="45"/>
      <c r="I576" s="45"/>
      <c r="J576" s="45"/>
      <c r="K576" s="45"/>
      <c r="L576" s="45"/>
    </row>
    <row r="577" spans="3:12" ht="12.75" customHeight="1" x14ac:dyDescent="0.25">
      <c r="C577" s="45"/>
      <c r="D577" s="45"/>
      <c r="E577" s="45"/>
      <c r="F577" s="45"/>
      <c r="G577" s="45"/>
      <c r="H577" s="45"/>
      <c r="I577" s="45"/>
      <c r="J577" s="45"/>
      <c r="K577" s="45"/>
      <c r="L577" s="45"/>
    </row>
    <row r="578" spans="3:12" ht="12.75" customHeight="1" x14ac:dyDescent="0.25">
      <c r="C578" s="45"/>
      <c r="D578" s="45"/>
      <c r="E578" s="45"/>
      <c r="F578" s="45"/>
      <c r="G578" s="45"/>
      <c r="H578" s="45"/>
      <c r="I578" s="45"/>
      <c r="J578" s="45"/>
      <c r="K578" s="45"/>
      <c r="L578" s="45"/>
    </row>
    <row r="579" spans="3:12" ht="12.75" customHeight="1" x14ac:dyDescent="0.25">
      <c r="C579" s="45"/>
      <c r="D579" s="45"/>
      <c r="E579" s="45"/>
      <c r="F579" s="45"/>
      <c r="G579" s="45"/>
      <c r="H579" s="45"/>
      <c r="I579" s="45"/>
      <c r="J579" s="45"/>
      <c r="K579" s="45"/>
      <c r="L579" s="45"/>
    </row>
    <row r="580" spans="3:12" ht="12.75" customHeight="1" x14ac:dyDescent="0.25">
      <c r="C580" s="45"/>
      <c r="D580" s="45"/>
      <c r="E580" s="45"/>
      <c r="F580" s="45"/>
      <c r="G580" s="45"/>
      <c r="H580" s="45"/>
      <c r="I580" s="45"/>
      <c r="J580" s="45"/>
      <c r="K580" s="45"/>
      <c r="L580" s="45"/>
    </row>
    <row r="581" spans="3:12" ht="12.75" customHeight="1" x14ac:dyDescent="0.25">
      <c r="C581" s="45"/>
      <c r="D581" s="45"/>
      <c r="E581" s="45"/>
      <c r="F581" s="45"/>
      <c r="G581" s="45"/>
      <c r="H581" s="45"/>
      <c r="I581" s="45"/>
      <c r="J581" s="45"/>
      <c r="K581" s="45"/>
      <c r="L581" s="45"/>
    </row>
    <row r="582" spans="3:12" ht="12.75" customHeight="1" x14ac:dyDescent="0.25">
      <c r="C582" s="45"/>
      <c r="D582" s="45"/>
      <c r="E582" s="45"/>
      <c r="F582" s="45"/>
      <c r="G582" s="45"/>
      <c r="H582" s="45"/>
      <c r="I582" s="45"/>
      <c r="J582" s="45"/>
      <c r="K582" s="45"/>
      <c r="L582" s="45"/>
    </row>
    <row r="583" spans="3:12" ht="12.75" customHeight="1" x14ac:dyDescent="0.25">
      <c r="C583" s="45"/>
      <c r="D583" s="45"/>
      <c r="E583" s="45"/>
      <c r="F583" s="45"/>
      <c r="G583" s="45"/>
      <c r="H583" s="45"/>
      <c r="I583" s="45"/>
      <c r="J583" s="45"/>
      <c r="K583" s="45"/>
      <c r="L583" s="45"/>
    </row>
    <row r="584" spans="3:12" ht="12.75" customHeight="1" x14ac:dyDescent="0.25">
      <c r="C584" s="45"/>
      <c r="D584" s="45"/>
      <c r="E584" s="45"/>
      <c r="F584" s="45"/>
      <c r="G584" s="45"/>
      <c r="H584" s="45"/>
      <c r="I584" s="45"/>
      <c r="J584" s="45"/>
      <c r="K584" s="45"/>
      <c r="L584" s="45"/>
    </row>
    <row r="585" spans="3:12" ht="12.75" customHeight="1" x14ac:dyDescent="0.25">
      <c r="C585" s="45"/>
      <c r="D585" s="45"/>
      <c r="E585" s="45"/>
      <c r="F585" s="45"/>
      <c r="G585" s="45"/>
      <c r="H585" s="45"/>
      <c r="I585" s="45"/>
      <c r="J585" s="45"/>
      <c r="K585" s="45"/>
      <c r="L585" s="45"/>
    </row>
    <row r="586" spans="3:12" ht="12.75" customHeight="1" x14ac:dyDescent="0.25">
      <c r="C586" s="45"/>
      <c r="D586" s="45"/>
      <c r="E586" s="45"/>
      <c r="F586" s="45"/>
      <c r="G586" s="45"/>
      <c r="H586" s="45"/>
      <c r="I586" s="45"/>
      <c r="J586" s="45"/>
      <c r="K586" s="45"/>
      <c r="L586" s="45"/>
    </row>
    <row r="587" spans="3:12" ht="12.75" customHeight="1" x14ac:dyDescent="0.25">
      <c r="C587" s="45"/>
      <c r="D587" s="45"/>
      <c r="E587" s="45"/>
      <c r="F587" s="45"/>
      <c r="G587" s="45"/>
      <c r="H587" s="45"/>
      <c r="I587" s="45"/>
      <c r="J587" s="45"/>
      <c r="K587" s="45"/>
      <c r="L587" s="45"/>
    </row>
    <row r="588" spans="3:12" ht="12.75" customHeight="1" x14ac:dyDescent="0.25">
      <c r="C588" s="45"/>
      <c r="D588" s="45"/>
      <c r="E588" s="45"/>
      <c r="F588" s="45"/>
      <c r="G588" s="45"/>
      <c r="H588" s="45"/>
      <c r="I588" s="45"/>
      <c r="J588" s="45"/>
      <c r="K588" s="45"/>
      <c r="L588" s="45"/>
    </row>
    <row r="589" spans="3:12" ht="12.75" customHeight="1" x14ac:dyDescent="0.25">
      <c r="C589" s="45"/>
      <c r="D589" s="45"/>
      <c r="E589" s="45"/>
      <c r="F589" s="45"/>
      <c r="G589" s="45"/>
      <c r="H589" s="45"/>
      <c r="I589" s="45"/>
      <c r="J589" s="45"/>
      <c r="K589" s="45"/>
      <c r="L589" s="45"/>
    </row>
    <row r="590" spans="3:12" ht="12.75" customHeight="1" x14ac:dyDescent="0.25">
      <c r="C590" s="45"/>
      <c r="D590" s="45"/>
      <c r="E590" s="45"/>
      <c r="F590" s="45"/>
      <c r="G590" s="45"/>
      <c r="H590" s="45"/>
      <c r="I590" s="45"/>
      <c r="J590" s="45"/>
      <c r="K590" s="45"/>
      <c r="L590" s="45"/>
    </row>
    <row r="591" spans="3:12" ht="12.75" customHeight="1" x14ac:dyDescent="0.25">
      <c r="C591" s="45"/>
      <c r="D591" s="45"/>
      <c r="E591" s="45"/>
      <c r="F591" s="45"/>
      <c r="G591" s="45"/>
      <c r="H591" s="45"/>
      <c r="I591" s="45"/>
      <c r="J591" s="45"/>
      <c r="K591" s="45"/>
      <c r="L591" s="45"/>
    </row>
    <row r="592" spans="3:12" ht="12.75" customHeight="1" x14ac:dyDescent="0.25">
      <c r="C592" s="45"/>
      <c r="D592" s="45"/>
      <c r="E592" s="45"/>
      <c r="F592" s="45"/>
      <c r="G592" s="45"/>
      <c r="H592" s="45"/>
      <c r="I592" s="45"/>
      <c r="J592" s="45"/>
      <c r="K592" s="45"/>
      <c r="L592" s="45"/>
    </row>
    <row r="593" spans="3:12" ht="12.75" customHeight="1" x14ac:dyDescent="0.25">
      <c r="C593" s="45"/>
      <c r="D593" s="45"/>
      <c r="E593" s="45"/>
      <c r="F593" s="45"/>
      <c r="G593" s="45"/>
      <c r="H593" s="45"/>
      <c r="I593" s="45"/>
      <c r="J593" s="45"/>
      <c r="K593" s="45"/>
      <c r="L593" s="45"/>
    </row>
    <row r="594" spans="3:12" ht="12.75" customHeight="1" x14ac:dyDescent="0.25">
      <c r="C594" s="45"/>
      <c r="D594" s="45"/>
      <c r="E594" s="45"/>
      <c r="F594" s="45"/>
      <c r="G594" s="45"/>
      <c r="H594" s="45"/>
      <c r="I594" s="45"/>
      <c r="J594" s="45"/>
      <c r="K594" s="45"/>
      <c r="L594" s="45"/>
    </row>
    <row r="595" spans="3:12" ht="12.75" customHeight="1" x14ac:dyDescent="0.25">
      <c r="C595" s="45"/>
      <c r="D595" s="45"/>
      <c r="E595" s="45"/>
      <c r="F595" s="45"/>
      <c r="G595" s="45"/>
      <c r="H595" s="45"/>
      <c r="I595" s="45"/>
      <c r="J595" s="45"/>
      <c r="K595" s="45"/>
      <c r="L595" s="45"/>
    </row>
    <row r="596" spans="3:12" ht="12.75" customHeight="1" x14ac:dyDescent="0.25">
      <c r="C596" s="45"/>
      <c r="D596" s="45"/>
      <c r="E596" s="45"/>
      <c r="F596" s="45"/>
      <c r="G596" s="45"/>
      <c r="H596" s="45"/>
      <c r="I596" s="45"/>
      <c r="J596" s="45"/>
      <c r="K596" s="45"/>
      <c r="L596" s="45"/>
    </row>
    <row r="597" spans="3:12" ht="12.75" customHeight="1" x14ac:dyDescent="0.25">
      <c r="C597" s="45"/>
      <c r="D597" s="45"/>
      <c r="E597" s="45"/>
      <c r="F597" s="45"/>
      <c r="G597" s="45"/>
      <c r="H597" s="45"/>
      <c r="I597" s="45"/>
      <c r="J597" s="45"/>
      <c r="K597" s="45"/>
      <c r="L597" s="45"/>
    </row>
    <row r="598" spans="3:12" ht="12.75" customHeight="1" x14ac:dyDescent="0.25">
      <c r="C598" s="45"/>
      <c r="D598" s="45"/>
      <c r="E598" s="45"/>
      <c r="F598" s="45"/>
      <c r="G598" s="45"/>
      <c r="H598" s="45"/>
      <c r="I598" s="45"/>
      <c r="J598" s="45"/>
      <c r="K598" s="45"/>
      <c r="L598" s="45"/>
    </row>
    <row r="599" spans="3:12" ht="12.75" customHeight="1" x14ac:dyDescent="0.25">
      <c r="C599" s="45"/>
      <c r="D599" s="45"/>
      <c r="E599" s="45"/>
      <c r="F599" s="45"/>
      <c r="G599" s="45"/>
      <c r="H599" s="45"/>
      <c r="I599" s="45"/>
      <c r="J599" s="45"/>
      <c r="K599" s="45"/>
      <c r="L599" s="45"/>
    </row>
    <row r="600" spans="3:12" ht="12.75" customHeight="1" x14ac:dyDescent="0.25">
      <c r="C600" s="45"/>
      <c r="D600" s="45"/>
      <c r="E600" s="45"/>
      <c r="F600" s="45"/>
      <c r="G600" s="45"/>
      <c r="H600" s="45"/>
      <c r="I600" s="45"/>
      <c r="J600" s="45"/>
      <c r="K600" s="45"/>
      <c r="L600" s="45"/>
    </row>
    <row r="601" spans="3:12" ht="12.75" customHeight="1" x14ac:dyDescent="0.25">
      <c r="C601" s="45"/>
      <c r="D601" s="45"/>
      <c r="E601" s="45"/>
      <c r="F601" s="45"/>
      <c r="G601" s="45"/>
      <c r="H601" s="45"/>
      <c r="I601" s="45"/>
      <c r="J601" s="45"/>
      <c r="K601" s="45"/>
      <c r="L601" s="45"/>
    </row>
    <row r="602" spans="3:12" ht="12.75" customHeight="1" x14ac:dyDescent="0.25">
      <c r="C602" s="45"/>
      <c r="D602" s="45"/>
      <c r="E602" s="45"/>
      <c r="F602" s="45"/>
      <c r="G602" s="45"/>
      <c r="H602" s="45"/>
      <c r="I602" s="45"/>
      <c r="J602" s="45"/>
      <c r="K602" s="45"/>
      <c r="L602" s="45"/>
    </row>
    <row r="603" spans="3:12" ht="12.75" customHeight="1" x14ac:dyDescent="0.25">
      <c r="C603" s="45"/>
      <c r="D603" s="45"/>
      <c r="E603" s="45"/>
      <c r="F603" s="45"/>
      <c r="G603" s="45"/>
      <c r="H603" s="45"/>
      <c r="I603" s="45"/>
      <c r="J603" s="45"/>
      <c r="K603" s="45"/>
      <c r="L603" s="45"/>
    </row>
    <row r="604" spans="3:12" ht="12.75" customHeight="1" x14ac:dyDescent="0.25">
      <c r="C604" s="45"/>
      <c r="D604" s="45"/>
      <c r="E604" s="45"/>
      <c r="F604" s="45"/>
      <c r="G604" s="45"/>
      <c r="H604" s="45"/>
      <c r="I604" s="45"/>
      <c r="J604" s="45"/>
      <c r="K604" s="45"/>
      <c r="L604" s="45"/>
    </row>
    <row r="605" spans="3:12" ht="12.75" customHeight="1" x14ac:dyDescent="0.25">
      <c r="C605" s="45"/>
      <c r="D605" s="45"/>
      <c r="E605" s="45"/>
      <c r="F605" s="45"/>
      <c r="G605" s="45"/>
      <c r="H605" s="45"/>
      <c r="I605" s="45"/>
      <c r="J605" s="45"/>
      <c r="K605" s="45"/>
      <c r="L605" s="45"/>
    </row>
    <row r="606" spans="3:12" ht="12.75" customHeight="1" x14ac:dyDescent="0.25">
      <c r="C606" s="45"/>
      <c r="D606" s="45"/>
      <c r="E606" s="45"/>
      <c r="F606" s="45"/>
      <c r="G606" s="45"/>
      <c r="H606" s="45"/>
      <c r="I606" s="45"/>
      <c r="J606" s="45"/>
      <c r="K606" s="45"/>
      <c r="L606" s="45"/>
    </row>
    <row r="607" spans="3:12" ht="12.75" customHeight="1" x14ac:dyDescent="0.25">
      <c r="C607" s="45"/>
      <c r="D607" s="45"/>
      <c r="E607" s="45"/>
      <c r="F607" s="45"/>
      <c r="G607" s="45"/>
      <c r="H607" s="45"/>
      <c r="I607" s="45"/>
      <c r="J607" s="45"/>
      <c r="K607" s="45"/>
      <c r="L607" s="45"/>
    </row>
    <row r="608" spans="3:12" ht="12.75" customHeight="1" x14ac:dyDescent="0.25">
      <c r="C608" s="45"/>
      <c r="D608" s="45"/>
      <c r="E608" s="45"/>
      <c r="F608" s="45"/>
      <c r="G608" s="45"/>
      <c r="H608" s="45"/>
      <c r="I608" s="45"/>
      <c r="J608" s="45"/>
      <c r="K608" s="45"/>
      <c r="L608" s="45"/>
    </row>
    <row r="609" spans="3:12" ht="12.75" customHeight="1" x14ac:dyDescent="0.25">
      <c r="C609" s="45"/>
      <c r="D609" s="45"/>
      <c r="E609" s="45"/>
      <c r="F609" s="45"/>
      <c r="G609" s="45"/>
      <c r="H609" s="45"/>
      <c r="I609" s="45"/>
      <c r="J609" s="45"/>
      <c r="K609" s="45"/>
      <c r="L609" s="45"/>
    </row>
    <row r="610" spans="3:12" ht="12.75" customHeight="1" x14ac:dyDescent="0.25">
      <c r="C610" s="45"/>
      <c r="D610" s="45"/>
      <c r="E610" s="45"/>
      <c r="F610" s="45"/>
      <c r="G610" s="45"/>
      <c r="H610" s="45"/>
      <c r="I610" s="45"/>
      <c r="J610" s="45"/>
      <c r="K610" s="45"/>
      <c r="L610" s="45"/>
    </row>
    <row r="611" spans="3:12" ht="12.75" customHeight="1" x14ac:dyDescent="0.25">
      <c r="C611" s="45"/>
      <c r="D611" s="45"/>
      <c r="E611" s="45"/>
      <c r="F611" s="45"/>
      <c r="G611" s="45"/>
      <c r="H611" s="45"/>
      <c r="I611" s="45"/>
      <c r="J611" s="45"/>
      <c r="K611" s="45"/>
      <c r="L611" s="45"/>
    </row>
    <row r="612" spans="3:12" ht="12.75" customHeight="1" x14ac:dyDescent="0.25">
      <c r="C612" s="45"/>
      <c r="D612" s="45"/>
      <c r="E612" s="45"/>
      <c r="F612" s="45"/>
      <c r="G612" s="45"/>
      <c r="H612" s="45"/>
      <c r="I612" s="45"/>
      <c r="J612" s="45"/>
      <c r="K612" s="45"/>
      <c r="L612" s="45"/>
    </row>
    <row r="613" spans="3:12" ht="12.75" customHeight="1" x14ac:dyDescent="0.25">
      <c r="C613" s="45"/>
      <c r="D613" s="45"/>
      <c r="E613" s="45"/>
      <c r="F613" s="45"/>
      <c r="G613" s="45"/>
      <c r="H613" s="45"/>
      <c r="I613" s="45"/>
      <c r="J613" s="45"/>
      <c r="K613" s="45"/>
      <c r="L613" s="45"/>
    </row>
    <row r="614" spans="3:12" ht="12.75" customHeight="1" x14ac:dyDescent="0.25">
      <c r="C614" s="45"/>
      <c r="D614" s="45"/>
      <c r="E614" s="45"/>
      <c r="F614" s="45"/>
      <c r="G614" s="45"/>
      <c r="H614" s="45"/>
      <c r="I614" s="45"/>
      <c r="J614" s="45"/>
      <c r="K614" s="45"/>
      <c r="L614" s="45"/>
    </row>
    <row r="615" spans="3:12" ht="12.75" customHeight="1" x14ac:dyDescent="0.25">
      <c r="C615" s="45"/>
      <c r="D615" s="45"/>
      <c r="E615" s="45"/>
      <c r="F615" s="45"/>
      <c r="G615" s="45"/>
      <c r="H615" s="45"/>
      <c r="I615" s="45"/>
      <c r="J615" s="45"/>
      <c r="K615" s="45"/>
      <c r="L615" s="45"/>
    </row>
    <row r="616" spans="3:12" ht="12.75" customHeight="1" x14ac:dyDescent="0.25">
      <c r="C616" s="45"/>
      <c r="D616" s="45"/>
      <c r="E616" s="45"/>
      <c r="F616" s="45"/>
      <c r="G616" s="45"/>
      <c r="H616" s="45"/>
      <c r="I616" s="45"/>
      <c r="J616" s="45"/>
      <c r="K616" s="45"/>
      <c r="L616" s="45"/>
    </row>
    <row r="617" spans="3:12" ht="12.75" customHeight="1" x14ac:dyDescent="0.25">
      <c r="C617" s="45"/>
      <c r="D617" s="45"/>
      <c r="E617" s="45"/>
      <c r="F617" s="45"/>
      <c r="G617" s="45"/>
      <c r="H617" s="45"/>
      <c r="I617" s="45"/>
      <c r="J617" s="45"/>
      <c r="K617" s="45"/>
      <c r="L617" s="45"/>
    </row>
    <row r="618" spans="3:12" ht="12.75" customHeight="1" x14ac:dyDescent="0.25">
      <c r="C618" s="45"/>
      <c r="D618" s="45"/>
      <c r="E618" s="45"/>
      <c r="F618" s="45"/>
      <c r="G618" s="45"/>
      <c r="H618" s="45"/>
      <c r="I618" s="45"/>
      <c r="J618" s="45"/>
      <c r="K618" s="45"/>
      <c r="L618" s="45"/>
    </row>
    <row r="619" spans="3:12" ht="12.75" customHeight="1" x14ac:dyDescent="0.25">
      <c r="C619" s="45"/>
      <c r="D619" s="45"/>
      <c r="E619" s="45"/>
      <c r="F619" s="45"/>
      <c r="G619" s="45"/>
      <c r="H619" s="45"/>
      <c r="I619" s="45"/>
      <c r="J619" s="45"/>
      <c r="K619" s="45"/>
      <c r="L619" s="45"/>
    </row>
    <row r="620" spans="3:12" ht="12.75" customHeight="1" x14ac:dyDescent="0.25">
      <c r="C620" s="45"/>
      <c r="D620" s="45"/>
      <c r="E620" s="45"/>
      <c r="F620" s="45"/>
      <c r="G620" s="45"/>
      <c r="H620" s="45"/>
      <c r="I620" s="45"/>
      <c r="J620" s="45"/>
      <c r="K620" s="45"/>
      <c r="L620" s="45"/>
    </row>
    <row r="621" spans="3:12" ht="12.75" customHeight="1" x14ac:dyDescent="0.25">
      <c r="C621" s="45"/>
      <c r="D621" s="45"/>
      <c r="E621" s="45"/>
      <c r="F621" s="45"/>
      <c r="G621" s="45"/>
      <c r="H621" s="45"/>
      <c r="I621" s="45"/>
      <c r="J621" s="45"/>
      <c r="K621" s="45"/>
      <c r="L621" s="45"/>
    </row>
    <row r="622" spans="3:12" x14ac:dyDescent="0.25">
      <c r="C622" s="45"/>
      <c r="D622" s="45"/>
      <c r="E622" s="45"/>
      <c r="F622" s="45"/>
      <c r="G622" s="45"/>
      <c r="H622" s="45"/>
      <c r="I622" s="45"/>
      <c r="J622" s="45"/>
      <c r="K622" s="45"/>
      <c r="L622" s="45"/>
    </row>
    <row r="623" spans="3:12" x14ac:dyDescent="0.25">
      <c r="C623" s="45"/>
      <c r="D623" s="45"/>
      <c r="E623" s="45"/>
      <c r="F623" s="45"/>
      <c r="G623" s="45"/>
      <c r="H623" s="45"/>
      <c r="I623" s="45"/>
      <c r="J623" s="45"/>
      <c r="K623" s="45"/>
      <c r="L623" s="45"/>
    </row>
    <row r="624" spans="3:12" x14ac:dyDescent="0.25">
      <c r="C624" s="45"/>
      <c r="D624" s="45"/>
      <c r="E624" s="45"/>
      <c r="F624" s="45"/>
      <c r="G624" s="45"/>
      <c r="H624" s="45"/>
      <c r="I624" s="45"/>
      <c r="J624" s="45"/>
      <c r="K624" s="45"/>
      <c r="L624" s="45"/>
    </row>
    <row r="625" spans="3:12" x14ac:dyDescent="0.25">
      <c r="C625" s="45"/>
      <c r="D625" s="45"/>
      <c r="E625" s="45"/>
      <c r="F625" s="45"/>
      <c r="G625" s="45"/>
      <c r="H625" s="45"/>
      <c r="I625" s="45"/>
      <c r="J625" s="45"/>
      <c r="K625" s="45"/>
      <c r="L625" s="45"/>
    </row>
    <row r="626" spans="3:12" x14ac:dyDescent="0.25">
      <c r="C626" s="45"/>
      <c r="D626" s="45"/>
      <c r="E626" s="45"/>
      <c r="F626" s="45"/>
      <c r="G626" s="45"/>
      <c r="H626" s="45"/>
      <c r="I626" s="45"/>
      <c r="J626" s="45"/>
      <c r="K626" s="45"/>
      <c r="L626" s="45"/>
    </row>
    <row r="627" spans="3:12" x14ac:dyDescent="0.25">
      <c r="C627" s="45"/>
      <c r="D627" s="45"/>
      <c r="E627" s="45"/>
      <c r="F627" s="45"/>
      <c r="G627" s="45"/>
      <c r="H627" s="45"/>
      <c r="I627" s="45"/>
      <c r="J627" s="45"/>
      <c r="K627" s="45"/>
      <c r="L627" s="45"/>
    </row>
    <row r="628" spans="3:12" x14ac:dyDescent="0.25">
      <c r="C628" s="45"/>
      <c r="D628" s="45"/>
      <c r="E628" s="45"/>
      <c r="F628" s="45"/>
      <c r="G628" s="45"/>
      <c r="H628" s="45"/>
      <c r="I628" s="45"/>
      <c r="J628" s="45"/>
      <c r="K628" s="45"/>
      <c r="L628" s="45"/>
    </row>
    <row r="629" spans="3:12" x14ac:dyDescent="0.25">
      <c r="C629" s="45"/>
      <c r="D629" s="45"/>
      <c r="E629" s="45"/>
      <c r="F629" s="45"/>
      <c r="G629" s="45"/>
      <c r="H629" s="45"/>
      <c r="I629" s="45"/>
      <c r="J629" s="45"/>
      <c r="K629" s="45"/>
      <c r="L629" s="45"/>
    </row>
    <row r="630" spans="3:12" x14ac:dyDescent="0.25">
      <c r="C630" s="45"/>
      <c r="D630" s="45"/>
      <c r="E630" s="45"/>
      <c r="F630" s="45"/>
      <c r="G630" s="45"/>
      <c r="H630" s="45"/>
      <c r="I630" s="45"/>
      <c r="J630" s="45"/>
      <c r="K630" s="45"/>
      <c r="L630" s="45"/>
    </row>
    <row r="631" spans="3:12" x14ac:dyDescent="0.25">
      <c r="C631" s="45"/>
      <c r="D631" s="45"/>
      <c r="E631" s="45"/>
      <c r="F631" s="45"/>
      <c r="G631" s="45"/>
      <c r="H631" s="45"/>
      <c r="I631" s="45"/>
      <c r="J631" s="45"/>
      <c r="K631" s="45"/>
      <c r="L631" s="45"/>
    </row>
    <row r="632" spans="3:12" x14ac:dyDescent="0.25">
      <c r="C632" s="45"/>
      <c r="D632" s="45"/>
      <c r="E632" s="45"/>
      <c r="F632" s="45"/>
      <c r="G632" s="45"/>
      <c r="H632" s="45"/>
      <c r="I632" s="45"/>
      <c r="J632" s="45"/>
      <c r="K632" s="45"/>
      <c r="L632" s="45"/>
    </row>
    <row r="633" spans="3:12" x14ac:dyDescent="0.25">
      <c r="C633" s="45"/>
      <c r="D633" s="45"/>
      <c r="E633" s="45"/>
      <c r="F633" s="45"/>
      <c r="G633" s="45"/>
      <c r="H633" s="45"/>
      <c r="I633" s="45"/>
      <c r="J633" s="45"/>
      <c r="K633" s="45"/>
      <c r="L633" s="45"/>
    </row>
    <row r="634" spans="3:12" x14ac:dyDescent="0.25">
      <c r="C634" s="45"/>
      <c r="D634" s="45"/>
      <c r="E634" s="45"/>
      <c r="F634" s="45"/>
      <c r="G634" s="45"/>
      <c r="H634" s="45"/>
      <c r="I634" s="45"/>
      <c r="J634" s="45"/>
      <c r="K634" s="45"/>
      <c r="L634" s="45"/>
    </row>
    <row r="635" spans="3:12" x14ac:dyDescent="0.25">
      <c r="C635" s="45"/>
      <c r="D635" s="45"/>
      <c r="E635" s="45"/>
      <c r="F635" s="45"/>
      <c r="G635" s="45"/>
      <c r="H635" s="45"/>
      <c r="I635" s="45"/>
      <c r="J635" s="45"/>
      <c r="K635" s="45"/>
      <c r="L635" s="45"/>
    </row>
    <row r="636" spans="3:12" x14ac:dyDescent="0.25">
      <c r="C636" s="45"/>
      <c r="D636" s="45"/>
      <c r="E636" s="45"/>
      <c r="F636" s="45"/>
      <c r="G636" s="45"/>
      <c r="H636" s="45"/>
      <c r="I636" s="45"/>
      <c r="J636" s="45"/>
      <c r="K636" s="45"/>
      <c r="L636" s="45"/>
    </row>
    <row r="637" spans="3:12" x14ac:dyDescent="0.25">
      <c r="C637" s="45"/>
      <c r="D637" s="45"/>
      <c r="E637" s="45"/>
      <c r="F637" s="45"/>
      <c r="G637" s="45"/>
      <c r="H637" s="45"/>
      <c r="I637" s="45"/>
      <c r="J637" s="45"/>
      <c r="K637" s="45"/>
      <c r="L637" s="45"/>
    </row>
    <row r="638" spans="3:12" x14ac:dyDescent="0.25">
      <c r="C638" s="45"/>
      <c r="D638" s="45"/>
      <c r="E638" s="45"/>
      <c r="F638" s="45"/>
      <c r="G638" s="45"/>
      <c r="H638" s="45"/>
      <c r="I638" s="45"/>
      <c r="J638" s="45"/>
      <c r="K638" s="45"/>
      <c r="L638" s="45"/>
    </row>
    <row r="639" spans="3:12" x14ac:dyDescent="0.25">
      <c r="C639" s="45"/>
      <c r="D639" s="45"/>
      <c r="E639" s="45"/>
      <c r="F639" s="45"/>
      <c r="G639" s="45"/>
      <c r="H639" s="45"/>
      <c r="I639" s="45"/>
      <c r="J639" s="45"/>
      <c r="K639" s="45"/>
      <c r="L639" s="45"/>
    </row>
    <row r="640" spans="3:12" x14ac:dyDescent="0.25">
      <c r="C640" s="45"/>
      <c r="D640" s="45"/>
      <c r="E640" s="45"/>
      <c r="F640" s="45"/>
      <c r="G640" s="45"/>
      <c r="H640" s="45"/>
      <c r="I640" s="45"/>
      <c r="J640" s="45"/>
      <c r="K640" s="45"/>
      <c r="L640" s="45"/>
    </row>
    <row r="641" spans="3:12" x14ac:dyDescent="0.25">
      <c r="C641" s="45"/>
      <c r="D641" s="45"/>
      <c r="E641" s="45"/>
      <c r="F641" s="45"/>
      <c r="G641" s="45"/>
      <c r="H641" s="45"/>
      <c r="I641" s="45"/>
      <c r="J641" s="45"/>
      <c r="K641" s="45"/>
      <c r="L641" s="45"/>
    </row>
    <row r="642" spans="3:12" x14ac:dyDescent="0.25">
      <c r="C642" s="45"/>
      <c r="D642" s="45"/>
      <c r="E642" s="45"/>
      <c r="F642" s="45"/>
      <c r="G642" s="45"/>
      <c r="H642" s="45"/>
      <c r="I642" s="45"/>
      <c r="J642" s="45"/>
      <c r="K642" s="45"/>
      <c r="L642" s="45"/>
    </row>
    <row r="643" spans="3:12" x14ac:dyDescent="0.25">
      <c r="C643" s="45"/>
      <c r="D643" s="45"/>
      <c r="E643" s="45"/>
      <c r="F643" s="45"/>
      <c r="G643" s="45"/>
      <c r="H643" s="45"/>
      <c r="I643" s="45"/>
      <c r="J643" s="45"/>
      <c r="K643" s="45"/>
      <c r="L643" s="45"/>
    </row>
    <row r="644" spans="3:12" x14ac:dyDescent="0.25">
      <c r="C644" s="45"/>
      <c r="D644" s="45"/>
      <c r="E644" s="45"/>
      <c r="F644" s="45"/>
      <c r="G644" s="45"/>
      <c r="H644" s="45"/>
      <c r="I644" s="45"/>
      <c r="J644" s="45"/>
      <c r="K644" s="45"/>
      <c r="L644" s="45"/>
    </row>
    <row r="645" spans="3:12" x14ac:dyDescent="0.25">
      <c r="C645" s="45"/>
      <c r="D645" s="45"/>
      <c r="E645" s="45"/>
      <c r="F645" s="45"/>
      <c r="G645" s="45"/>
      <c r="H645" s="45"/>
      <c r="I645" s="45"/>
      <c r="J645" s="45"/>
      <c r="K645" s="45"/>
      <c r="L645" s="45"/>
    </row>
    <row r="646" spans="3:12" x14ac:dyDescent="0.25">
      <c r="C646" s="45"/>
      <c r="D646" s="45"/>
      <c r="E646" s="45"/>
      <c r="F646" s="45"/>
      <c r="G646" s="45"/>
      <c r="H646" s="45"/>
      <c r="I646" s="45"/>
      <c r="J646" s="45"/>
      <c r="K646" s="45"/>
      <c r="L646" s="45"/>
    </row>
    <row r="647" spans="3:12" x14ac:dyDescent="0.25">
      <c r="C647" s="45"/>
      <c r="D647" s="45"/>
      <c r="E647" s="45"/>
      <c r="F647" s="45"/>
      <c r="G647" s="45"/>
      <c r="H647" s="45"/>
      <c r="I647" s="45"/>
      <c r="J647" s="45"/>
      <c r="K647" s="45"/>
      <c r="L647" s="45"/>
    </row>
    <row r="648" spans="3:12" x14ac:dyDescent="0.25">
      <c r="C648" s="45"/>
      <c r="D648" s="45"/>
      <c r="E648" s="45"/>
      <c r="F648" s="45"/>
      <c r="G648" s="45"/>
      <c r="H648" s="45"/>
      <c r="I648" s="45"/>
      <c r="J648" s="45"/>
      <c r="K648" s="45"/>
      <c r="L648" s="45"/>
    </row>
    <row r="649" spans="3:12" x14ac:dyDescent="0.25">
      <c r="C649" s="45"/>
      <c r="D649" s="45"/>
      <c r="E649" s="45"/>
      <c r="F649" s="45"/>
      <c r="G649" s="45"/>
      <c r="H649" s="45"/>
      <c r="I649" s="45"/>
      <c r="J649" s="45"/>
      <c r="K649" s="45"/>
      <c r="L649" s="45"/>
    </row>
    <row r="650" spans="3:12" x14ac:dyDescent="0.25">
      <c r="C650" s="45"/>
      <c r="D650" s="45"/>
      <c r="E650" s="45"/>
      <c r="F650" s="45"/>
      <c r="G650" s="45"/>
      <c r="H650" s="45"/>
      <c r="I650" s="45"/>
      <c r="J650" s="45"/>
      <c r="K650" s="45"/>
      <c r="L650" s="45"/>
    </row>
    <row r="651" spans="3:12" x14ac:dyDescent="0.25">
      <c r="C651" s="45"/>
      <c r="D651" s="45"/>
      <c r="E651" s="45"/>
      <c r="F651" s="45"/>
      <c r="G651" s="45"/>
      <c r="H651" s="45"/>
      <c r="I651" s="45"/>
      <c r="J651" s="45"/>
      <c r="K651" s="45"/>
      <c r="L651" s="45"/>
    </row>
    <row r="652" spans="3:12" x14ac:dyDescent="0.25">
      <c r="C652" s="45"/>
      <c r="D652" s="45"/>
      <c r="E652" s="45"/>
      <c r="F652" s="45"/>
      <c r="G652" s="45"/>
      <c r="H652" s="45"/>
      <c r="I652" s="45"/>
      <c r="J652" s="45"/>
      <c r="K652" s="45"/>
      <c r="L652" s="45"/>
    </row>
    <row r="653" spans="3:12" x14ac:dyDescent="0.25">
      <c r="C653" s="45"/>
      <c r="D653" s="45"/>
      <c r="E653" s="45"/>
      <c r="F653" s="45"/>
      <c r="G653" s="45"/>
      <c r="H653" s="45"/>
      <c r="I653" s="45"/>
      <c r="J653" s="45"/>
      <c r="K653" s="45"/>
      <c r="L653" s="45"/>
    </row>
    <row r="654" spans="3:12" x14ac:dyDescent="0.25">
      <c r="C654" s="45"/>
      <c r="D654" s="45"/>
      <c r="E654" s="45"/>
      <c r="F654" s="45"/>
      <c r="G654" s="45"/>
      <c r="H654" s="45"/>
      <c r="I654" s="45"/>
      <c r="J654" s="45"/>
      <c r="K654" s="45"/>
      <c r="L654" s="45"/>
    </row>
    <row r="655" spans="3:12" x14ac:dyDescent="0.25">
      <c r="C655" s="45"/>
      <c r="D655" s="45"/>
      <c r="E655" s="45"/>
      <c r="F655" s="45"/>
      <c r="G655" s="45"/>
      <c r="H655" s="45"/>
      <c r="I655" s="45"/>
      <c r="J655" s="45"/>
      <c r="K655" s="45"/>
      <c r="L655" s="45"/>
    </row>
    <row r="656" spans="3:12" x14ac:dyDescent="0.25">
      <c r="C656" s="45"/>
      <c r="D656" s="45"/>
      <c r="E656" s="45"/>
      <c r="F656" s="45"/>
      <c r="G656" s="45"/>
      <c r="H656" s="45"/>
      <c r="I656" s="45"/>
      <c r="J656" s="45"/>
      <c r="K656" s="45"/>
      <c r="L656" s="45"/>
    </row>
    <row r="657" spans="3:12" x14ac:dyDescent="0.25">
      <c r="C657" s="45"/>
      <c r="D657" s="45"/>
      <c r="E657" s="45"/>
      <c r="F657" s="45"/>
      <c r="G657" s="45"/>
      <c r="H657" s="45"/>
      <c r="I657" s="45"/>
      <c r="J657" s="45"/>
      <c r="K657" s="45"/>
      <c r="L657" s="45"/>
    </row>
    <row r="658" spans="3:12" x14ac:dyDescent="0.25">
      <c r="C658" s="45"/>
      <c r="D658" s="45"/>
      <c r="E658" s="45"/>
      <c r="F658" s="45"/>
      <c r="G658" s="45"/>
      <c r="H658" s="45"/>
      <c r="I658" s="45"/>
      <c r="J658" s="45"/>
      <c r="K658" s="45"/>
      <c r="L658" s="45"/>
    </row>
    <row r="659" spans="3:12" x14ac:dyDescent="0.25">
      <c r="C659" s="45"/>
      <c r="D659" s="45"/>
      <c r="E659" s="45"/>
      <c r="F659" s="45"/>
      <c r="G659" s="45"/>
      <c r="H659" s="45"/>
      <c r="I659" s="45"/>
      <c r="J659" s="45"/>
      <c r="K659" s="45"/>
      <c r="L659" s="45"/>
    </row>
    <row r="660" spans="3:12" x14ac:dyDescent="0.25">
      <c r="C660" s="45"/>
      <c r="D660" s="45"/>
      <c r="E660" s="45"/>
      <c r="F660" s="45"/>
      <c r="G660" s="45"/>
      <c r="H660" s="45"/>
      <c r="I660" s="45"/>
      <c r="J660" s="45"/>
      <c r="K660" s="45"/>
      <c r="L660" s="45"/>
    </row>
    <row r="661" spans="3:12" x14ac:dyDescent="0.25">
      <c r="C661" s="45"/>
      <c r="D661" s="45"/>
      <c r="E661" s="45"/>
      <c r="F661" s="45"/>
      <c r="G661" s="45"/>
      <c r="H661" s="45"/>
      <c r="I661" s="45"/>
      <c r="J661" s="45"/>
      <c r="K661" s="45"/>
      <c r="L661" s="45"/>
    </row>
    <row r="662" spans="3:12" x14ac:dyDescent="0.25">
      <c r="C662" s="45"/>
      <c r="D662" s="45"/>
      <c r="E662" s="45"/>
      <c r="F662" s="45"/>
      <c r="G662" s="45"/>
      <c r="H662" s="45"/>
      <c r="I662" s="45"/>
      <c r="J662" s="45"/>
      <c r="K662" s="45"/>
      <c r="L662" s="45"/>
    </row>
    <row r="663" spans="3:12" x14ac:dyDescent="0.25">
      <c r="C663" s="45"/>
      <c r="D663" s="45"/>
      <c r="E663" s="45"/>
      <c r="F663" s="45"/>
      <c r="G663" s="45"/>
      <c r="H663" s="45"/>
      <c r="I663" s="45"/>
      <c r="J663" s="45"/>
      <c r="K663" s="45"/>
      <c r="L663" s="45"/>
    </row>
    <row r="664" spans="3:12" x14ac:dyDescent="0.25">
      <c r="C664" s="45"/>
      <c r="D664" s="45"/>
      <c r="E664" s="45"/>
      <c r="F664" s="45"/>
      <c r="G664" s="45"/>
      <c r="H664" s="45"/>
      <c r="I664" s="45"/>
      <c r="J664" s="45"/>
      <c r="K664" s="45"/>
      <c r="L664" s="45"/>
    </row>
    <row r="665" spans="3:12" x14ac:dyDescent="0.25">
      <c r="C665" s="45"/>
      <c r="D665" s="45"/>
      <c r="E665" s="45"/>
      <c r="F665" s="45"/>
      <c r="G665" s="45"/>
      <c r="H665" s="45"/>
      <c r="I665" s="45"/>
      <c r="J665" s="45"/>
      <c r="K665" s="45"/>
      <c r="L665" s="45"/>
    </row>
    <row r="666" spans="3:12" x14ac:dyDescent="0.25">
      <c r="C666" s="45"/>
      <c r="D666" s="45"/>
      <c r="E666" s="45"/>
      <c r="F666" s="45"/>
      <c r="G666" s="45"/>
      <c r="H666" s="45"/>
      <c r="I666" s="45"/>
      <c r="J666" s="45"/>
      <c r="K666" s="45"/>
      <c r="L666" s="45"/>
    </row>
    <row r="667" spans="3:12" x14ac:dyDescent="0.25">
      <c r="C667" s="45"/>
      <c r="D667" s="45"/>
      <c r="E667" s="45"/>
      <c r="F667" s="45"/>
      <c r="G667" s="45"/>
      <c r="H667" s="45"/>
      <c r="I667" s="45"/>
      <c r="J667" s="45"/>
      <c r="K667" s="45"/>
      <c r="L667" s="45"/>
    </row>
    <row r="668" spans="3:12" x14ac:dyDescent="0.25">
      <c r="C668" s="45"/>
      <c r="D668" s="45"/>
      <c r="E668" s="45"/>
      <c r="F668" s="45"/>
      <c r="G668" s="45"/>
      <c r="H668" s="45"/>
      <c r="I668" s="45"/>
      <c r="J668" s="45"/>
      <c r="K668" s="45"/>
      <c r="L668" s="45"/>
    </row>
    <row r="669" spans="3:12" x14ac:dyDescent="0.25">
      <c r="C669" s="45"/>
      <c r="D669" s="45"/>
      <c r="E669" s="45"/>
      <c r="F669" s="45"/>
      <c r="G669" s="45"/>
      <c r="H669" s="45"/>
      <c r="I669" s="45"/>
      <c r="J669" s="45"/>
      <c r="K669" s="45"/>
      <c r="L669" s="45"/>
    </row>
    <row r="670" spans="3:12" x14ac:dyDescent="0.25">
      <c r="C670" s="45"/>
      <c r="D670" s="45"/>
      <c r="E670" s="45"/>
      <c r="F670" s="45"/>
      <c r="G670" s="45"/>
      <c r="H670" s="45"/>
      <c r="I670" s="45"/>
      <c r="J670" s="45"/>
      <c r="K670" s="45"/>
      <c r="L670" s="45"/>
    </row>
    <row r="671" spans="3:12" x14ac:dyDescent="0.25">
      <c r="C671" s="45"/>
      <c r="D671" s="45"/>
      <c r="E671" s="45"/>
      <c r="F671" s="45"/>
      <c r="G671" s="45"/>
      <c r="H671" s="45"/>
      <c r="I671" s="45"/>
      <c r="J671" s="45"/>
      <c r="K671" s="45"/>
      <c r="L671" s="45"/>
    </row>
    <row r="672" spans="3:12" x14ac:dyDescent="0.25">
      <c r="C672" s="45"/>
      <c r="D672" s="45"/>
      <c r="E672" s="45"/>
      <c r="F672" s="45"/>
      <c r="G672" s="45"/>
      <c r="H672" s="45"/>
      <c r="I672" s="45"/>
      <c r="J672" s="45"/>
      <c r="K672" s="45"/>
      <c r="L672" s="45"/>
    </row>
    <row r="673" spans="3:12" x14ac:dyDescent="0.25">
      <c r="C673" s="45"/>
      <c r="D673" s="45"/>
      <c r="E673" s="45"/>
      <c r="F673" s="45"/>
      <c r="G673" s="45"/>
      <c r="H673" s="45"/>
      <c r="I673" s="45"/>
      <c r="J673" s="45"/>
      <c r="K673" s="45"/>
      <c r="L673" s="45"/>
    </row>
    <row r="674" spans="3:12" x14ac:dyDescent="0.25">
      <c r="C674" s="45"/>
      <c r="D674" s="45"/>
      <c r="E674" s="45"/>
      <c r="F674" s="45"/>
      <c r="G674" s="45"/>
      <c r="H674" s="45"/>
      <c r="I674" s="45"/>
      <c r="J674" s="45"/>
      <c r="K674" s="45"/>
      <c r="L674" s="45"/>
    </row>
    <row r="675" spans="3:12" x14ac:dyDescent="0.25">
      <c r="C675" s="45"/>
      <c r="D675" s="45"/>
      <c r="E675" s="45"/>
      <c r="F675" s="45"/>
      <c r="G675" s="45"/>
      <c r="H675" s="45"/>
      <c r="I675" s="45"/>
      <c r="J675" s="45"/>
      <c r="K675" s="45"/>
      <c r="L675" s="45"/>
    </row>
    <row r="676" spans="3:12" x14ac:dyDescent="0.25">
      <c r="C676" s="45"/>
      <c r="D676" s="45"/>
      <c r="E676" s="45"/>
      <c r="F676" s="45"/>
      <c r="G676" s="45"/>
      <c r="H676" s="45"/>
      <c r="I676" s="45"/>
      <c r="J676" s="45"/>
      <c r="K676" s="45"/>
      <c r="L676" s="45"/>
    </row>
    <row r="677" spans="3:12" x14ac:dyDescent="0.25">
      <c r="C677" s="45"/>
      <c r="D677" s="45"/>
      <c r="E677" s="45"/>
      <c r="F677" s="45"/>
      <c r="G677" s="45"/>
      <c r="H677" s="45"/>
      <c r="I677" s="45"/>
      <c r="J677" s="45"/>
      <c r="K677" s="45"/>
      <c r="L677" s="45"/>
    </row>
    <row r="678" spans="3:12" x14ac:dyDescent="0.25">
      <c r="C678" s="45"/>
      <c r="D678" s="45"/>
      <c r="E678" s="45"/>
      <c r="F678" s="45"/>
      <c r="G678" s="45"/>
      <c r="H678" s="45"/>
      <c r="I678" s="45"/>
      <c r="J678" s="45"/>
      <c r="K678" s="45"/>
      <c r="L678" s="45"/>
    </row>
    <row r="679" spans="3:12" x14ac:dyDescent="0.25">
      <c r="C679" s="45"/>
      <c r="D679" s="45"/>
      <c r="E679" s="45"/>
      <c r="F679" s="45"/>
      <c r="G679" s="45"/>
      <c r="H679" s="45"/>
      <c r="I679" s="45"/>
      <c r="J679" s="45"/>
      <c r="K679" s="45"/>
      <c r="L679" s="45"/>
    </row>
    <row r="680" spans="3:12" x14ac:dyDescent="0.25">
      <c r="C680" s="45"/>
      <c r="D680" s="45"/>
      <c r="E680" s="45"/>
      <c r="F680" s="45"/>
      <c r="G680" s="45"/>
      <c r="H680" s="45"/>
      <c r="I680" s="45"/>
      <c r="J680" s="45"/>
      <c r="K680" s="45"/>
      <c r="L680" s="45"/>
    </row>
    <row r="681" spans="3:12" x14ac:dyDescent="0.25">
      <c r="C681" s="45"/>
      <c r="D681" s="45"/>
      <c r="E681" s="45"/>
      <c r="F681" s="45"/>
      <c r="G681" s="45"/>
      <c r="H681" s="45"/>
      <c r="I681" s="45"/>
      <c r="J681" s="45"/>
      <c r="K681" s="45"/>
      <c r="L681" s="45"/>
    </row>
    <row r="682" spans="3:12" x14ac:dyDescent="0.25">
      <c r="C682" s="45"/>
      <c r="D682" s="45"/>
      <c r="E682" s="45"/>
      <c r="F682" s="45"/>
      <c r="G682" s="45"/>
      <c r="H682" s="45"/>
      <c r="I682" s="45"/>
      <c r="J682" s="45"/>
      <c r="K682" s="45"/>
      <c r="L682" s="45"/>
    </row>
    <row r="683" spans="3:12" x14ac:dyDescent="0.25">
      <c r="C683" s="45"/>
      <c r="D683" s="45"/>
      <c r="E683" s="45"/>
      <c r="F683" s="45"/>
      <c r="G683" s="45"/>
      <c r="H683" s="45"/>
      <c r="I683" s="45"/>
      <c r="J683" s="45"/>
      <c r="K683" s="45"/>
      <c r="L683" s="45"/>
    </row>
    <row r="684" spans="3:12" x14ac:dyDescent="0.25">
      <c r="C684" s="45"/>
      <c r="D684" s="45"/>
      <c r="E684" s="45"/>
      <c r="F684" s="45"/>
      <c r="G684" s="45"/>
      <c r="H684" s="45"/>
      <c r="I684" s="45"/>
      <c r="J684" s="45"/>
      <c r="K684" s="45"/>
      <c r="L684" s="45"/>
    </row>
    <row r="685" spans="3:12" x14ac:dyDescent="0.25">
      <c r="C685" s="45"/>
      <c r="D685" s="45"/>
      <c r="E685" s="45"/>
      <c r="F685" s="45"/>
      <c r="G685" s="45"/>
      <c r="H685" s="45"/>
      <c r="I685" s="45"/>
      <c r="J685" s="45"/>
      <c r="K685" s="45"/>
      <c r="L685" s="45"/>
    </row>
    <row r="686" spans="3:12" x14ac:dyDescent="0.25">
      <c r="C686" s="45"/>
      <c r="D686" s="45"/>
      <c r="E686" s="45"/>
      <c r="F686" s="45"/>
      <c r="G686" s="45"/>
      <c r="H686" s="45"/>
      <c r="I686" s="45"/>
      <c r="J686" s="45"/>
      <c r="K686" s="45"/>
      <c r="L686" s="45"/>
    </row>
    <row r="687" spans="3:12" x14ac:dyDescent="0.25">
      <c r="C687" s="45"/>
      <c r="D687" s="45"/>
      <c r="E687" s="45"/>
      <c r="F687" s="45"/>
      <c r="G687" s="45"/>
      <c r="H687" s="45"/>
      <c r="I687" s="45"/>
      <c r="J687" s="45"/>
      <c r="K687" s="45"/>
      <c r="L687" s="45"/>
    </row>
    <row r="688" spans="3:12" x14ac:dyDescent="0.25">
      <c r="C688" s="45"/>
      <c r="D688" s="45"/>
      <c r="E688" s="45"/>
      <c r="F688" s="45"/>
      <c r="G688" s="45"/>
      <c r="H688" s="45"/>
      <c r="I688" s="45"/>
      <c r="J688" s="45"/>
      <c r="K688" s="45"/>
      <c r="L688" s="45"/>
    </row>
    <row r="689" spans="3:12" x14ac:dyDescent="0.25">
      <c r="C689" s="45"/>
      <c r="D689" s="45"/>
      <c r="E689" s="45"/>
      <c r="F689" s="45"/>
      <c r="G689" s="45"/>
      <c r="H689" s="45"/>
      <c r="I689" s="45"/>
      <c r="J689" s="45"/>
      <c r="K689" s="45"/>
      <c r="L689" s="45"/>
    </row>
    <row r="690" spans="3:12" x14ac:dyDescent="0.25">
      <c r="C690" s="45"/>
      <c r="D690" s="45"/>
      <c r="E690" s="45"/>
      <c r="F690" s="45"/>
      <c r="G690" s="45"/>
      <c r="H690" s="45"/>
      <c r="I690" s="45"/>
      <c r="J690" s="45"/>
      <c r="K690" s="45"/>
      <c r="L690" s="45"/>
    </row>
    <row r="691" spans="3:12" x14ac:dyDescent="0.25">
      <c r="C691" s="45"/>
      <c r="D691" s="45"/>
      <c r="E691" s="45"/>
      <c r="F691" s="45"/>
      <c r="G691" s="45"/>
      <c r="H691" s="45"/>
      <c r="I691" s="45"/>
      <c r="J691" s="45"/>
      <c r="K691" s="45"/>
      <c r="L691" s="45"/>
    </row>
    <row r="692" spans="3:12" x14ac:dyDescent="0.25">
      <c r="C692" s="45"/>
      <c r="D692" s="45"/>
      <c r="E692" s="45"/>
      <c r="F692" s="45"/>
      <c r="G692" s="45"/>
      <c r="H692" s="45"/>
      <c r="I692" s="45"/>
      <c r="J692" s="45"/>
      <c r="K692" s="45"/>
      <c r="L692" s="45"/>
    </row>
    <row r="693" spans="3:12" x14ac:dyDescent="0.25">
      <c r="C693" s="45"/>
      <c r="D693" s="45"/>
      <c r="E693" s="45"/>
      <c r="F693" s="45"/>
      <c r="G693" s="45"/>
      <c r="H693" s="45"/>
      <c r="I693" s="45"/>
      <c r="J693" s="45"/>
      <c r="K693" s="45"/>
      <c r="L693" s="45"/>
    </row>
    <row r="694" spans="3:12" x14ac:dyDescent="0.25">
      <c r="C694" s="45"/>
      <c r="D694" s="45"/>
      <c r="E694" s="45"/>
      <c r="F694" s="45"/>
      <c r="G694" s="45"/>
      <c r="H694" s="45"/>
      <c r="I694" s="45"/>
      <c r="J694" s="45"/>
      <c r="K694" s="45"/>
      <c r="L694" s="45"/>
    </row>
    <row r="695" spans="3:12" x14ac:dyDescent="0.25">
      <c r="C695" s="45"/>
      <c r="D695" s="45"/>
      <c r="E695" s="45"/>
      <c r="F695" s="45"/>
      <c r="G695" s="45"/>
      <c r="H695" s="45"/>
      <c r="I695" s="45"/>
      <c r="J695" s="45"/>
      <c r="K695" s="45"/>
      <c r="L695" s="45"/>
    </row>
    <row r="696" spans="3:12" x14ac:dyDescent="0.25">
      <c r="C696" s="45"/>
      <c r="D696" s="45"/>
      <c r="E696" s="45"/>
      <c r="F696" s="45"/>
      <c r="G696" s="45"/>
      <c r="H696" s="45"/>
      <c r="I696" s="45"/>
      <c r="J696" s="45"/>
      <c r="K696" s="45"/>
      <c r="L696" s="45"/>
    </row>
    <row r="697" spans="3:12" x14ac:dyDescent="0.25">
      <c r="C697" s="45"/>
      <c r="D697" s="45"/>
      <c r="E697" s="45"/>
      <c r="F697" s="45"/>
      <c r="G697" s="45"/>
      <c r="H697" s="45"/>
      <c r="I697" s="45"/>
      <c r="J697" s="45"/>
      <c r="K697" s="45"/>
      <c r="L697" s="45"/>
    </row>
    <row r="698" spans="3:12" x14ac:dyDescent="0.25">
      <c r="C698" s="45"/>
      <c r="D698" s="45"/>
      <c r="E698" s="45"/>
      <c r="F698" s="45"/>
      <c r="G698" s="45"/>
      <c r="H698" s="45"/>
      <c r="I698" s="45"/>
      <c r="J698" s="45"/>
      <c r="K698" s="45"/>
      <c r="L698" s="45"/>
    </row>
    <row r="699" spans="3:12" x14ac:dyDescent="0.25">
      <c r="C699" s="45"/>
      <c r="D699" s="45"/>
      <c r="E699" s="45"/>
      <c r="F699" s="45"/>
      <c r="G699" s="45"/>
      <c r="H699" s="45"/>
      <c r="I699" s="45"/>
      <c r="J699" s="45"/>
      <c r="K699" s="45"/>
      <c r="L699" s="45"/>
    </row>
    <row r="700" spans="3:12" x14ac:dyDescent="0.25">
      <c r="C700" s="45"/>
      <c r="D700" s="45"/>
      <c r="E700" s="45"/>
      <c r="F700" s="45"/>
      <c r="G700" s="45"/>
      <c r="H700" s="45"/>
      <c r="I700" s="45"/>
      <c r="J700" s="45"/>
      <c r="K700" s="45"/>
      <c r="L700" s="45"/>
    </row>
    <row r="701" spans="3:12" x14ac:dyDescent="0.25">
      <c r="C701" s="45"/>
      <c r="D701" s="45"/>
      <c r="E701" s="45"/>
      <c r="F701" s="45"/>
      <c r="G701" s="45"/>
      <c r="H701" s="45"/>
      <c r="I701" s="45"/>
      <c r="J701" s="45"/>
      <c r="K701" s="45"/>
      <c r="L701" s="45"/>
    </row>
    <row r="702" spans="3:12" x14ac:dyDescent="0.25">
      <c r="C702" s="45"/>
      <c r="D702" s="45"/>
      <c r="E702" s="45"/>
      <c r="F702" s="45"/>
      <c r="G702" s="45"/>
      <c r="H702" s="45"/>
      <c r="I702" s="45"/>
      <c r="J702" s="45"/>
      <c r="K702" s="45"/>
      <c r="L702" s="45"/>
    </row>
    <row r="703" spans="3:12" x14ac:dyDescent="0.25">
      <c r="C703" s="45"/>
      <c r="D703" s="45"/>
      <c r="E703" s="45"/>
      <c r="F703" s="45"/>
      <c r="G703" s="45"/>
      <c r="H703" s="45"/>
      <c r="I703" s="45"/>
      <c r="J703" s="45"/>
      <c r="K703" s="45"/>
      <c r="L703" s="45"/>
    </row>
    <row r="704" spans="3:12" x14ac:dyDescent="0.25">
      <c r="C704" s="45"/>
      <c r="D704" s="45"/>
      <c r="E704" s="45"/>
      <c r="F704" s="45"/>
      <c r="G704" s="45"/>
      <c r="H704" s="45"/>
      <c r="I704" s="45"/>
      <c r="J704" s="45"/>
      <c r="K704" s="45"/>
      <c r="L704" s="45"/>
    </row>
    <row r="705" spans="3:12" x14ac:dyDescent="0.25">
      <c r="C705" s="45"/>
      <c r="D705" s="45"/>
      <c r="E705" s="45"/>
      <c r="F705" s="45"/>
      <c r="G705" s="45"/>
      <c r="H705" s="45"/>
      <c r="I705" s="45"/>
      <c r="J705" s="45"/>
      <c r="K705" s="45"/>
      <c r="L705" s="45"/>
    </row>
    <row r="706" spans="3:12" x14ac:dyDescent="0.25">
      <c r="C706" s="45"/>
      <c r="D706" s="45"/>
      <c r="E706" s="45"/>
      <c r="F706" s="45"/>
      <c r="G706" s="45"/>
      <c r="H706" s="45"/>
      <c r="I706" s="45"/>
      <c r="J706" s="45"/>
      <c r="K706" s="45"/>
      <c r="L706" s="45"/>
    </row>
    <row r="707" spans="3:12" x14ac:dyDescent="0.25">
      <c r="C707" s="45"/>
      <c r="D707" s="45"/>
      <c r="E707" s="45"/>
      <c r="F707" s="45"/>
      <c r="G707" s="45"/>
      <c r="H707" s="45"/>
      <c r="I707" s="45"/>
      <c r="J707" s="45"/>
      <c r="K707" s="45"/>
      <c r="L707" s="45"/>
    </row>
    <row r="708" spans="3:12" x14ac:dyDescent="0.25">
      <c r="C708" s="45"/>
      <c r="D708" s="45"/>
      <c r="E708" s="45"/>
      <c r="F708" s="45"/>
      <c r="G708" s="45"/>
      <c r="H708" s="45"/>
      <c r="I708" s="45"/>
      <c r="J708" s="45"/>
      <c r="K708" s="45"/>
      <c r="L708" s="45"/>
    </row>
    <row r="709" spans="3:12" x14ac:dyDescent="0.25">
      <c r="C709" s="45"/>
      <c r="D709" s="45"/>
      <c r="E709" s="45"/>
      <c r="F709" s="45"/>
      <c r="G709" s="45"/>
      <c r="H709" s="45"/>
      <c r="I709" s="45"/>
      <c r="J709" s="45"/>
      <c r="K709" s="45"/>
      <c r="L709" s="45"/>
    </row>
    <row r="710" spans="3:12" x14ac:dyDescent="0.25">
      <c r="C710" s="45"/>
      <c r="D710" s="45"/>
      <c r="E710" s="45"/>
      <c r="F710" s="45"/>
      <c r="G710" s="45"/>
      <c r="H710" s="45"/>
      <c r="I710" s="45"/>
      <c r="J710" s="45"/>
      <c r="K710" s="45"/>
      <c r="L710" s="45"/>
    </row>
    <row r="711" spans="3:12" x14ac:dyDescent="0.25">
      <c r="C711" s="45"/>
      <c r="D711" s="45"/>
      <c r="E711" s="45"/>
      <c r="F711" s="45"/>
      <c r="G711" s="45"/>
      <c r="H711" s="45"/>
      <c r="I711" s="45"/>
      <c r="J711" s="45"/>
      <c r="K711" s="45"/>
      <c r="L711" s="45"/>
    </row>
    <row r="712" spans="3:12" x14ac:dyDescent="0.25">
      <c r="C712" s="45"/>
      <c r="D712" s="45"/>
      <c r="E712" s="45"/>
      <c r="F712" s="45"/>
      <c r="G712" s="45"/>
      <c r="H712" s="45"/>
      <c r="I712" s="45"/>
      <c r="J712" s="45"/>
      <c r="K712" s="45"/>
      <c r="L712" s="45"/>
    </row>
    <row r="713" spans="3:12" x14ac:dyDescent="0.25">
      <c r="C713" s="45"/>
      <c r="D713" s="45"/>
      <c r="E713" s="45"/>
      <c r="F713" s="45"/>
      <c r="G713" s="45"/>
      <c r="H713" s="45"/>
      <c r="I713" s="45"/>
      <c r="J713" s="45"/>
      <c r="K713" s="45"/>
      <c r="L713" s="45"/>
    </row>
    <row r="714" spans="3:12" x14ac:dyDescent="0.25">
      <c r="C714" s="45"/>
      <c r="D714" s="45"/>
      <c r="E714" s="45"/>
      <c r="F714" s="45"/>
      <c r="G714" s="45"/>
      <c r="H714" s="45"/>
      <c r="I714" s="45"/>
      <c r="J714" s="45"/>
      <c r="K714" s="45"/>
      <c r="L714" s="45"/>
    </row>
    <row r="715" spans="3:12" x14ac:dyDescent="0.25">
      <c r="C715" s="45"/>
      <c r="D715" s="45"/>
      <c r="E715" s="45"/>
      <c r="F715" s="45"/>
      <c r="G715" s="45"/>
      <c r="H715" s="45"/>
      <c r="I715" s="45"/>
      <c r="J715" s="45"/>
      <c r="K715" s="45"/>
      <c r="L715" s="45"/>
    </row>
    <row r="716" spans="3:12" x14ac:dyDescent="0.25">
      <c r="C716" s="45"/>
      <c r="D716" s="45"/>
      <c r="E716" s="45"/>
      <c r="F716" s="45"/>
      <c r="G716" s="45"/>
      <c r="H716" s="45"/>
      <c r="I716" s="45"/>
      <c r="J716" s="45"/>
      <c r="K716" s="45"/>
      <c r="L716" s="45"/>
    </row>
    <row r="717" spans="3:12" x14ac:dyDescent="0.25">
      <c r="C717" s="45"/>
      <c r="D717" s="45"/>
      <c r="E717" s="45"/>
      <c r="F717" s="45"/>
      <c r="G717" s="45"/>
      <c r="H717" s="45"/>
      <c r="I717" s="45"/>
      <c r="J717" s="45"/>
      <c r="K717" s="45"/>
      <c r="L717" s="45"/>
    </row>
    <row r="718" spans="3:12" x14ac:dyDescent="0.25">
      <c r="C718" s="45"/>
      <c r="D718" s="45"/>
      <c r="E718" s="45"/>
      <c r="F718" s="45"/>
      <c r="G718" s="45"/>
      <c r="H718" s="45"/>
      <c r="I718" s="45"/>
      <c r="J718" s="45"/>
      <c r="K718" s="45"/>
      <c r="L718" s="45"/>
    </row>
    <row r="719" spans="3:12" x14ac:dyDescent="0.25">
      <c r="C719" s="45"/>
      <c r="D719" s="45"/>
      <c r="E719" s="45"/>
      <c r="F719" s="45"/>
      <c r="G719" s="45"/>
      <c r="H719" s="45"/>
      <c r="I719" s="45"/>
      <c r="J719" s="45"/>
      <c r="K719" s="45"/>
      <c r="L719" s="45"/>
    </row>
    <row r="720" spans="3:12" x14ac:dyDescent="0.25">
      <c r="C720" s="45"/>
      <c r="D720" s="45"/>
      <c r="E720" s="45"/>
      <c r="F720" s="45"/>
      <c r="G720" s="45"/>
      <c r="H720" s="45"/>
      <c r="I720" s="45"/>
      <c r="J720" s="45"/>
      <c r="K720" s="45"/>
      <c r="L720" s="45"/>
    </row>
    <row r="721" spans="3:12" x14ac:dyDescent="0.25">
      <c r="C721" s="45"/>
      <c r="D721" s="45"/>
      <c r="E721" s="45"/>
      <c r="F721" s="45"/>
      <c r="G721" s="45"/>
      <c r="H721" s="45"/>
      <c r="I721" s="45"/>
      <c r="J721" s="45"/>
      <c r="K721" s="45"/>
      <c r="L721" s="45"/>
    </row>
    <row r="722" spans="3:12" x14ac:dyDescent="0.25">
      <c r="C722" s="45"/>
      <c r="D722" s="45"/>
      <c r="E722" s="45"/>
      <c r="F722" s="45"/>
      <c r="G722" s="45"/>
      <c r="H722" s="45"/>
      <c r="I722" s="45"/>
      <c r="J722" s="45"/>
      <c r="K722" s="45"/>
      <c r="L722" s="45"/>
    </row>
    <row r="723" spans="3:12" x14ac:dyDescent="0.25">
      <c r="C723" s="45"/>
      <c r="D723" s="45"/>
      <c r="E723" s="45"/>
      <c r="F723" s="45"/>
      <c r="G723" s="45"/>
      <c r="H723" s="45"/>
      <c r="I723" s="45"/>
      <c r="J723" s="45"/>
      <c r="K723" s="45"/>
      <c r="L723" s="45"/>
    </row>
    <row r="724" spans="3:12" x14ac:dyDescent="0.25">
      <c r="C724" s="45"/>
      <c r="D724" s="45"/>
      <c r="E724" s="45"/>
      <c r="F724" s="45"/>
      <c r="G724" s="45"/>
      <c r="H724" s="45"/>
      <c r="I724" s="45"/>
      <c r="J724" s="45"/>
      <c r="K724" s="45"/>
      <c r="L724" s="45"/>
    </row>
    <row r="725" spans="3:12" x14ac:dyDescent="0.25">
      <c r="C725" s="45"/>
      <c r="D725" s="45"/>
      <c r="E725" s="45"/>
      <c r="F725" s="45"/>
      <c r="G725" s="45"/>
      <c r="H725" s="45"/>
      <c r="I725" s="45"/>
      <c r="J725" s="45"/>
      <c r="K725" s="45"/>
      <c r="L725" s="45"/>
    </row>
    <row r="726" spans="3:12" x14ac:dyDescent="0.25">
      <c r="C726" s="45"/>
      <c r="D726" s="45"/>
      <c r="E726" s="45"/>
      <c r="F726" s="45"/>
      <c r="G726" s="45"/>
      <c r="H726" s="45"/>
      <c r="I726" s="45"/>
      <c r="J726" s="45"/>
      <c r="K726" s="45"/>
      <c r="L726" s="45"/>
    </row>
    <row r="727" spans="3:12" x14ac:dyDescent="0.25">
      <c r="C727" s="45"/>
      <c r="D727" s="45"/>
      <c r="E727" s="45"/>
      <c r="F727" s="45"/>
      <c r="G727" s="45"/>
      <c r="H727" s="45"/>
      <c r="I727" s="45"/>
      <c r="J727" s="45"/>
      <c r="K727" s="45"/>
      <c r="L727" s="45"/>
    </row>
    <row r="728" spans="3:12" x14ac:dyDescent="0.25">
      <c r="C728" s="45"/>
      <c r="D728" s="45"/>
      <c r="E728" s="45"/>
      <c r="F728" s="45"/>
      <c r="G728" s="45"/>
      <c r="H728" s="45"/>
      <c r="I728" s="45"/>
      <c r="J728" s="45"/>
      <c r="K728" s="45"/>
      <c r="L728" s="45"/>
    </row>
    <row r="729" spans="3:12" x14ac:dyDescent="0.25">
      <c r="C729" s="45"/>
      <c r="D729" s="45"/>
      <c r="E729" s="45"/>
      <c r="F729" s="45"/>
      <c r="G729" s="45"/>
      <c r="H729" s="45"/>
      <c r="I729" s="45"/>
      <c r="J729" s="45"/>
      <c r="K729" s="45"/>
      <c r="L729" s="45"/>
    </row>
    <row r="730" spans="3:12" x14ac:dyDescent="0.25">
      <c r="C730" s="45"/>
      <c r="D730" s="45"/>
      <c r="E730" s="45"/>
      <c r="F730" s="45"/>
      <c r="G730" s="45"/>
      <c r="H730" s="45"/>
      <c r="I730" s="45"/>
      <c r="J730" s="45"/>
      <c r="K730" s="45"/>
      <c r="L730" s="45"/>
    </row>
    <row r="731" spans="3:12" x14ac:dyDescent="0.25">
      <c r="C731" s="45"/>
      <c r="D731" s="45"/>
      <c r="E731" s="45"/>
      <c r="F731" s="45"/>
      <c r="G731" s="45"/>
      <c r="H731" s="45"/>
      <c r="I731" s="45"/>
      <c r="J731" s="45"/>
      <c r="K731" s="45"/>
      <c r="L731" s="45"/>
    </row>
    <row r="732" spans="3:12" x14ac:dyDescent="0.25">
      <c r="C732" s="45"/>
      <c r="D732" s="45"/>
      <c r="E732" s="45"/>
      <c r="F732" s="45"/>
      <c r="G732" s="45"/>
      <c r="H732" s="45"/>
      <c r="I732" s="45"/>
      <c r="J732" s="45"/>
      <c r="K732" s="45"/>
      <c r="L732" s="45"/>
    </row>
    <row r="733" spans="3:12" x14ac:dyDescent="0.25">
      <c r="C733" s="45"/>
      <c r="D733" s="45"/>
      <c r="E733" s="45"/>
      <c r="F733" s="45"/>
      <c r="G733" s="45"/>
      <c r="H733" s="45"/>
      <c r="I733" s="45"/>
      <c r="J733" s="45"/>
      <c r="K733" s="45"/>
      <c r="L733" s="45"/>
    </row>
    <row r="734" spans="3:12" x14ac:dyDescent="0.25">
      <c r="C734" s="45"/>
      <c r="D734" s="45"/>
      <c r="E734" s="45"/>
      <c r="F734" s="45"/>
      <c r="G734" s="45"/>
      <c r="H734" s="45"/>
      <c r="I734" s="45"/>
      <c r="J734" s="45"/>
      <c r="K734" s="45"/>
      <c r="L734" s="45"/>
    </row>
    <row r="735" spans="3:12" x14ac:dyDescent="0.25">
      <c r="C735" s="45"/>
      <c r="D735" s="45"/>
      <c r="E735" s="45"/>
      <c r="F735" s="45"/>
      <c r="G735" s="45"/>
      <c r="H735" s="45"/>
      <c r="I735" s="45"/>
      <c r="J735" s="45"/>
      <c r="K735" s="45"/>
      <c r="L735" s="45"/>
    </row>
    <row r="736" spans="3:12" x14ac:dyDescent="0.25">
      <c r="C736" s="45"/>
      <c r="D736" s="45"/>
      <c r="E736" s="45"/>
      <c r="F736" s="45"/>
      <c r="G736" s="45"/>
      <c r="H736" s="45"/>
      <c r="I736" s="45"/>
      <c r="J736" s="45"/>
      <c r="K736" s="45"/>
      <c r="L736" s="45"/>
    </row>
    <row r="737" spans="3:12" x14ac:dyDescent="0.25">
      <c r="C737" s="45"/>
      <c r="D737" s="45"/>
      <c r="E737" s="45"/>
      <c r="F737" s="45"/>
      <c r="G737" s="45"/>
      <c r="H737" s="45"/>
      <c r="I737" s="45"/>
      <c r="J737" s="45"/>
      <c r="K737" s="45"/>
      <c r="L737" s="45"/>
    </row>
    <row r="738" spans="3:12" x14ac:dyDescent="0.25">
      <c r="C738" s="45"/>
      <c r="D738" s="45"/>
      <c r="E738" s="45"/>
      <c r="F738" s="45"/>
      <c r="G738" s="45"/>
      <c r="H738" s="45"/>
      <c r="I738" s="45"/>
      <c r="J738" s="45"/>
      <c r="K738" s="45"/>
      <c r="L738" s="45"/>
    </row>
    <row r="739" spans="3:12" x14ac:dyDescent="0.25">
      <c r="C739" s="45"/>
      <c r="D739" s="45"/>
      <c r="E739" s="45"/>
      <c r="F739" s="45"/>
      <c r="G739" s="45"/>
      <c r="H739" s="45"/>
      <c r="I739" s="45"/>
      <c r="J739" s="45"/>
      <c r="K739" s="45"/>
      <c r="L739" s="45"/>
    </row>
    <row r="740" spans="3:12" x14ac:dyDescent="0.25">
      <c r="C740" s="45"/>
      <c r="D740" s="45"/>
      <c r="E740" s="45"/>
      <c r="F740" s="45"/>
      <c r="G740" s="45"/>
      <c r="H740" s="45"/>
      <c r="I740" s="45"/>
      <c r="J740" s="45"/>
      <c r="K740" s="45"/>
      <c r="L740" s="45"/>
    </row>
    <row r="741" spans="3:12" x14ac:dyDescent="0.25">
      <c r="C741" s="45"/>
      <c r="D741" s="45"/>
      <c r="E741" s="45"/>
      <c r="F741" s="45"/>
      <c r="G741" s="45"/>
      <c r="H741" s="45"/>
      <c r="I741" s="45"/>
      <c r="J741" s="45"/>
      <c r="K741" s="45"/>
      <c r="L741" s="45"/>
    </row>
    <row r="742" spans="3:12" x14ac:dyDescent="0.25">
      <c r="C742" s="45"/>
      <c r="D742" s="45"/>
      <c r="E742" s="45"/>
      <c r="F742" s="45"/>
      <c r="G742" s="45"/>
      <c r="H742" s="45"/>
      <c r="I742" s="45"/>
      <c r="J742" s="45"/>
      <c r="K742" s="45"/>
      <c r="L742" s="45"/>
    </row>
    <row r="743" spans="3:12" x14ac:dyDescent="0.25">
      <c r="C743" s="45"/>
      <c r="D743" s="45"/>
      <c r="E743" s="45"/>
      <c r="F743" s="45"/>
      <c r="G743" s="45"/>
      <c r="H743" s="45"/>
      <c r="I743" s="45"/>
      <c r="J743" s="45"/>
      <c r="K743" s="45"/>
      <c r="L743" s="45"/>
    </row>
    <row r="744" spans="3:12" x14ac:dyDescent="0.25">
      <c r="C744" s="45"/>
      <c r="D744" s="45"/>
      <c r="E744" s="45"/>
      <c r="F744" s="45"/>
      <c r="G744" s="45"/>
      <c r="H744" s="45"/>
      <c r="I744" s="45"/>
      <c r="J744" s="45"/>
      <c r="K744" s="45"/>
      <c r="L744" s="45"/>
    </row>
    <row r="745" spans="3:12" x14ac:dyDescent="0.25">
      <c r="C745" s="45"/>
      <c r="D745" s="45"/>
      <c r="E745" s="45"/>
      <c r="F745" s="45"/>
      <c r="G745" s="45"/>
      <c r="H745" s="45"/>
      <c r="I745" s="45"/>
      <c r="J745" s="45"/>
      <c r="K745" s="45"/>
      <c r="L745" s="45"/>
    </row>
    <row r="746" spans="3:12" x14ac:dyDescent="0.25">
      <c r="C746" s="45"/>
      <c r="D746" s="45"/>
      <c r="E746" s="45"/>
      <c r="F746" s="45"/>
      <c r="G746" s="45"/>
      <c r="H746" s="45"/>
      <c r="I746" s="45"/>
      <c r="J746" s="45"/>
      <c r="K746" s="45"/>
      <c r="L746" s="45"/>
    </row>
    <row r="747" spans="3:12" x14ac:dyDescent="0.25">
      <c r="C747" s="45"/>
      <c r="D747" s="45"/>
      <c r="E747" s="45"/>
      <c r="F747" s="45"/>
      <c r="G747" s="45"/>
      <c r="H747" s="45"/>
      <c r="I747" s="45"/>
      <c r="J747" s="45"/>
      <c r="K747" s="45"/>
      <c r="L747" s="45"/>
    </row>
    <row r="748" spans="3:12" x14ac:dyDescent="0.25">
      <c r="C748" s="45"/>
      <c r="D748" s="45"/>
      <c r="E748" s="45"/>
      <c r="F748" s="45"/>
      <c r="G748" s="45"/>
      <c r="H748" s="45"/>
      <c r="I748" s="45"/>
      <c r="J748" s="45"/>
      <c r="K748" s="45"/>
      <c r="L748" s="45"/>
    </row>
    <row r="749" spans="3:12" x14ac:dyDescent="0.25">
      <c r="C749" s="45"/>
      <c r="D749" s="45"/>
      <c r="E749" s="45"/>
      <c r="F749" s="45"/>
      <c r="G749" s="45"/>
      <c r="H749" s="45"/>
      <c r="I749" s="45"/>
      <c r="J749" s="45"/>
      <c r="K749" s="45"/>
      <c r="L749" s="45"/>
    </row>
    <row r="750" spans="3:12" x14ac:dyDescent="0.25">
      <c r="C750" s="45"/>
      <c r="D750" s="45"/>
      <c r="E750" s="45"/>
      <c r="F750" s="45"/>
      <c r="G750" s="45"/>
      <c r="H750" s="45"/>
      <c r="I750" s="45"/>
      <c r="J750" s="45"/>
      <c r="K750" s="45"/>
      <c r="L750" s="45"/>
    </row>
    <row r="751" spans="3:12" x14ac:dyDescent="0.25">
      <c r="C751" s="45"/>
      <c r="D751" s="45"/>
      <c r="E751" s="45"/>
      <c r="F751" s="45"/>
      <c r="G751" s="45"/>
      <c r="H751" s="45"/>
      <c r="I751" s="45"/>
      <c r="J751" s="45"/>
      <c r="K751" s="45"/>
      <c r="L751" s="45"/>
    </row>
    <row r="752" spans="3:12" x14ac:dyDescent="0.25">
      <c r="C752" s="45"/>
      <c r="D752" s="45"/>
      <c r="E752" s="45"/>
      <c r="F752" s="45"/>
      <c r="G752" s="45"/>
      <c r="H752" s="45"/>
      <c r="I752" s="45"/>
      <c r="J752" s="45"/>
      <c r="K752" s="45"/>
      <c r="L752" s="45"/>
    </row>
    <row r="753" spans="3:12" x14ac:dyDescent="0.25">
      <c r="C753" s="45"/>
      <c r="D753" s="45"/>
      <c r="E753" s="45"/>
      <c r="F753" s="45"/>
      <c r="G753" s="45"/>
      <c r="H753" s="45"/>
      <c r="I753" s="45"/>
      <c r="J753" s="45"/>
      <c r="K753" s="45"/>
      <c r="L753" s="45"/>
    </row>
    <row r="754" spans="3:12" x14ac:dyDescent="0.25">
      <c r="C754" s="45"/>
      <c r="D754" s="45"/>
      <c r="E754" s="45"/>
      <c r="F754" s="45"/>
      <c r="G754" s="45"/>
      <c r="H754" s="45"/>
      <c r="I754" s="45"/>
      <c r="J754" s="45"/>
      <c r="K754" s="45"/>
      <c r="L754" s="45"/>
    </row>
    <row r="755" spans="3:12" x14ac:dyDescent="0.25">
      <c r="C755" s="45"/>
      <c r="D755" s="45"/>
      <c r="E755" s="45"/>
      <c r="F755" s="45"/>
      <c r="G755" s="45"/>
      <c r="H755" s="45"/>
      <c r="I755" s="45"/>
      <c r="J755" s="45"/>
      <c r="K755" s="45"/>
      <c r="L755" s="45"/>
    </row>
    <row r="756" spans="3:12" x14ac:dyDescent="0.25">
      <c r="C756" s="45"/>
      <c r="D756" s="45"/>
      <c r="E756" s="45"/>
      <c r="F756" s="45"/>
      <c r="G756" s="45"/>
      <c r="H756" s="45"/>
      <c r="I756" s="45"/>
      <c r="J756" s="45"/>
      <c r="K756" s="45"/>
      <c r="L756" s="45"/>
    </row>
    <row r="757" spans="3:12" x14ac:dyDescent="0.25">
      <c r="C757" s="45"/>
      <c r="D757" s="45"/>
      <c r="E757" s="45"/>
      <c r="F757" s="45"/>
      <c r="G757" s="45"/>
      <c r="H757" s="45"/>
      <c r="I757" s="45"/>
      <c r="J757" s="45"/>
      <c r="K757" s="45"/>
      <c r="L757" s="45"/>
    </row>
    <row r="758" spans="3:12" x14ac:dyDescent="0.25">
      <c r="C758" s="45"/>
      <c r="D758" s="45"/>
      <c r="E758" s="45"/>
      <c r="F758" s="45"/>
      <c r="G758" s="45"/>
      <c r="H758" s="45"/>
      <c r="I758" s="45"/>
      <c r="J758" s="45"/>
      <c r="K758" s="45"/>
      <c r="L758" s="45"/>
    </row>
    <row r="759" spans="3:12" x14ac:dyDescent="0.25">
      <c r="C759" s="45"/>
      <c r="D759" s="45"/>
      <c r="E759" s="45"/>
      <c r="F759" s="45"/>
      <c r="G759" s="45"/>
      <c r="H759" s="45"/>
      <c r="I759" s="45"/>
      <c r="J759" s="45"/>
      <c r="K759" s="45"/>
      <c r="L759" s="45"/>
    </row>
    <row r="760" spans="3:12" x14ac:dyDescent="0.25">
      <c r="C760" s="45"/>
      <c r="D760" s="45"/>
      <c r="E760" s="45"/>
      <c r="F760" s="45"/>
      <c r="G760" s="45"/>
      <c r="H760" s="45"/>
      <c r="I760" s="45"/>
      <c r="J760" s="45"/>
      <c r="K760" s="45"/>
      <c r="L760" s="45"/>
    </row>
    <row r="761" spans="3:12" x14ac:dyDescent="0.25">
      <c r="C761" s="45"/>
      <c r="D761" s="45"/>
      <c r="E761" s="45"/>
      <c r="F761" s="45"/>
      <c r="G761" s="45"/>
      <c r="H761" s="45"/>
      <c r="I761" s="45"/>
      <c r="J761" s="45"/>
      <c r="K761" s="45"/>
      <c r="L761" s="45"/>
    </row>
    <row r="762" spans="3:12" x14ac:dyDescent="0.25">
      <c r="C762" s="45"/>
      <c r="D762" s="45"/>
      <c r="E762" s="45"/>
      <c r="F762" s="45"/>
      <c r="G762" s="45"/>
      <c r="H762" s="45"/>
      <c r="I762" s="45"/>
      <c r="J762" s="45"/>
      <c r="K762" s="45"/>
      <c r="L762" s="45"/>
    </row>
    <row r="763" spans="3:12" x14ac:dyDescent="0.25">
      <c r="C763" s="45"/>
      <c r="D763" s="45"/>
      <c r="E763" s="45"/>
      <c r="F763" s="45"/>
      <c r="G763" s="45"/>
      <c r="H763" s="45"/>
      <c r="I763" s="45"/>
      <c r="J763" s="45"/>
      <c r="K763" s="45"/>
      <c r="L763" s="45"/>
    </row>
    <row r="764" spans="3:12" x14ac:dyDescent="0.25">
      <c r="C764" s="45"/>
      <c r="D764" s="45"/>
      <c r="E764" s="45"/>
      <c r="F764" s="45"/>
      <c r="G764" s="45"/>
      <c r="H764" s="45"/>
      <c r="I764" s="45"/>
      <c r="J764" s="45"/>
      <c r="K764" s="45"/>
      <c r="L764" s="45"/>
    </row>
    <row r="765" spans="3:12" x14ac:dyDescent="0.25">
      <c r="C765" s="45"/>
      <c r="D765" s="45"/>
      <c r="E765" s="45"/>
      <c r="F765" s="45"/>
      <c r="G765" s="45"/>
      <c r="H765" s="45"/>
      <c r="I765" s="45"/>
      <c r="J765" s="45"/>
      <c r="K765" s="45"/>
      <c r="L765" s="45"/>
    </row>
    <row r="766" spans="3:12" x14ac:dyDescent="0.25">
      <c r="C766" s="45"/>
      <c r="D766" s="45"/>
      <c r="E766" s="45"/>
      <c r="F766" s="45"/>
      <c r="G766" s="45"/>
      <c r="H766" s="45"/>
      <c r="I766" s="45"/>
      <c r="J766" s="45"/>
      <c r="K766" s="45"/>
      <c r="L766" s="45"/>
    </row>
    <row r="767" spans="3:12" x14ac:dyDescent="0.25">
      <c r="C767" s="45"/>
      <c r="D767" s="45"/>
      <c r="E767" s="45"/>
      <c r="F767" s="45"/>
      <c r="G767" s="45"/>
      <c r="H767" s="45"/>
      <c r="I767" s="45"/>
      <c r="J767" s="45"/>
      <c r="K767" s="45"/>
      <c r="L767" s="45"/>
    </row>
    <row r="768" spans="3:12" x14ac:dyDescent="0.25">
      <c r="C768" s="45"/>
      <c r="D768" s="45"/>
      <c r="E768" s="45"/>
      <c r="F768" s="45"/>
      <c r="G768" s="45"/>
      <c r="H768" s="45"/>
      <c r="I768" s="45"/>
      <c r="J768" s="45"/>
      <c r="K768" s="45"/>
      <c r="L768" s="45"/>
    </row>
    <row r="769" spans="3:12" x14ac:dyDescent="0.25">
      <c r="C769" s="45"/>
      <c r="D769" s="45"/>
      <c r="E769" s="45"/>
      <c r="F769" s="45"/>
      <c r="G769" s="45"/>
      <c r="H769" s="45"/>
      <c r="I769" s="45"/>
      <c r="J769" s="45"/>
      <c r="K769" s="45"/>
      <c r="L769" s="45"/>
    </row>
    <row r="770" spans="3:12" x14ac:dyDescent="0.25">
      <c r="C770" s="45"/>
      <c r="D770" s="45"/>
      <c r="E770" s="45"/>
      <c r="F770" s="45"/>
      <c r="G770" s="45"/>
      <c r="H770" s="45"/>
      <c r="I770" s="45"/>
      <c r="J770" s="45"/>
      <c r="K770" s="45"/>
      <c r="L770" s="45"/>
    </row>
    <row r="771" spans="3:12" x14ac:dyDescent="0.25">
      <c r="C771" s="45"/>
      <c r="D771" s="45"/>
      <c r="E771" s="45"/>
      <c r="F771" s="45"/>
      <c r="G771" s="45"/>
      <c r="H771" s="45"/>
      <c r="I771" s="45"/>
      <c r="J771" s="45"/>
      <c r="K771" s="45"/>
      <c r="L771" s="45"/>
    </row>
    <row r="772" spans="3:12" x14ac:dyDescent="0.25">
      <c r="C772" s="45"/>
      <c r="D772" s="45"/>
      <c r="E772" s="45"/>
      <c r="F772" s="45"/>
      <c r="G772" s="45"/>
      <c r="H772" s="45"/>
      <c r="I772" s="45"/>
      <c r="J772" s="45"/>
      <c r="K772" s="45"/>
      <c r="L772" s="45"/>
    </row>
    <row r="773" spans="3:12" x14ac:dyDescent="0.25">
      <c r="C773" s="45"/>
      <c r="D773" s="45"/>
      <c r="E773" s="45"/>
      <c r="F773" s="45"/>
      <c r="G773" s="45"/>
      <c r="H773" s="45"/>
      <c r="I773" s="45"/>
      <c r="J773" s="45"/>
      <c r="K773" s="45"/>
      <c r="L773" s="45"/>
    </row>
    <row r="774" spans="3:12" x14ac:dyDescent="0.25">
      <c r="C774" s="45"/>
      <c r="D774" s="45"/>
      <c r="E774" s="45"/>
      <c r="F774" s="45"/>
      <c r="G774" s="45"/>
      <c r="H774" s="45"/>
      <c r="I774" s="45"/>
      <c r="J774" s="45"/>
      <c r="K774" s="45"/>
      <c r="L774" s="45"/>
    </row>
    <row r="775" spans="3:12" x14ac:dyDescent="0.25">
      <c r="C775" s="45"/>
      <c r="D775" s="45"/>
      <c r="E775" s="45"/>
      <c r="F775" s="45"/>
      <c r="G775" s="45"/>
      <c r="H775" s="45"/>
      <c r="I775" s="45"/>
      <c r="J775" s="45"/>
      <c r="K775" s="45"/>
      <c r="L775" s="45"/>
    </row>
    <row r="776" spans="3:12" x14ac:dyDescent="0.25">
      <c r="C776" s="45"/>
      <c r="D776" s="45"/>
      <c r="E776" s="45"/>
      <c r="F776" s="45"/>
      <c r="G776" s="45"/>
      <c r="H776" s="45"/>
      <c r="I776" s="45"/>
      <c r="J776" s="45"/>
      <c r="K776" s="45"/>
      <c r="L776" s="45"/>
    </row>
    <row r="777" spans="3:12" x14ac:dyDescent="0.25">
      <c r="C777" s="45"/>
      <c r="D777" s="45"/>
      <c r="E777" s="45"/>
      <c r="F777" s="45"/>
      <c r="G777" s="45"/>
      <c r="H777" s="45"/>
      <c r="I777" s="45"/>
      <c r="J777" s="45"/>
      <c r="K777" s="45"/>
      <c r="L777" s="45"/>
    </row>
    <row r="778" spans="3:12" x14ac:dyDescent="0.25">
      <c r="C778" s="45"/>
      <c r="D778" s="45"/>
      <c r="E778" s="45"/>
      <c r="F778" s="45"/>
      <c r="G778" s="45"/>
      <c r="H778" s="45"/>
      <c r="I778" s="45"/>
      <c r="J778" s="45"/>
      <c r="K778" s="45"/>
      <c r="L778" s="45"/>
    </row>
    <row r="779" spans="3:12" x14ac:dyDescent="0.25">
      <c r="C779" s="45"/>
      <c r="D779" s="45"/>
      <c r="E779" s="45"/>
      <c r="F779" s="45"/>
      <c r="G779" s="45"/>
      <c r="H779" s="45"/>
      <c r="I779" s="45"/>
      <c r="J779" s="45"/>
      <c r="K779" s="45"/>
      <c r="L779" s="45"/>
    </row>
    <row r="780" spans="3:12" x14ac:dyDescent="0.25">
      <c r="C780" s="45"/>
      <c r="D780" s="45"/>
      <c r="E780" s="45"/>
      <c r="F780" s="45"/>
      <c r="G780" s="45"/>
      <c r="H780" s="45"/>
      <c r="I780" s="45"/>
      <c r="J780" s="45"/>
      <c r="K780" s="45"/>
      <c r="L780" s="45"/>
    </row>
    <row r="781" spans="3:12" x14ac:dyDescent="0.25">
      <c r="C781" s="45"/>
      <c r="D781" s="45"/>
      <c r="E781" s="45"/>
      <c r="F781" s="45"/>
      <c r="G781" s="45"/>
      <c r="H781" s="45"/>
      <c r="I781" s="45"/>
      <c r="J781" s="45"/>
      <c r="K781" s="45"/>
      <c r="L781" s="45"/>
    </row>
    <row r="782" spans="3:12" x14ac:dyDescent="0.25">
      <c r="C782" s="45"/>
      <c r="D782" s="45"/>
      <c r="E782" s="45"/>
      <c r="F782" s="45"/>
      <c r="G782" s="45"/>
      <c r="H782" s="45"/>
      <c r="I782" s="45"/>
      <c r="J782" s="45"/>
      <c r="K782" s="45"/>
      <c r="L782" s="45"/>
    </row>
    <row r="783" spans="3:12" x14ac:dyDescent="0.25">
      <c r="C783" s="45"/>
      <c r="D783" s="45"/>
      <c r="E783" s="45"/>
      <c r="F783" s="45"/>
      <c r="G783" s="45"/>
      <c r="H783" s="45"/>
      <c r="I783" s="45"/>
      <c r="J783" s="45"/>
      <c r="K783" s="45"/>
      <c r="L783" s="45"/>
    </row>
    <row r="784" spans="3:12" x14ac:dyDescent="0.25">
      <c r="C784" s="45"/>
      <c r="D784" s="45"/>
      <c r="E784" s="45"/>
      <c r="F784" s="45"/>
      <c r="G784" s="45"/>
      <c r="H784" s="45"/>
      <c r="I784" s="45"/>
      <c r="J784" s="45"/>
      <c r="K784" s="45"/>
      <c r="L784" s="45"/>
    </row>
    <row r="785" spans="3:12" x14ac:dyDescent="0.25">
      <c r="C785" s="45"/>
      <c r="D785" s="45"/>
      <c r="E785" s="45"/>
      <c r="F785" s="45"/>
      <c r="G785" s="45"/>
      <c r="H785" s="45"/>
      <c r="I785" s="45"/>
      <c r="J785" s="45"/>
      <c r="K785" s="45"/>
      <c r="L785" s="45"/>
    </row>
    <row r="786" spans="3:12" x14ac:dyDescent="0.25">
      <c r="C786" s="45"/>
      <c r="D786" s="45"/>
      <c r="E786" s="45"/>
      <c r="F786" s="45"/>
      <c r="G786" s="45"/>
      <c r="H786" s="45"/>
      <c r="I786" s="45"/>
      <c r="J786" s="45"/>
      <c r="K786" s="45"/>
      <c r="L786" s="45"/>
    </row>
    <row r="787" spans="3:12" x14ac:dyDescent="0.25">
      <c r="C787" s="45"/>
      <c r="D787" s="45"/>
      <c r="E787" s="45"/>
      <c r="F787" s="45"/>
      <c r="G787" s="45"/>
      <c r="H787" s="45"/>
      <c r="I787" s="45"/>
      <c r="J787" s="45"/>
      <c r="K787" s="45"/>
      <c r="L787" s="45"/>
    </row>
    <row r="788" spans="3:12" x14ac:dyDescent="0.25">
      <c r="C788" s="45"/>
      <c r="D788" s="45"/>
      <c r="E788" s="45"/>
      <c r="F788" s="45"/>
      <c r="G788" s="45"/>
      <c r="H788" s="45"/>
      <c r="I788" s="45"/>
      <c r="J788" s="45"/>
      <c r="K788" s="45"/>
      <c r="L788" s="45"/>
    </row>
    <row r="789" spans="3:12" x14ac:dyDescent="0.25">
      <c r="C789" s="45"/>
      <c r="D789" s="45"/>
      <c r="E789" s="45"/>
      <c r="F789" s="45"/>
      <c r="G789" s="45"/>
      <c r="H789" s="45"/>
      <c r="I789" s="45"/>
      <c r="J789" s="45"/>
      <c r="K789" s="45"/>
      <c r="L789" s="45"/>
    </row>
    <row r="790" spans="3:12" x14ac:dyDescent="0.25">
      <c r="C790" s="45"/>
      <c r="D790" s="45"/>
      <c r="E790" s="45"/>
      <c r="F790" s="45"/>
      <c r="G790" s="45"/>
      <c r="H790" s="45"/>
      <c r="I790" s="45"/>
      <c r="J790" s="45"/>
      <c r="K790" s="45"/>
      <c r="L790" s="45"/>
    </row>
    <row r="791" spans="3:12" x14ac:dyDescent="0.25">
      <c r="C791" s="45"/>
      <c r="D791" s="45"/>
      <c r="E791" s="45"/>
      <c r="F791" s="45"/>
      <c r="G791" s="45"/>
      <c r="H791" s="45"/>
      <c r="I791" s="45"/>
      <c r="J791" s="45"/>
      <c r="K791" s="45"/>
      <c r="L791" s="45"/>
    </row>
    <row r="792" spans="3:12" x14ac:dyDescent="0.25">
      <c r="C792" s="45"/>
      <c r="D792" s="45"/>
      <c r="E792" s="45"/>
      <c r="F792" s="45"/>
      <c r="G792" s="45"/>
      <c r="H792" s="45"/>
      <c r="I792" s="45"/>
      <c r="J792" s="45"/>
      <c r="K792" s="45"/>
      <c r="L792" s="45"/>
    </row>
    <row r="793" spans="3:12" x14ac:dyDescent="0.25">
      <c r="C793" s="45"/>
      <c r="D793" s="45"/>
      <c r="E793" s="45"/>
      <c r="F793" s="45"/>
      <c r="G793" s="45"/>
      <c r="H793" s="45"/>
      <c r="I793" s="45"/>
      <c r="J793" s="45"/>
      <c r="K793" s="45"/>
      <c r="L793" s="45"/>
    </row>
    <row r="794" spans="3:12" x14ac:dyDescent="0.25">
      <c r="C794" s="45"/>
      <c r="D794" s="45"/>
      <c r="E794" s="45"/>
      <c r="F794" s="45"/>
      <c r="G794" s="45"/>
      <c r="H794" s="45"/>
      <c r="I794" s="45"/>
      <c r="J794" s="45"/>
      <c r="K794" s="45"/>
      <c r="L794" s="45"/>
    </row>
    <row r="795" spans="3:12" x14ac:dyDescent="0.25">
      <c r="C795" s="45"/>
      <c r="D795" s="45"/>
      <c r="E795" s="45"/>
      <c r="F795" s="45"/>
      <c r="G795" s="45"/>
      <c r="H795" s="45"/>
      <c r="I795" s="45"/>
      <c r="J795" s="45"/>
      <c r="K795" s="45"/>
      <c r="L795" s="45"/>
    </row>
    <row r="796" spans="3:12" x14ac:dyDescent="0.25">
      <c r="C796" s="45"/>
      <c r="D796" s="45"/>
      <c r="E796" s="45"/>
      <c r="F796" s="45"/>
      <c r="G796" s="45"/>
      <c r="H796" s="45"/>
      <c r="I796" s="45"/>
      <c r="J796" s="45"/>
      <c r="K796" s="45"/>
      <c r="L796" s="45"/>
    </row>
    <row r="797" spans="3:12" x14ac:dyDescent="0.25">
      <c r="C797" s="45"/>
      <c r="D797" s="45"/>
      <c r="E797" s="45"/>
      <c r="F797" s="45"/>
      <c r="G797" s="45"/>
      <c r="H797" s="45"/>
      <c r="I797" s="45"/>
      <c r="J797" s="45"/>
      <c r="K797" s="45"/>
      <c r="L797" s="45"/>
    </row>
    <row r="798" spans="3:12" x14ac:dyDescent="0.25">
      <c r="C798" s="45"/>
      <c r="D798" s="45"/>
      <c r="E798" s="45"/>
      <c r="F798" s="45"/>
      <c r="G798" s="45"/>
      <c r="H798" s="45"/>
      <c r="I798" s="45"/>
      <c r="J798" s="45"/>
      <c r="K798" s="45"/>
      <c r="L798" s="45"/>
    </row>
    <row r="799" spans="3:12" x14ac:dyDescent="0.25">
      <c r="C799" s="45"/>
      <c r="D799" s="45"/>
      <c r="E799" s="45"/>
      <c r="F799" s="45"/>
      <c r="G799" s="45"/>
      <c r="H799" s="45"/>
      <c r="I799" s="45"/>
      <c r="J799" s="45"/>
      <c r="K799" s="45"/>
      <c r="L799" s="45"/>
    </row>
    <row r="800" spans="3:12" x14ac:dyDescent="0.25">
      <c r="C800" s="45"/>
      <c r="D800" s="45"/>
      <c r="E800" s="45"/>
      <c r="F800" s="45"/>
      <c r="G800" s="45"/>
      <c r="H800" s="45"/>
      <c r="I800" s="45"/>
      <c r="J800" s="45"/>
      <c r="K800" s="45"/>
      <c r="L800" s="45"/>
    </row>
    <row r="801" spans="3:12" x14ac:dyDescent="0.25">
      <c r="C801" s="45"/>
      <c r="D801" s="45"/>
      <c r="E801" s="45"/>
      <c r="F801" s="45"/>
      <c r="G801" s="45"/>
      <c r="H801" s="45"/>
      <c r="I801" s="45"/>
      <c r="J801" s="45"/>
      <c r="K801" s="45"/>
      <c r="L801" s="45"/>
    </row>
    <row r="802" spans="3:12" x14ac:dyDescent="0.25">
      <c r="C802" s="45"/>
      <c r="D802" s="45"/>
      <c r="E802" s="45"/>
      <c r="F802" s="45"/>
      <c r="G802" s="45"/>
      <c r="H802" s="45"/>
      <c r="I802" s="45"/>
      <c r="J802" s="45"/>
      <c r="K802" s="45"/>
      <c r="L802" s="45"/>
    </row>
    <row r="803" spans="3:12" x14ac:dyDescent="0.25">
      <c r="C803" s="45"/>
      <c r="D803" s="45"/>
      <c r="E803" s="45"/>
      <c r="F803" s="45"/>
      <c r="G803" s="45"/>
      <c r="H803" s="45"/>
      <c r="I803" s="45"/>
      <c r="J803" s="45"/>
      <c r="K803" s="45"/>
      <c r="L803" s="45"/>
    </row>
    <row r="804" spans="3:12" x14ac:dyDescent="0.25">
      <c r="C804" s="45"/>
      <c r="D804" s="45"/>
      <c r="E804" s="45"/>
      <c r="F804" s="45"/>
      <c r="G804" s="45"/>
      <c r="H804" s="45"/>
      <c r="I804" s="45"/>
      <c r="J804" s="45"/>
      <c r="K804" s="45"/>
      <c r="L804" s="45"/>
    </row>
    <row r="805" spans="3:12" x14ac:dyDescent="0.25">
      <c r="C805" s="45"/>
      <c r="D805" s="45"/>
      <c r="E805" s="45"/>
      <c r="F805" s="45"/>
      <c r="G805" s="45"/>
      <c r="H805" s="45"/>
      <c r="I805" s="45"/>
      <c r="J805" s="45"/>
      <c r="K805" s="45"/>
      <c r="L805" s="45"/>
    </row>
    <row r="806" spans="3:12" x14ac:dyDescent="0.25">
      <c r="C806" s="45"/>
      <c r="D806" s="45"/>
      <c r="E806" s="45"/>
      <c r="F806" s="45"/>
      <c r="G806" s="45"/>
      <c r="H806" s="45"/>
      <c r="I806" s="45"/>
      <c r="J806" s="45"/>
      <c r="K806" s="45"/>
      <c r="L806" s="45"/>
    </row>
    <row r="807" spans="3:12" x14ac:dyDescent="0.25">
      <c r="C807" s="45"/>
      <c r="D807" s="45"/>
      <c r="E807" s="45"/>
      <c r="F807" s="45"/>
      <c r="G807" s="45"/>
      <c r="H807" s="45"/>
      <c r="I807" s="45"/>
      <c r="J807" s="45"/>
      <c r="K807" s="45"/>
      <c r="L807" s="45"/>
    </row>
    <row r="808" spans="3:12" x14ac:dyDescent="0.25">
      <c r="C808" s="45"/>
      <c r="D808" s="45"/>
      <c r="E808" s="45"/>
      <c r="F808" s="45"/>
      <c r="G808" s="45"/>
      <c r="H808" s="45"/>
      <c r="I808" s="45"/>
      <c r="J808" s="45"/>
      <c r="K808" s="45"/>
      <c r="L808" s="45"/>
    </row>
    <row r="809" spans="3:12" x14ac:dyDescent="0.25">
      <c r="C809" s="45"/>
      <c r="D809" s="45"/>
      <c r="E809" s="45"/>
      <c r="F809" s="45"/>
      <c r="G809" s="45"/>
      <c r="H809" s="45"/>
      <c r="I809" s="45"/>
      <c r="J809" s="45"/>
      <c r="K809" s="45"/>
      <c r="L809" s="45"/>
    </row>
    <row r="810" spans="3:12" x14ac:dyDescent="0.25">
      <c r="C810" s="45"/>
      <c r="D810" s="45"/>
      <c r="E810" s="45"/>
      <c r="F810" s="45"/>
      <c r="G810" s="45"/>
      <c r="H810" s="45"/>
      <c r="I810" s="45"/>
      <c r="J810" s="45"/>
      <c r="K810" s="45"/>
      <c r="L810" s="45"/>
    </row>
    <row r="811" spans="3:12" x14ac:dyDescent="0.25">
      <c r="C811" s="45"/>
      <c r="D811" s="45"/>
      <c r="E811" s="45"/>
      <c r="F811" s="45"/>
      <c r="G811" s="45"/>
      <c r="H811" s="45"/>
      <c r="I811" s="45"/>
      <c r="J811" s="45"/>
      <c r="K811" s="45"/>
      <c r="L811" s="45"/>
    </row>
    <row r="812" spans="3:12" x14ac:dyDescent="0.25">
      <c r="C812" s="45"/>
      <c r="D812" s="45"/>
      <c r="E812" s="45"/>
      <c r="F812" s="45"/>
      <c r="G812" s="45"/>
      <c r="H812" s="45"/>
      <c r="I812" s="45"/>
      <c r="J812" s="45"/>
      <c r="K812" s="45"/>
      <c r="L812" s="45"/>
    </row>
    <row r="813" spans="3:12" x14ac:dyDescent="0.25">
      <c r="C813" s="45"/>
      <c r="D813" s="45"/>
      <c r="E813" s="45"/>
      <c r="F813" s="45"/>
      <c r="G813" s="45"/>
      <c r="H813" s="45"/>
      <c r="I813" s="45"/>
      <c r="J813" s="45"/>
      <c r="K813" s="45"/>
      <c r="L813" s="45"/>
    </row>
    <row r="814" spans="3:12" x14ac:dyDescent="0.25">
      <c r="C814" s="45"/>
      <c r="D814" s="45"/>
      <c r="E814" s="45"/>
      <c r="F814" s="45"/>
      <c r="G814" s="45"/>
      <c r="H814" s="45"/>
      <c r="I814" s="45"/>
      <c r="J814" s="45"/>
      <c r="K814" s="45"/>
      <c r="L814" s="45"/>
    </row>
    <row r="815" spans="3:12" x14ac:dyDescent="0.25">
      <c r="C815" s="45"/>
      <c r="D815" s="45"/>
      <c r="E815" s="45"/>
      <c r="F815" s="45"/>
      <c r="G815" s="45"/>
      <c r="H815" s="45"/>
      <c r="I815" s="45"/>
      <c r="J815" s="45"/>
      <c r="K815" s="45"/>
      <c r="L815" s="45"/>
    </row>
    <row r="816" spans="3:12" x14ac:dyDescent="0.25">
      <c r="C816" s="45"/>
      <c r="D816" s="45"/>
      <c r="E816" s="45"/>
      <c r="F816" s="45"/>
      <c r="G816" s="45"/>
      <c r="H816" s="45"/>
      <c r="I816" s="45"/>
      <c r="J816" s="45"/>
      <c r="K816" s="45"/>
      <c r="L816" s="45"/>
    </row>
    <row r="817" spans="3:12" x14ac:dyDescent="0.25">
      <c r="C817" s="45"/>
      <c r="D817" s="45"/>
      <c r="E817" s="45"/>
      <c r="F817" s="45"/>
      <c r="G817" s="45"/>
      <c r="H817" s="45"/>
      <c r="I817" s="45"/>
      <c r="J817" s="45"/>
      <c r="K817" s="45"/>
      <c r="L817" s="45"/>
    </row>
    <row r="818" spans="3:12" x14ac:dyDescent="0.25">
      <c r="C818" s="45"/>
      <c r="D818" s="45"/>
      <c r="E818" s="45"/>
      <c r="F818" s="45"/>
      <c r="G818" s="45"/>
      <c r="H818" s="45"/>
      <c r="I818" s="45"/>
      <c r="J818" s="45"/>
      <c r="K818" s="45"/>
      <c r="L818" s="45"/>
    </row>
    <row r="819" spans="3:12" x14ac:dyDescent="0.25">
      <c r="C819" s="45"/>
      <c r="D819" s="45"/>
      <c r="E819" s="45"/>
      <c r="F819" s="45"/>
      <c r="G819" s="45"/>
      <c r="H819" s="45"/>
      <c r="I819" s="45"/>
      <c r="J819" s="45"/>
      <c r="K819" s="45"/>
      <c r="L819" s="45"/>
    </row>
    <row r="820" spans="3:12" x14ac:dyDescent="0.25">
      <c r="C820" s="45"/>
      <c r="D820" s="45"/>
      <c r="E820" s="45"/>
      <c r="F820" s="45"/>
      <c r="G820" s="45"/>
      <c r="H820" s="45"/>
      <c r="I820" s="45"/>
      <c r="J820" s="45"/>
      <c r="K820" s="45"/>
      <c r="L820" s="45"/>
    </row>
    <row r="821" spans="3:12" x14ac:dyDescent="0.25">
      <c r="C821" s="45"/>
      <c r="D821" s="45"/>
      <c r="E821" s="45"/>
      <c r="F821" s="45"/>
      <c r="G821" s="45"/>
      <c r="H821" s="45"/>
      <c r="I821" s="45"/>
      <c r="J821" s="45"/>
      <c r="K821" s="45"/>
      <c r="L821" s="45"/>
    </row>
    <row r="822" spans="3:12" x14ac:dyDescent="0.25">
      <c r="C822" s="45"/>
      <c r="D822" s="45"/>
      <c r="E822" s="45"/>
      <c r="F822" s="45"/>
      <c r="G822" s="45"/>
      <c r="H822" s="45"/>
      <c r="I822" s="45"/>
      <c r="J822" s="45"/>
      <c r="K822" s="45"/>
      <c r="L822" s="45"/>
    </row>
    <row r="823" spans="3:12" x14ac:dyDescent="0.25">
      <c r="C823" s="45"/>
      <c r="D823" s="45"/>
      <c r="E823" s="45"/>
      <c r="F823" s="45"/>
      <c r="G823" s="45"/>
      <c r="H823" s="45"/>
      <c r="I823" s="45"/>
      <c r="J823" s="45"/>
      <c r="K823" s="45"/>
      <c r="L823" s="45"/>
    </row>
    <row r="824" spans="3:12" x14ac:dyDescent="0.25">
      <c r="C824" s="45"/>
      <c r="D824" s="45"/>
      <c r="E824" s="45"/>
      <c r="F824" s="45"/>
      <c r="G824" s="45"/>
      <c r="H824" s="45"/>
      <c r="I824" s="45"/>
      <c r="J824" s="45"/>
      <c r="K824" s="45"/>
      <c r="L824" s="45"/>
    </row>
    <row r="825" spans="3:12" x14ac:dyDescent="0.25">
      <c r="C825" s="45"/>
      <c r="D825" s="45"/>
      <c r="E825" s="45"/>
      <c r="F825" s="45"/>
      <c r="G825" s="45"/>
      <c r="H825" s="45"/>
      <c r="I825" s="45"/>
      <c r="J825" s="45"/>
      <c r="K825" s="45"/>
      <c r="L825" s="45"/>
    </row>
    <row r="826" spans="3:12" x14ac:dyDescent="0.25">
      <c r="C826" s="45"/>
      <c r="D826" s="45"/>
      <c r="E826" s="45"/>
      <c r="F826" s="45"/>
      <c r="G826" s="45"/>
      <c r="H826" s="45"/>
      <c r="I826" s="45"/>
      <c r="J826" s="45"/>
      <c r="K826" s="45"/>
      <c r="L826" s="45"/>
    </row>
    <row r="827" spans="3:12" x14ac:dyDescent="0.25">
      <c r="C827" s="45"/>
      <c r="D827" s="45"/>
      <c r="E827" s="45"/>
      <c r="F827" s="45"/>
      <c r="G827" s="45"/>
      <c r="H827" s="45"/>
      <c r="I827" s="45"/>
      <c r="J827" s="45"/>
      <c r="K827" s="45"/>
      <c r="L827" s="45"/>
    </row>
    <row r="828" spans="3:12" x14ac:dyDescent="0.25">
      <c r="C828" s="45"/>
      <c r="D828" s="45"/>
      <c r="E828" s="45"/>
      <c r="F828" s="45"/>
      <c r="G828" s="45"/>
      <c r="H828" s="45"/>
      <c r="I828" s="45"/>
      <c r="J828" s="45"/>
      <c r="K828" s="45"/>
      <c r="L828" s="45"/>
    </row>
    <row r="829" spans="3:12" x14ac:dyDescent="0.25">
      <c r="C829" s="45"/>
      <c r="D829" s="45"/>
      <c r="E829" s="45"/>
      <c r="F829" s="45"/>
      <c r="G829" s="45"/>
      <c r="H829" s="45"/>
      <c r="I829" s="45"/>
      <c r="J829" s="45"/>
      <c r="K829" s="45"/>
      <c r="L829" s="45"/>
    </row>
    <row r="830" spans="3:12" x14ac:dyDescent="0.25">
      <c r="C830" s="45"/>
      <c r="D830" s="45"/>
      <c r="E830" s="45"/>
      <c r="F830" s="45"/>
      <c r="G830" s="45"/>
      <c r="H830" s="45"/>
      <c r="I830" s="45"/>
      <c r="J830" s="45"/>
      <c r="K830" s="45"/>
      <c r="L830" s="45"/>
    </row>
    <row r="831" spans="3:12" x14ac:dyDescent="0.25">
      <c r="C831" s="45"/>
      <c r="D831" s="45"/>
      <c r="E831" s="45"/>
      <c r="F831" s="45"/>
      <c r="G831" s="45"/>
      <c r="H831" s="45"/>
      <c r="I831" s="45"/>
      <c r="J831" s="45"/>
      <c r="K831" s="45"/>
      <c r="L831" s="45"/>
    </row>
    <row r="832" spans="3:12" x14ac:dyDescent="0.25">
      <c r="C832" s="45"/>
      <c r="D832" s="45"/>
      <c r="E832" s="45"/>
      <c r="F832" s="45"/>
      <c r="G832" s="45"/>
      <c r="H832" s="45"/>
      <c r="I832" s="45"/>
      <c r="J832" s="45"/>
      <c r="K832" s="45"/>
      <c r="L832" s="45"/>
    </row>
    <row r="833" spans="3:12" x14ac:dyDescent="0.25">
      <c r="C833" s="45"/>
      <c r="D833" s="45"/>
      <c r="E833" s="45"/>
      <c r="F833" s="45"/>
      <c r="G833" s="45"/>
      <c r="H833" s="45"/>
      <c r="I833" s="45"/>
      <c r="J833" s="45"/>
      <c r="K833" s="45"/>
      <c r="L833" s="45"/>
    </row>
    <row r="834" spans="3:12" x14ac:dyDescent="0.25">
      <c r="C834" s="45"/>
      <c r="D834" s="45"/>
      <c r="E834" s="45"/>
      <c r="F834" s="45"/>
      <c r="G834" s="45"/>
      <c r="H834" s="45"/>
      <c r="I834" s="45"/>
      <c r="J834" s="45"/>
      <c r="K834" s="45"/>
      <c r="L834" s="45"/>
    </row>
    <row r="835" spans="3:12" x14ac:dyDescent="0.25">
      <c r="C835" s="45"/>
      <c r="D835" s="45"/>
      <c r="E835" s="45"/>
      <c r="F835" s="45"/>
      <c r="G835" s="45"/>
      <c r="H835" s="45"/>
      <c r="I835" s="45"/>
      <c r="J835" s="45"/>
      <c r="K835" s="45"/>
      <c r="L835" s="45"/>
    </row>
    <row r="836" spans="3:12" x14ac:dyDescent="0.25">
      <c r="C836" s="45"/>
      <c r="D836" s="45"/>
      <c r="E836" s="45"/>
      <c r="F836" s="45"/>
      <c r="G836" s="45"/>
      <c r="H836" s="45"/>
      <c r="I836" s="45"/>
      <c r="J836" s="45"/>
      <c r="K836" s="45"/>
      <c r="L836" s="45"/>
    </row>
    <row r="837" spans="3:12" x14ac:dyDescent="0.25">
      <c r="C837" s="45"/>
      <c r="D837" s="45"/>
      <c r="E837" s="45"/>
      <c r="F837" s="45"/>
      <c r="G837" s="45"/>
      <c r="H837" s="45"/>
      <c r="I837" s="45"/>
      <c r="J837" s="45"/>
      <c r="K837" s="45"/>
      <c r="L837" s="45"/>
    </row>
    <row r="838" spans="3:12" x14ac:dyDescent="0.25">
      <c r="C838" s="45"/>
      <c r="D838" s="45"/>
      <c r="E838" s="45"/>
      <c r="F838" s="45"/>
      <c r="G838" s="45"/>
      <c r="H838" s="45"/>
      <c r="I838" s="45"/>
      <c r="J838" s="45"/>
      <c r="K838" s="45"/>
      <c r="L838" s="45"/>
    </row>
    <row r="839" spans="3:12" x14ac:dyDescent="0.25">
      <c r="C839" s="45"/>
      <c r="D839" s="45"/>
      <c r="E839" s="45"/>
      <c r="F839" s="45"/>
      <c r="G839" s="45"/>
      <c r="H839" s="45"/>
      <c r="I839" s="45"/>
      <c r="J839" s="45"/>
      <c r="K839" s="45"/>
      <c r="L839" s="45"/>
    </row>
    <row r="840" spans="3:12" x14ac:dyDescent="0.25">
      <c r="C840" s="45"/>
      <c r="D840" s="45"/>
      <c r="E840" s="45"/>
      <c r="F840" s="45"/>
      <c r="G840" s="45"/>
      <c r="H840" s="45"/>
      <c r="I840" s="45"/>
      <c r="J840" s="45"/>
      <c r="K840" s="45"/>
      <c r="L840" s="45"/>
    </row>
    <row r="841" spans="3:12" x14ac:dyDescent="0.25">
      <c r="C841" s="45"/>
      <c r="D841" s="45"/>
      <c r="E841" s="45"/>
      <c r="F841" s="45"/>
      <c r="G841" s="45"/>
      <c r="H841" s="45"/>
      <c r="I841" s="45"/>
      <c r="J841" s="45"/>
      <c r="K841" s="45"/>
      <c r="L841" s="45"/>
    </row>
    <row r="842" spans="3:12" x14ac:dyDescent="0.25">
      <c r="C842" s="45"/>
      <c r="D842" s="45"/>
      <c r="E842" s="45"/>
      <c r="F842" s="45"/>
      <c r="G842" s="45"/>
      <c r="H842" s="45"/>
      <c r="I842" s="45"/>
      <c r="J842" s="45"/>
      <c r="K842" s="45"/>
      <c r="L842" s="45"/>
    </row>
    <row r="843" spans="3:12" x14ac:dyDescent="0.25">
      <c r="C843" s="45"/>
      <c r="D843" s="45"/>
      <c r="E843" s="45"/>
      <c r="F843" s="45"/>
      <c r="G843" s="45"/>
      <c r="H843" s="45"/>
      <c r="I843" s="45"/>
      <c r="J843" s="45"/>
      <c r="K843" s="45"/>
      <c r="L843" s="45"/>
    </row>
    <row r="844" spans="3:12" x14ac:dyDescent="0.25">
      <c r="C844" s="45"/>
      <c r="D844" s="45"/>
      <c r="E844" s="45"/>
      <c r="F844" s="45"/>
      <c r="G844" s="45"/>
      <c r="H844" s="45"/>
      <c r="I844" s="45"/>
      <c r="J844" s="45"/>
      <c r="K844" s="45"/>
      <c r="L844" s="45"/>
    </row>
    <row r="845" spans="3:12" x14ac:dyDescent="0.25">
      <c r="C845" s="45"/>
      <c r="D845" s="45"/>
      <c r="E845" s="45"/>
      <c r="F845" s="45"/>
      <c r="G845" s="45"/>
      <c r="H845" s="45"/>
      <c r="I845" s="45"/>
      <c r="J845" s="45"/>
      <c r="K845" s="45"/>
      <c r="L845" s="45"/>
    </row>
    <row r="846" spans="3:12" x14ac:dyDescent="0.25">
      <c r="C846" s="45"/>
      <c r="D846" s="45"/>
      <c r="E846" s="45"/>
      <c r="F846" s="45"/>
      <c r="G846" s="45"/>
      <c r="H846" s="45"/>
      <c r="I846" s="45"/>
      <c r="J846" s="45"/>
      <c r="K846" s="45"/>
      <c r="L846" s="45"/>
    </row>
    <row r="847" spans="3:12" x14ac:dyDescent="0.25">
      <c r="C847" s="45"/>
      <c r="D847" s="45"/>
      <c r="E847" s="45"/>
      <c r="F847" s="45"/>
      <c r="G847" s="45"/>
      <c r="H847" s="45"/>
      <c r="I847" s="45"/>
      <c r="J847" s="45"/>
      <c r="K847" s="45"/>
      <c r="L847" s="45"/>
    </row>
    <row r="848" spans="3:12" x14ac:dyDescent="0.25">
      <c r="C848" s="45"/>
      <c r="D848" s="45"/>
      <c r="E848" s="45"/>
      <c r="F848" s="45"/>
      <c r="G848" s="45"/>
      <c r="H848" s="45"/>
      <c r="I848" s="45"/>
      <c r="J848" s="45"/>
      <c r="K848" s="45"/>
      <c r="L848" s="45"/>
    </row>
    <row r="849" spans="3:12" x14ac:dyDescent="0.25">
      <c r="C849" s="45"/>
      <c r="D849" s="45"/>
      <c r="E849" s="45"/>
      <c r="F849" s="45"/>
      <c r="G849" s="45"/>
      <c r="H849" s="45"/>
      <c r="I849" s="45"/>
      <c r="J849" s="45"/>
      <c r="K849" s="45"/>
      <c r="L849" s="45"/>
    </row>
    <row r="850" spans="3:12" x14ac:dyDescent="0.25">
      <c r="C850" s="45"/>
      <c r="D850" s="45"/>
      <c r="E850" s="45"/>
      <c r="F850" s="45"/>
      <c r="G850" s="45"/>
      <c r="H850" s="45"/>
      <c r="I850" s="45"/>
      <c r="J850" s="45"/>
      <c r="K850" s="45"/>
      <c r="L850" s="45"/>
    </row>
    <row r="851" spans="3:12" x14ac:dyDescent="0.25">
      <c r="C851" s="45"/>
      <c r="D851" s="45"/>
      <c r="E851" s="45"/>
      <c r="F851" s="45"/>
      <c r="G851" s="45"/>
      <c r="H851" s="45"/>
      <c r="I851" s="45"/>
      <c r="J851" s="45"/>
      <c r="K851" s="45"/>
      <c r="L851" s="45"/>
    </row>
    <row r="852" spans="3:12" x14ac:dyDescent="0.25">
      <c r="C852" s="45"/>
      <c r="D852" s="45"/>
      <c r="E852" s="45"/>
      <c r="F852" s="45"/>
      <c r="G852" s="45"/>
      <c r="H852" s="45"/>
      <c r="I852" s="45"/>
      <c r="J852" s="45"/>
      <c r="K852" s="45"/>
      <c r="L852" s="45"/>
    </row>
    <row r="853" spans="3:12" x14ac:dyDescent="0.25">
      <c r="C853" s="45"/>
      <c r="D853" s="45"/>
      <c r="E853" s="45"/>
      <c r="F853" s="45"/>
      <c r="G853" s="45"/>
      <c r="H853" s="45"/>
      <c r="I853" s="45"/>
      <c r="J853" s="45"/>
      <c r="K853" s="45"/>
      <c r="L853" s="45"/>
    </row>
    <row r="854" spans="3:12" x14ac:dyDescent="0.25">
      <c r="C854" s="45"/>
      <c r="D854" s="45"/>
      <c r="E854" s="45"/>
      <c r="F854" s="45"/>
      <c r="G854" s="45"/>
      <c r="H854" s="45"/>
      <c r="I854" s="45"/>
      <c r="J854" s="45"/>
      <c r="K854" s="45"/>
      <c r="L854" s="45"/>
    </row>
    <row r="855" spans="3:12" x14ac:dyDescent="0.25">
      <c r="C855" s="45"/>
      <c r="D855" s="45"/>
      <c r="E855" s="45"/>
      <c r="F855" s="45"/>
      <c r="G855" s="45"/>
      <c r="H855" s="45"/>
      <c r="I855" s="45"/>
      <c r="J855" s="45"/>
      <c r="K855" s="45"/>
      <c r="L855" s="45"/>
    </row>
    <row r="856" spans="3:12" x14ac:dyDescent="0.25">
      <c r="C856" s="45"/>
      <c r="D856" s="45"/>
      <c r="E856" s="45"/>
      <c r="F856" s="45"/>
      <c r="G856" s="45"/>
      <c r="H856" s="45"/>
      <c r="I856" s="45"/>
      <c r="J856" s="45"/>
      <c r="K856" s="45"/>
      <c r="L856" s="45"/>
    </row>
    <row r="857" spans="3:12" x14ac:dyDescent="0.25">
      <c r="C857" s="45"/>
      <c r="D857" s="45"/>
      <c r="E857" s="45"/>
      <c r="F857" s="45"/>
      <c r="G857" s="45"/>
      <c r="H857" s="45"/>
      <c r="I857" s="45"/>
      <c r="J857" s="45"/>
      <c r="K857" s="45"/>
      <c r="L857" s="45"/>
    </row>
    <row r="858" spans="3:12" x14ac:dyDescent="0.25">
      <c r="C858" s="45"/>
      <c r="D858" s="45"/>
      <c r="E858" s="45"/>
      <c r="F858" s="45"/>
      <c r="G858" s="45"/>
      <c r="H858" s="45"/>
      <c r="I858" s="45"/>
      <c r="J858" s="45"/>
      <c r="K858" s="45"/>
      <c r="L858" s="45"/>
    </row>
    <row r="859" spans="3:12" x14ac:dyDescent="0.25">
      <c r="C859" s="45"/>
      <c r="D859" s="45"/>
      <c r="E859" s="45"/>
      <c r="F859" s="45"/>
      <c r="G859" s="45"/>
      <c r="H859" s="45"/>
      <c r="I859" s="45"/>
      <c r="J859" s="45"/>
      <c r="K859" s="45"/>
      <c r="L859" s="45"/>
    </row>
    <row r="860" spans="3:12" x14ac:dyDescent="0.25">
      <c r="C860" s="45"/>
      <c r="D860" s="45"/>
      <c r="E860" s="45"/>
      <c r="F860" s="45"/>
      <c r="G860" s="45"/>
      <c r="H860" s="45"/>
      <c r="I860" s="45"/>
      <c r="J860" s="45"/>
      <c r="K860" s="45"/>
      <c r="L860" s="45"/>
    </row>
    <row r="861" spans="3:12" x14ac:dyDescent="0.25">
      <c r="C861" s="45"/>
      <c r="D861" s="45"/>
      <c r="E861" s="45"/>
      <c r="F861" s="45"/>
      <c r="G861" s="45"/>
      <c r="H861" s="45"/>
      <c r="I861" s="45"/>
      <c r="J861" s="45"/>
      <c r="K861" s="45"/>
      <c r="L861" s="45"/>
    </row>
    <row r="862" spans="3:12" x14ac:dyDescent="0.25">
      <c r="C862" s="45"/>
      <c r="D862" s="45"/>
      <c r="E862" s="45"/>
      <c r="F862" s="45"/>
      <c r="G862" s="45"/>
      <c r="H862" s="45"/>
      <c r="I862" s="45"/>
      <c r="J862" s="45"/>
      <c r="K862" s="45"/>
      <c r="L862" s="45"/>
    </row>
    <row r="863" spans="3:12" x14ac:dyDescent="0.25">
      <c r="C863" s="45"/>
      <c r="D863" s="45"/>
      <c r="E863" s="45"/>
      <c r="F863" s="45"/>
      <c r="G863" s="45"/>
      <c r="H863" s="45"/>
      <c r="I863" s="45"/>
      <c r="J863" s="45"/>
      <c r="K863" s="45"/>
      <c r="L863" s="45"/>
    </row>
    <row r="864" spans="3:12" x14ac:dyDescent="0.25">
      <c r="C864" s="45"/>
      <c r="D864" s="45"/>
      <c r="E864" s="45"/>
      <c r="F864" s="45"/>
      <c r="G864" s="45"/>
      <c r="H864" s="45"/>
      <c r="I864" s="45"/>
      <c r="J864" s="45"/>
      <c r="K864" s="45"/>
      <c r="L864" s="45"/>
    </row>
    <row r="865" spans="3:12" x14ac:dyDescent="0.25">
      <c r="C865" s="45"/>
      <c r="D865" s="45"/>
      <c r="E865" s="45"/>
      <c r="F865" s="45"/>
      <c r="G865" s="45"/>
      <c r="H865" s="45"/>
      <c r="I865" s="45"/>
      <c r="J865" s="45"/>
      <c r="K865" s="45"/>
      <c r="L865" s="45"/>
    </row>
    <row r="866" spans="3:12" x14ac:dyDescent="0.25">
      <c r="C866" s="45"/>
      <c r="D866" s="45"/>
      <c r="E866" s="45"/>
      <c r="F866" s="45"/>
      <c r="G866" s="45"/>
      <c r="H866" s="45"/>
      <c r="I866" s="45"/>
      <c r="J866" s="45"/>
      <c r="K866" s="45"/>
      <c r="L866" s="45"/>
    </row>
    <row r="867" spans="3:12" x14ac:dyDescent="0.25">
      <c r="C867" s="45"/>
      <c r="D867" s="45"/>
      <c r="E867" s="45"/>
      <c r="F867" s="45"/>
      <c r="G867" s="45"/>
      <c r="H867" s="45"/>
      <c r="I867" s="45"/>
      <c r="J867" s="45"/>
      <c r="K867" s="45"/>
      <c r="L867" s="45"/>
    </row>
    <row r="868" spans="3:12" x14ac:dyDescent="0.25">
      <c r="C868" s="45"/>
      <c r="D868" s="45"/>
      <c r="E868" s="45"/>
      <c r="F868" s="45"/>
      <c r="G868" s="45"/>
      <c r="H868" s="45"/>
      <c r="I868" s="45"/>
      <c r="J868" s="45"/>
      <c r="K868" s="45"/>
      <c r="L868" s="45"/>
    </row>
    <row r="869" spans="3:12" x14ac:dyDescent="0.25">
      <c r="C869" s="45"/>
      <c r="D869" s="45"/>
      <c r="E869" s="45"/>
      <c r="F869" s="45"/>
      <c r="G869" s="45"/>
      <c r="H869" s="45"/>
      <c r="I869" s="45"/>
      <c r="J869" s="45"/>
      <c r="K869" s="45"/>
      <c r="L869" s="45"/>
    </row>
    <row r="870" spans="3:12" x14ac:dyDescent="0.25">
      <c r="C870" s="45"/>
      <c r="D870" s="45"/>
      <c r="E870" s="45"/>
      <c r="F870" s="45"/>
      <c r="G870" s="45"/>
      <c r="H870" s="45"/>
      <c r="I870" s="45"/>
      <c r="J870" s="45"/>
      <c r="K870" s="45"/>
      <c r="L870" s="45"/>
    </row>
    <row r="871" spans="3:12" x14ac:dyDescent="0.25">
      <c r="C871" s="45"/>
      <c r="D871" s="45"/>
      <c r="E871" s="45"/>
      <c r="F871" s="45"/>
      <c r="G871" s="45"/>
      <c r="H871" s="45"/>
      <c r="I871" s="45"/>
      <c r="J871" s="45"/>
      <c r="K871" s="45"/>
      <c r="L871" s="45"/>
    </row>
    <row r="872" spans="3:12" x14ac:dyDescent="0.25">
      <c r="C872" s="45"/>
      <c r="D872" s="45"/>
      <c r="E872" s="45"/>
      <c r="F872" s="45"/>
      <c r="G872" s="45"/>
      <c r="H872" s="45"/>
      <c r="I872" s="45"/>
      <c r="J872" s="45"/>
      <c r="K872" s="45"/>
      <c r="L872" s="45"/>
    </row>
    <row r="873" spans="3:12" x14ac:dyDescent="0.25">
      <c r="C873" s="45"/>
      <c r="D873" s="45"/>
      <c r="E873" s="45"/>
      <c r="F873" s="45"/>
      <c r="G873" s="45"/>
      <c r="H873" s="45"/>
      <c r="I873" s="45"/>
      <c r="J873" s="45"/>
      <c r="K873" s="45"/>
      <c r="L873" s="45"/>
    </row>
    <row r="874" spans="3:12" x14ac:dyDescent="0.25">
      <c r="C874" s="45"/>
      <c r="D874" s="45"/>
      <c r="E874" s="45"/>
      <c r="F874" s="45"/>
      <c r="G874" s="45"/>
      <c r="H874" s="45"/>
      <c r="I874" s="45"/>
      <c r="J874" s="45"/>
      <c r="K874" s="45"/>
      <c r="L874" s="45"/>
    </row>
    <row r="875" spans="3:12" x14ac:dyDescent="0.25">
      <c r="C875" s="45"/>
      <c r="D875" s="45"/>
      <c r="E875" s="45"/>
      <c r="F875" s="45"/>
      <c r="G875" s="45"/>
      <c r="H875" s="45"/>
      <c r="I875" s="45"/>
      <c r="J875" s="45"/>
      <c r="K875" s="45"/>
      <c r="L875" s="45"/>
    </row>
    <row r="876" spans="3:12" x14ac:dyDescent="0.25">
      <c r="C876" s="45"/>
      <c r="D876" s="45"/>
      <c r="E876" s="45"/>
      <c r="F876" s="45"/>
      <c r="G876" s="45"/>
      <c r="H876" s="45"/>
      <c r="I876" s="45"/>
      <c r="J876" s="45"/>
      <c r="K876" s="45"/>
      <c r="L876" s="45"/>
    </row>
    <row r="877" spans="3:12" x14ac:dyDescent="0.25">
      <c r="C877" s="45"/>
      <c r="D877" s="45"/>
      <c r="E877" s="45"/>
      <c r="F877" s="45"/>
      <c r="G877" s="45"/>
      <c r="H877" s="45"/>
      <c r="I877" s="45"/>
      <c r="J877" s="45"/>
      <c r="K877" s="45"/>
      <c r="L877" s="45"/>
    </row>
    <row r="878" spans="3:12" x14ac:dyDescent="0.25">
      <c r="C878" s="45"/>
      <c r="D878" s="45"/>
      <c r="E878" s="45"/>
      <c r="F878" s="45"/>
      <c r="G878" s="45"/>
      <c r="H878" s="45"/>
      <c r="I878" s="45"/>
      <c r="J878" s="45"/>
      <c r="K878" s="45"/>
      <c r="L878" s="45"/>
    </row>
    <row r="879" spans="3:12" x14ac:dyDescent="0.25">
      <c r="C879" s="45"/>
      <c r="D879" s="45"/>
      <c r="E879" s="45"/>
      <c r="F879" s="45"/>
      <c r="G879" s="45"/>
      <c r="H879" s="45"/>
      <c r="I879" s="45"/>
      <c r="J879" s="45"/>
      <c r="K879" s="45"/>
      <c r="L879" s="45"/>
    </row>
    <row r="880" spans="3:12" x14ac:dyDescent="0.25">
      <c r="C880" s="45"/>
      <c r="D880" s="45"/>
      <c r="E880" s="45"/>
      <c r="F880" s="45"/>
      <c r="G880" s="45"/>
      <c r="H880" s="45"/>
      <c r="I880" s="45"/>
      <c r="J880" s="45"/>
      <c r="K880" s="45"/>
      <c r="L880" s="45"/>
    </row>
    <row r="881" spans="3:12" x14ac:dyDescent="0.25">
      <c r="C881" s="45"/>
      <c r="D881" s="45"/>
      <c r="E881" s="45"/>
      <c r="F881" s="45"/>
      <c r="G881" s="45"/>
      <c r="H881" s="45"/>
      <c r="I881" s="45"/>
      <c r="J881" s="45"/>
      <c r="K881" s="45"/>
      <c r="L881" s="45"/>
    </row>
    <row r="882" spans="3:12" x14ac:dyDescent="0.25">
      <c r="C882" s="45"/>
      <c r="D882" s="45"/>
      <c r="E882" s="45"/>
      <c r="F882" s="45"/>
      <c r="G882" s="45"/>
      <c r="H882" s="45"/>
      <c r="I882" s="45"/>
      <c r="J882" s="45"/>
      <c r="K882" s="45"/>
      <c r="L882" s="45"/>
    </row>
    <row r="883" spans="3:12" x14ac:dyDescent="0.25">
      <c r="C883" s="45"/>
      <c r="D883" s="45"/>
      <c r="E883" s="45"/>
      <c r="F883" s="45"/>
      <c r="G883" s="45"/>
      <c r="H883" s="45"/>
      <c r="I883" s="45"/>
      <c r="J883" s="45"/>
      <c r="K883" s="45"/>
      <c r="L883" s="45"/>
    </row>
    <row r="884" spans="3:12" x14ac:dyDescent="0.25">
      <c r="C884" s="45"/>
      <c r="D884" s="45"/>
      <c r="E884" s="45"/>
      <c r="F884" s="45"/>
      <c r="G884" s="45"/>
      <c r="H884" s="45"/>
      <c r="I884" s="45"/>
      <c r="J884" s="45"/>
      <c r="K884" s="45"/>
      <c r="L884" s="45"/>
    </row>
    <row r="885" spans="3:12" x14ac:dyDescent="0.25">
      <c r="C885" s="45"/>
      <c r="D885" s="45"/>
      <c r="E885" s="45"/>
      <c r="F885" s="45"/>
      <c r="G885" s="45"/>
      <c r="H885" s="45"/>
      <c r="I885" s="45"/>
      <c r="J885" s="45"/>
      <c r="K885" s="45"/>
      <c r="L885" s="45"/>
    </row>
    <row r="886" spans="3:12" x14ac:dyDescent="0.25">
      <c r="C886" s="45"/>
      <c r="D886" s="45"/>
      <c r="E886" s="45"/>
      <c r="F886" s="45"/>
      <c r="G886" s="45"/>
      <c r="H886" s="45"/>
      <c r="I886" s="45"/>
      <c r="J886" s="45"/>
      <c r="K886" s="45"/>
      <c r="L886" s="45"/>
    </row>
    <row r="887" spans="3:12" x14ac:dyDescent="0.25">
      <c r="C887" s="45"/>
      <c r="D887" s="45"/>
      <c r="E887" s="45"/>
      <c r="F887" s="45"/>
      <c r="G887" s="45"/>
      <c r="H887" s="45"/>
      <c r="I887" s="45"/>
      <c r="J887" s="45"/>
      <c r="K887" s="45"/>
      <c r="L887" s="45"/>
    </row>
    <row r="888" spans="3:12" x14ac:dyDescent="0.25">
      <c r="C888" s="45"/>
      <c r="D888" s="45"/>
      <c r="E888" s="45"/>
      <c r="F888" s="45"/>
      <c r="G888" s="45"/>
      <c r="H888" s="45"/>
      <c r="I888" s="45"/>
      <c r="J888" s="45"/>
      <c r="K888" s="45"/>
      <c r="L888" s="45"/>
    </row>
    <row r="889" spans="3:12" x14ac:dyDescent="0.25">
      <c r="C889" s="45"/>
      <c r="D889" s="45"/>
      <c r="E889" s="45"/>
      <c r="F889" s="45"/>
      <c r="G889" s="45"/>
      <c r="H889" s="45"/>
      <c r="I889" s="45"/>
      <c r="J889" s="45"/>
      <c r="K889" s="45"/>
      <c r="L889" s="45"/>
    </row>
    <row r="890" spans="3:12" x14ac:dyDescent="0.25">
      <c r="C890" s="45"/>
      <c r="D890" s="45"/>
      <c r="E890" s="45"/>
      <c r="F890" s="45"/>
      <c r="G890" s="45"/>
      <c r="H890" s="45"/>
      <c r="I890" s="45"/>
      <c r="J890" s="45"/>
      <c r="K890" s="45"/>
      <c r="L890" s="45"/>
    </row>
    <row r="891" spans="3:12" x14ac:dyDescent="0.25">
      <c r="C891" s="45"/>
      <c r="D891" s="45"/>
      <c r="E891" s="45"/>
      <c r="F891" s="45"/>
      <c r="G891" s="45"/>
      <c r="H891" s="45"/>
      <c r="I891" s="45"/>
      <c r="J891" s="45"/>
      <c r="K891" s="45"/>
      <c r="L891" s="45"/>
    </row>
    <row r="892" spans="3:12" x14ac:dyDescent="0.25">
      <c r="C892" s="45"/>
      <c r="D892" s="45"/>
      <c r="E892" s="45"/>
      <c r="F892" s="45"/>
      <c r="G892" s="45"/>
      <c r="H892" s="45"/>
      <c r="I892" s="45"/>
      <c r="J892" s="45"/>
      <c r="K892" s="45"/>
      <c r="L892" s="45"/>
    </row>
    <row r="893" spans="3:12" x14ac:dyDescent="0.25">
      <c r="C893" s="45"/>
      <c r="D893" s="45"/>
      <c r="E893" s="45"/>
      <c r="F893" s="45"/>
      <c r="G893" s="45"/>
      <c r="H893" s="45"/>
      <c r="I893" s="45"/>
      <c r="J893" s="45"/>
      <c r="K893" s="45"/>
      <c r="L893" s="45"/>
    </row>
    <row r="894" spans="3:12" x14ac:dyDescent="0.25">
      <c r="C894" s="45"/>
      <c r="D894" s="45"/>
      <c r="E894" s="45"/>
      <c r="F894" s="45"/>
      <c r="G894" s="45"/>
      <c r="H894" s="45"/>
      <c r="I894" s="45"/>
      <c r="J894" s="45"/>
      <c r="K894" s="45"/>
      <c r="L894" s="45"/>
    </row>
    <row r="895" spans="3:12" x14ac:dyDescent="0.25">
      <c r="C895" s="45"/>
      <c r="D895" s="45"/>
      <c r="E895" s="45"/>
      <c r="F895" s="45"/>
      <c r="G895" s="45"/>
      <c r="H895" s="45"/>
      <c r="I895" s="45"/>
      <c r="J895" s="45"/>
      <c r="K895" s="45"/>
      <c r="L895" s="45"/>
    </row>
    <row r="896" spans="3:12" x14ac:dyDescent="0.25">
      <c r="C896" s="45"/>
      <c r="D896" s="45"/>
      <c r="E896" s="45"/>
      <c r="F896" s="45"/>
      <c r="G896" s="45"/>
      <c r="H896" s="45"/>
      <c r="I896" s="45"/>
      <c r="J896" s="45"/>
      <c r="K896" s="45"/>
      <c r="L896" s="45"/>
    </row>
    <row r="897" spans="3:12" x14ac:dyDescent="0.25">
      <c r="C897" s="45"/>
      <c r="D897" s="45"/>
      <c r="E897" s="45"/>
      <c r="F897" s="45"/>
      <c r="G897" s="45"/>
      <c r="H897" s="45"/>
      <c r="I897" s="45"/>
      <c r="J897" s="45"/>
      <c r="K897" s="45"/>
      <c r="L897" s="45"/>
    </row>
    <row r="898" spans="3:12" x14ac:dyDescent="0.25">
      <c r="C898" s="45"/>
      <c r="D898" s="45"/>
      <c r="E898" s="45"/>
      <c r="F898" s="45"/>
      <c r="G898" s="45"/>
      <c r="H898" s="45"/>
      <c r="I898" s="45"/>
      <c r="J898" s="45"/>
      <c r="K898" s="45"/>
      <c r="L898" s="45"/>
    </row>
    <row r="899" spans="3:12" x14ac:dyDescent="0.25">
      <c r="C899" s="45"/>
      <c r="D899" s="45"/>
      <c r="E899" s="45"/>
      <c r="F899" s="45"/>
      <c r="G899" s="45"/>
      <c r="H899" s="45"/>
      <c r="I899" s="45"/>
      <c r="J899" s="45"/>
      <c r="K899" s="45"/>
      <c r="L899" s="45"/>
    </row>
    <row r="900" spans="3:12" x14ac:dyDescent="0.25">
      <c r="C900" s="45"/>
      <c r="D900" s="45"/>
      <c r="E900" s="45"/>
      <c r="F900" s="45"/>
      <c r="G900" s="45"/>
      <c r="H900" s="45"/>
      <c r="I900" s="45"/>
      <c r="J900" s="45"/>
      <c r="K900" s="45"/>
      <c r="L900" s="45"/>
    </row>
    <row r="901" spans="3:12" x14ac:dyDescent="0.25">
      <c r="C901" s="45"/>
      <c r="D901" s="45"/>
      <c r="E901" s="45"/>
      <c r="F901" s="45"/>
      <c r="G901" s="45"/>
      <c r="H901" s="45"/>
      <c r="I901" s="45"/>
      <c r="J901" s="45"/>
      <c r="K901" s="45"/>
      <c r="L901" s="45"/>
    </row>
    <row r="902" spans="3:12" x14ac:dyDescent="0.25">
      <c r="C902" s="45"/>
      <c r="D902" s="45"/>
      <c r="E902" s="45"/>
      <c r="F902" s="45"/>
      <c r="G902" s="45"/>
      <c r="H902" s="45"/>
      <c r="I902" s="45"/>
      <c r="J902" s="45"/>
      <c r="K902" s="45"/>
      <c r="L902" s="45"/>
    </row>
    <row r="903" spans="3:12" x14ac:dyDescent="0.25">
      <c r="C903" s="45"/>
      <c r="D903" s="45"/>
      <c r="E903" s="45"/>
      <c r="F903" s="45"/>
      <c r="G903" s="45"/>
      <c r="H903" s="45"/>
      <c r="I903" s="45"/>
      <c r="J903" s="45"/>
      <c r="K903" s="45"/>
      <c r="L903" s="45"/>
    </row>
    <row r="904" spans="3:12" x14ac:dyDescent="0.25">
      <c r="C904" s="45"/>
      <c r="D904" s="45"/>
      <c r="E904" s="45"/>
      <c r="F904" s="45"/>
      <c r="G904" s="45"/>
      <c r="H904" s="45"/>
      <c r="I904" s="45"/>
      <c r="J904" s="45"/>
      <c r="K904" s="45"/>
      <c r="L904" s="45"/>
    </row>
    <row r="905" spans="3:12" x14ac:dyDescent="0.25">
      <c r="C905" s="45"/>
      <c r="D905" s="45"/>
      <c r="E905" s="45"/>
      <c r="F905" s="45"/>
      <c r="G905" s="45"/>
      <c r="H905" s="45"/>
      <c r="I905" s="45"/>
      <c r="J905" s="45"/>
      <c r="K905" s="45"/>
      <c r="L905" s="45"/>
    </row>
    <row r="906" spans="3:12" x14ac:dyDescent="0.25">
      <c r="C906" s="45"/>
      <c r="D906" s="45"/>
      <c r="E906" s="45"/>
      <c r="F906" s="45"/>
      <c r="G906" s="45"/>
      <c r="H906" s="45"/>
      <c r="I906" s="45"/>
      <c r="J906" s="45"/>
      <c r="K906" s="45"/>
      <c r="L906" s="45"/>
    </row>
    <row r="907" spans="3:12" x14ac:dyDescent="0.25">
      <c r="C907" s="45"/>
      <c r="D907" s="45"/>
      <c r="E907" s="45"/>
      <c r="F907" s="45"/>
      <c r="G907" s="45"/>
      <c r="H907" s="45"/>
      <c r="I907" s="45"/>
      <c r="J907" s="45"/>
      <c r="K907" s="45"/>
      <c r="L907" s="45"/>
    </row>
    <row r="908" spans="3:12" x14ac:dyDescent="0.25">
      <c r="C908" s="45"/>
      <c r="D908" s="45"/>
      <c r="E908" s="45"/>
      <c r="F908" s="45"/>
      <c r="G908" s="45"/>
      <c r="H908" s="45"/>
      <c r="I908" s="45"/>
      <c r="J908" s="45"/>
      <c r="K908" s="45"/>
      <c r="L908" s="45"/>
    </row>
    <row r="909" spans="3:12" x14ac:dyDescent="0.25">
      <c r="C909" s="45"/>
      <c r="D909" s="45"/>
      <c r="E909" s="45"/>
      <c r="F909" s="45"/>
      <c r="G909" s="45"/>
      <c r="H909" s="45"/>
      <c r="I909" s="45"/>
      <c r="J909" s="45"/>
      <c r="K909" s="45"/>
      <c r="L909" s="45"/>
    </row>
    <row r="910" spans="3:12" x14ac:dyDescent="0.25">
      <c r="C910" s="45"/>
      <c r="D910" s="45"/>
      <c r="E910" s="45"/>
      <c r="F910" s="45"/>
      <c r="G910" s="45"/>
      <c r="H910" s="45"/>
      <c r="I910" s="45"/>
      <c r="J910" s="45"/>
      <c r="K910" s="45"/>
      <c r="L910" s="45"/>
    </row>
    <row r="911" spans="3:12" x14ac:dyDescent="0.25">
      <c r="C911" s="45"/>
      <c r="D911" s="45"/>
      <c r="E911" s="45"/>
      <c r="F911" s="45"/>
      <c r="G911" s="45"/>
      <c r="H911" s="45"/>
      <c r="I911" s="45"/>
      <c r="J911" s="45"/>
      <c r="K911" s="45"/>
      <c r="L911" s="45"/>
    </row>
    <row r="912" spans="3:12" x14ac:dyDescent="0.25">
      <c r="C912" s="45"/>
      <c r="D912" s="45"/>
      <c r="E912" s="45"/>
      <c r="F912" s="45"/>
      <c r="G912" s="45"/>
      <c r="H912" s="45"/>
      <c r="I912" s="45"/>
      <c r="J912" s="45"/>
      <c r="K912" s="45"/>
      <c r="L912" s="45"/>
    </row>
    <row r="913" spans="3:12" x14ac:dyDescent="0.25">
      <c r="C913" s="45"/>
      <c r="D913" s="45"/>
      <c r="E913" s="45"/>
      <c r="F913" s="45"/>
      <c r="G913" s="45"/>
      <c r="H913" s="45"/>
      <c r="I913" s="45"/>
      <c r="J913" s="45"/>
      <c r="K913" s="45"/>
      <c r="L913" s="45"/>
    </row>
    <row r="914" spans="3:12" x14ac:dyDescent="0.25">
      <c r="C914" s="45"/>
      <c r="D914" s="45"/>
      <c r="E914" s="45"/>
      <c r="F914" s="45"/>
      <c r="G914" s="45"/>
      <c r="H914" s="45"/>
      <c r="I914" s="45"/>
      <c r="J914" s="45"/>
      <c r="K914" s="45"/>
      <c r="L914" s="45"/>
    </row>
    <row r="915" spans="3:12" x14ac:dyDescent="0.25">
      <c r="C915" s="45"/>
      <c r="D915" s="45"/>
      <c r="E915" s="45"/>
      <c r="F915" s="45"/>
      <c r="G915" s="45"/>
      <c r="H915" s="45"/>
      <c r="I915" s="45"/>
      <c r="J915" s="45"/>
      <c r="K915" s="45"/>
      <c r="L915" s="45"/>
    </row>
    <row r="916" spans="3:12" x14ac:dyDescent="0.25">
      <c r="C916" s="45"/>
      <c r="D916" s="45"/>
      <c r="E916" s="45"/>
      <c r="F916" s="45"/>
      <c r="G916" s="45"/>
      <c r="H916" s="45"/>
      <c r="I916" s="45"/>
      <c r="J916" s="45"/>
      <c r="K916" s="45"/>
      <c r="L916" s="45"/>
    </row>
    <row r="917" spans="3:12" x14ac:dyDescent="0.25">
      <c r="C917" s="45"/>
      <c r="D917" s="45"/>
      <c r="E917" s="45"/>
      <c r="F917" s="45"/>
      <c r="G917" s="45"/>
      <c r="H917" s="45"/>
      <c r="I917" s="45"/>
      <c r="J917" s="45"/>
      <c r="K917" s="45"/>
      <c r="L917" s="45"/>
    </row>
    <row r="918" spans="3:12" x14ac:dyDescent="0.25">
      <c r="C918" s="45"/>
      <c r="D918" s="45"/>
      <c r="E918" s="45"/>
      <c r="F918" s="45"/>
      <c r="G918" s="45"/>
      <c r="H918" s="45"/>
      <c r="I918" s="45"/>
      <c r="J918" s="45"/>
      <c r="K918" s="45"/>
      <c r="L918" s="45"/>
    </row>
    <row r="919" spans="3:12" x14ac:dyDescent="0.25">
      <c r="C919" s="45"/>
      <c r="D919" s="45"/>
      <c r="E919" s="45"/>
      <c r="F919" s="45"/>
      <c r="G919" s="45"/>
      <c r="H919" s="45"/>
      <c r="I919" s="45"/>
      <c r="J919" s="45"/>
      <c r="K919" s="45"/>
      <c r="L919" s="45"/>
    </row>
    <row r="920" spans="3:12" x14ac:dyDescent="0.25">
      <c r="C920" s="45"/>
      <c r="D920" s="45"/>
      <c r="E920" s="45"/>
      <c r="F920" s="45"/>
      <c r="G920" s="45"/>
      <c r="H920" s="45"/>
      <c r="I920" s="45"/>
      <c r="J920" s="45"/>
      <c r="K920" s="45"/>
      <c r="L920" s="45"/>
    </row>
    <row r="921" spans="3:12" x14ac:dyDescent="0.25">
      <c r="C921" s="45"/>
      <c r="D921" s="45"/>
      <c r="E921" s="45"/>
      <c r="F921" s="45"/>
      <c r="G921" s="45"/>
      <c r="H921" s="45"/>
      <c r="I921" s="45"/>
      <c r="J921" s="45"/>
      <c r="K921" s="45"/>
      <c r="L921" s="45"/>
    </row>
    <row r="922" spans="3:12" x14ac:dyDescent="0.25">
      <c r="C922" s="45"/>
      <c r="D922" s="45"/>
      <c r="E922" s="45"/>
      <c r="F922" s="45"/>
      <c r="G922" s="45"/>
      <c r="H922" s="45"/>
      <c r="I922" s="45"/>
      <c r="J922" s="45"/>
      <c r="K922" s="45"/>
      <c r="L922" s="45"/>
    </row>
    <row r="923" spans="3:12" x14ac:dyDescent="0.25">
      <c r="C923" s="45"/>
      <c r="D923" s="45"/>
      <c r="E923" s="45"/>
      <c r="F923" s="45"/>
      <c r="G923" s="45"/>
      <c r="H923" s="45"/>
      <c r="I923" s="45"/>
      <c r="J923" s="45"/>
      <c r="K923" s="45"/>
      <c r="L923" s="45"/>
    </row>
    <row r="924" spans="3:12" x14ac:dyDescent="0.25">
      <c r="C924" s="45"/>
      <c r="D924" s="45"/>
      <c r="E924" s="45"/>
      <c r="F924" s="45"/>
      <c r="G924" s="45"/>
      <c r="H924" s="45"/>
      <c r="I924" s="45"/>
      <c r="J924" s="45"/>
      <c r="K924" s="45"/>
      <c r="L924" s="45"/>
    </row>
    <row r="925" spans="3:12" x14ac:dyDescent="0.25">
      <c r="C925" s="45"/>
      <c r="D925" s="45"/>
      <c r="E925" s="45"/>
      <c r="F925" s="45"/>
      <c r="G925" s="45"/>
      <c r="H925" s="45"/>
      <c r="I925" s="45"/>
      <c r="J925" s="45"/>
      <c r="K925" s="45"/>
      <c r="L925" s="45"/>
    </row>
    <row r="926" spans="3:12" x14ac:dyDescent="0.25">
      <c r="C926" s="45"/>
      <c r="D926" s="45"/>
      <c r="E926" s="45"/>
      <c r="F926" s="45"/>
      <c r="G926" s="45"/>
      <c r="H926" s="45"/>
      <c r="I926" s="45"/>
      <c r="J926" s="45"/>
      <c r="K926" s="45"/>
      <c r="L926" s="45"/>
    </row>
    <row r="927" spans="3:12" x14ac:dyDescent="0.25">
      <c r="C927" s="45"/>
      <c r="D927" s="45"/>
      <c r="E927" s="45"/>
      <c r="F927" s="45"/>
      <c r="G927" s="45"/>
      <c r="H927" s="45"/>
      <c r="I927" s="45"/>
      <c r="J927" s="45"/>
      <c r="K927" s="45"/>
      <c r="L927" s="45"/>
    </row>
    <row r="928" spans="3:12" x14ac:dyDescent="0.25">
      <c r="C928" s="45"/>
      <c r="D928" s="45"/>
      <c r="E928" s="45"/>
      <c r="F928" s="45"/>
      <c r="G928" s="45"/>
      <c r="H928" s="45"/>
      <c r="I928" s="45"/>
      <c r="J928" s="45"/>
      <c r="K928" s="45"/>
      <c r="L928" s="45"/>
    </row>
    <row r="929" spans="3:12" x14ac:dyDescent="0.25">
      <c r="C929" s="45"/>
      <c r="D929" s="45"/>
      <c r="E929" s="45"/>
      <c r="F929" s="45"/>
      <c r="G929" s="45"/>
      <c r="H929" s="45"/>
      <c r="I929" s="45"/>
      <c r="J929" s="45"/>
      <c r="K929" s="45"/>
      <c r="L929" s="45"/>
    </row>
    <row r="930" spans="3:12" x14ac:dyDescent="0.25">
      <c r="C930" s="45"/>
      <c r="D930" s="45"/>
      <c r="E930" s="45"/>
      <c r="F930" s="45"/>
      <c r="G930" s="45"/>
      <c r="H930" s="45"/>
      <c r="I930" s="45"/>
      <c r="J930" s="45"/>
      <c r="K930" s="45"/>
      <c r="L930" s="45"/>
    </row>
    <row r="931" spans="3:12" x14ac:dyDescent="0.25">
      <c r="C931" s="45"/>
      <c r="D931" s="45"/>
      <c r="E931" s="45"/>
      <c r="F931" s="45"/>
      <c r="G931" s="45"/>
      <c r="H931" s="45"/>
      <c r="I931" s="45"/>
      <c r="J931" s="45"/>
      <c r="K931" s="45"/>
      <c r="L931" s="45"/>
    </row>
    <row r="932" spans="3:12" x14ac:dyDescent="0.25">
      <c r="C932" s="45"/>
      <c r="D932" s="45"/>
      <c r="E932" s="45"/>
      <c r="F932" s="45"/>
      <c r="G932" s="45"/>
      <c r="H932" s="45"/>
      <c r="I932" s="45"/>
      <c r="J932" s="45"/>
      <c r="K932" s="45"/>
      <c r="L932" s="45"/>
    </row>
    <row r="933" spans="3:12" x14ac:dyDescent="0.25">
      <c r="C933" s="45"/>
      <c r="D933" s="45"/>
      <c r="E933" s="45"/>
      <c r="F933" s="45"/>
      <c r="G933" s="45"/>
      <c r="H933" s="45"/>
      <c r="I933" s="45"/>
      <c r="J933" s="45"/>
      <c r="K933" s="45"/>
      <c r="L933" s="45"/>
    </row>
    <row r="934" spans="3:12" x14ac:dyDescent="0.25">
      <c r="C934" s="45"/>
      <c r="D934" s="45"/>
      <c r="E934" s="45"/>
      <c r="F934" s="45"/>
      <c r="G934" s="45"/>
      <c r="H934" s="45"/>
      <c r="I934" s="45"/>
      <c r="J934" s="45"/>
      <c r="K934" s="45"/>
      <c r="L934" s="45"/>
    </row>
    <row r="935" spans="3:12" x14ac:dyDescent="0.25">
      <c r="C935" s="45"/>
      <c r="D935" s="45"/>
      <c r="E935" s="45"/>
      <c r="F935" s="45"/>
      <c r="G935" s="45"/>
      <c r="H935" s="45"/>
      <c r="I935" s="45"/>
      <c r="J935" s="45"/>
      <c r="K935" s="45"/>
      <c r="L935" s="45"/>
    </row>
    <row r="936" spans="3:12" x14ac:dyDescent="0.25">
      <c r="C936" s="45"/>
      <c r="D936" s="45"/>
      <c r="E936" s="45"/>
      <c r="F936" s="45"/>
      <c r="G936" s="45"/>
      <c r="H936" s="45"/>
      <c r="I936" s="45"/>
      <c r="J936" s="45"/>
      <c r="K936" s="45"/>
      <c r="L936" s="45"/>
    </row>
    <row r="937" spans="3:12" x14ac:dyDescent="0.25">
      <c r="C937" s="45"/>
      <c r="D937" s="45"/>
      <c r="E937" s="45"/>
      <c r="F937" s="45"/>
      <c r="G937" s="45"/>
      <c r="H937" s="45"/>
      <c r="I937" s="45"/>
      <c r="J937" s="45"/>
      <c r="K937" s="45"/>
      <c r="L937" s="45"/>
    </row>
    <row r="938" spans="3:12" x14ac:dyDescent="0.25">
      <c r="C938" s="45"/>
      <c r="D938" s="45"/>
      <c r="E938" s="45"/>
      <c r="F938" s="45"/>
      <c r="G938" s="45"/>
      <c r="H938" s="45"/>
      <c r="I938" s="45"/>
      <c r="J938" s="45"/>
      <c r="K938" s="45"/>
      <c r="L938" s="45"/>
    </row>
    <row r="939" spans="3:12" x14ac:dyDescent="0.25">
      <c r="C939" s="45"/>
      <c r="D939" s="45"/>
      <c r="E939" s="45"/>
      <c r="F939" s="45"/>
      <c r="G939" s="45"/>
      <c r="H939" s="45"/>
      <c r="I939" s="45"/>
      <c r="J939" s="45"/>
      <c r="K939" s="45"/>
      <c r="L939" s="45"/>
    </row>
    <row r="940" spans="3:12" x14ac:dyDescent="0.25">
      <c r="C940" s="45"/>
      <c r="D940" s="45"/>
      <c r="E940" s="45"/>
      <c r="F940" s="45"/>
      <c r="G940" s="45"/>
      <c r="H940" s="45"/>
      <c r="I940" s="45"/>
      <c r="J940" s="45"/>
      <c r="K940" s="45"/>
      <c r="L940" s="45"/>
    </row>
    <row r="941" spans="3:12" x14ac:dyDescent="0.25">
      <c r="C941" s="45"/>
      <c r="D941" s="45"/>
      <c r="E941" s="45"/>
      <c r="F941" s="45"/>
      <c r="G941" s="45"/>
      <c r="H941" s="45"/>
      <c r="I941" s="45"/>
      <c r="J941" s="45"/>
      <c r="K941" s="45"/>
      <c r="L941" s="45"/>
    </row>
    <row r="942" spans="3:12" x14ac:dyDescent="0.25">
      <c r="C942" s="45"/>
      <c r="D942" s="45"/>
      <c r="E942" s="45"/>
      <c r="F942" s="45"/>
      <c r="G942" s="45"/>
      <c r="H942" s="45"/>
      <c r="I942" s="45"/>
      <c r="J942" s="45"/>
      <c r="K942" s="45"/>
      <c r="L942" s="45"/>
    </row>
    <row r="943" spans="3:12" x14ac:dyDescent="0.25">
      <c r="C943" s="45"/>
      <c r="D943" s="45"/>
      <c r="E943" s="45"/>
      <c r="F943" s="45"/>
      <c r="G943" s="45"/>
      <c r="H943" s="45"/>
      <c r="I943" s="45"/>
      <c r="J943" s="45"/>
      <c r="K943" s="45"/>
      <c r="L943" s="45"/>
    </row>
    <row r="944" spans="3:12" x14ac:dyDescent="0.25">
      <c r="C944" s="45"/>
      <c r="D944" s="45"/>
      <c r="E944" s="45"/>
      <c r="F944" s="45"/>
      <c r="G944" s="45"/>
      <c r="H944" s="45"/>
      <c r="I944" s="45"/>
      <c r="J944" s="45"/>
      <c r="K944" s="45"/>
      <c r="L944" s="45"/>
    </row>
    <row r="945" spans="3:12" x14ac:dyDescent="0.25">
      <c r="C945" s="45"/>
      <c r="D945" s="45"/>
      <c r="E945" s="45"/>
      <c r="F945" s="45"/>
      <c r="G945" s="45"/>
      <c r="H945" s="45"/>
      <c r="I945" s="45"/>
      <c r="J945" s="45"/>
      <c r="K945" s="45"/>
      <c r="L945" s="45"/>
    </row>
    <row r="946" spans="3:12" x14ac:dyDescent="0.25">
      <c r="C946" s="45"/>
      <c r="D946" s="45"/>
      <c r="E946" s="45"/>
      <c r="F946" s="45"/>
      <c r="G946" s="45"/>
      <c r="H946" s="45"/>
      <c r="I946" s="45"/>
      <c r="J946" s="45"/>
      <c r="K946" s="45"/>
      <c r="L946" s="45"/>
    </row>
    <row r="947" spans="3:12" x14ac:dyDescent="0.25">
      <c r="C947" s="45"/>
      <c r="D947" s="45"/>
      <c r="E947" s="45"/>
      <c r="F947" s="45"/>
      <c r="G947" s="45"/>
      <c r="H947" s="45"/>
      <c r="I947" s="45"/>
      <c r="J947" s="45"/>
      <c r="K947" s="45"/>
      <c r="L947" s="45"/>
    </row>
    <row r="948" spans="3:12" x14ac:dyDescent="0.25">
      <c r="C948" s="45"/>
      <c r="D948" s="45"/>
      <c r="E948" s="45"/>
      <c r="F948" s="45"/>
      <c r="G948" s="45"/>
      <c r="H948" s="45"/>
      <c r="I948" s="45"/>
      <c r="J948" s="45"/>
      <c r="K948" s="45"/>
      <c r="L948" s="45"/>
    </row>
    <row r="949" spans="3:12" x14ac:dyDescent="0.25">
      <c r="C949" s="45"/>
      <c r="D949" s="45"/>
      <c r="E949" s="45"/>
      <c r="F949" s="45"/>
      <c r="G949" s="45"/>
      <c r="H949" s="45"/>
      <c r="I949" s="45"/>
      <c r="J949" s="45"/>
      <c r="K949" s="45"/>
      <c r="L949" s="45"/>
    </row>
    <row r="950" spans="3:12" x14ac:dyDescent="0.25">
      <c r="C950" s="45"/>
      <c r="D950" s="45"/>
      <c r="E950" s="45"/>
      <c r="F950" s="45"/>
      <c r="G950" s="45"/>
      <c r="H950" s="45"/>
      <c r="I950" s="45"/>
      <c r="J950" s="45"/>
      <c r="K950" s="45"/>
      <c r="L950" s="45"/>
    </row>
    <row r="951" spans="3:12" x14ac:dyDescent="0.25">
      <c r="C951" s="45"/>
      <c r="D951" s="45"/>
      <c r="E951" s="45"/>
      <c r="F951" s="45"/>
      <c r="G951" s="45"/>
      <c r="H951" s="45"/>
      <c r="I951" s="45"/>
      <c r="J951" s="45"/>
      <c r="K951" s="45"/>
      <c r="L951" s="45"/>
    </row>
    <row r="952" spans="3:12" x14ac:dyDescent="0.25">
      <c r="C952" s="45"/>
      <c r="D952" s="45"/>
      <c r="E952" s="45"/>
      <c r="F952" s="45"/>
      <c r="G952" s="45"/>
      <c r="H952" s="45"/>
      <c r="I952" s="45"/>
      <c r="J952" s="45"/>
      <c r="K952" s="45"/>
      <c r="L952" s="45"/>
    </row>
    <row r="953" spans="3:12" x14ac:dyDescent="0.25">
      <c r="C953" s="45"/>
      <c r="D953" s="45"/>
      <c r="E953" s="45"/>
      <c r="F953" s="45"/>
      <c r="G953" s="45"/>
      <c r="H953" s="45"/>
      <c r="I953" s="45"/>
      <c r="J953" s="45"/>
      <c r="K953" s="45"/>
      <c r="L953" s="45"/>
    </row>
    <row r="954" spans="3:12" x14ac:dyDescent="0.25">
      <c r="C954" s="45"/>
      <c r="D954" s="45"/>
      <c r="E954" s="45"/>
      <c r="F954" s="45"/>
      <c r="G954" s="45"/>
      <c r="H954" s="45"/>
      <c r="I954" s="45"/>
      <c r="J954" s="45"/>
      <c r="K954" s="45"/>
      <c r="L954" s="45"/>
    </row>
    <row r="955" spans="3:12" x14ac:dyDescent="0.25">
      <c r="C955" s="45"/>
      <c r="D955" s="45"/>
      <c r="E955" s="45"/>
      <c r="F955" s="45"/>
      <c r="G955" s="45"/>
      <c r="H955" s="45"/>
      <c r="I955" s="45"/>
      <c r="J955" s="45"/>
      <c r="K955" s="45"/>
      <c r="L955" s="45"/>
    </row>
    <row r="956" spans="3:12" x14ac:dyDescent="0.25">
      <c r="C956" s="45"/>
      <c r="D956" s="45"/>
      <c r="E956" s="45"/>
      <c r="F956" s="45"/>
      <c r="G956" s="45"/>
      <c r="H956" s="45"/>
      <c r="I956" s="45"/>
      <c r="J956" s="45"/>
      <c r="K956" s="45"/>
      <c r="L956" s="45"/>
    </row>
    <row r="957" spans="3:12" x14ac:dyDescent="0.25">
      <c r="C957" s="45"/>
      <c r="D957" s="45"/>
      <c r="E957" s="45"/>
      <c r="F957" s="45"/>
      <c r="G957" s="45"/>
      <c r="H957" s="45"/>
      <c r="I957" s="45"/>
      <c r="J957" s="45"/>
      <c r="K957" s="45"/>
      <c r="L957" s="45"/>
    </row>
    <row r="958" spans="3:12" x14ac:dyDescent="0.25">
      <c r="C958" s="45"/>
      <c r="D958" s="45"/>
      <c r="E958" s="45"/>
      <c r="F958" s="45"/>
      <c r="G958" s="45"/>
      <c r="H958" s="45"/>
      <c r="I958" s="45"/>
      <c r="J958" s="45"/>
      <c r="K958" s="45"/>
      <c r="L958" s="45"/>
    </row>
    <row r="959" spans="3:12" x14ac:dyDescent="0.25">
      <c r="C959" s="45"/>
      <c r="D959" s="45"/>
      <c r="E959" s="45"/>
      <c r="F959" s="45"/>
      <c r="G959" s="45"/>
      <c r="H959" s="45"/>
      <c r="I959" s="45"/>
      <c r="J959" s="45"/>
      <c r="K959" s="45"/>
      <c r="L959" s="45"/>
    </row>
    <row r="960" spans="3:12" x14ac:dyDescent="0.25">
      <c r="C960" s="45"/>
      <c r="D960" s="45"/>
      <c r="E960" s="45"/>
      <c r="F960" s="45"/>
      <c r="G960" s="45"/>
      <c r="H960" s="45"/>
      <c r="I960" s="45"/>
      <c r="J960" s="45"/>
      <c r="K960" s="45"/>
      <c r="L960" s="45"/>
    </row>
    <row r="961" spans="3:12" x14ac:dyDescent="0.25">
      <c r="C961" s="45"/>
      <c r="D961" s="45"/>
      <c r="E961" s="45"/>
      <c r="F961" s="45"/>
      <c r="G961" s="45"/>
      <c r="H961" s="45"/>
      <c r="I961" s="45"/>
      <c r="J961" s="45"/>
      <c r="K961" s="45"/>
      <c r="L961" s="45"/>
    </row>
    <row r="962" spans="3:12" x14ac:dyDescent="0.25">
      <c r="C962" s="45"/>
      <c r="D962" s="45"/>
      <c r="E962" s="45"/>
      <c r="F962" s="45"/>
      <c r="G962" s="45"/>
      <c r="H962" s="45"/>
      <c r="I962" s="45"/>
      <c r="J962" s="45"/>
      <c r="K962" s="45"/>
      <c r="L962" s="45"/>
    </row>
    <row r="963" spans="3:12" x14ac:dyDescent="0.25">
      <c r="C963" s="45"/>
      <c r="D963" s="45"/>
      <c r="E963" s="45"/>
      <c r="F963" s="45"/>
      <c r="G963" s="45"/>
      <c r="H963" s="45"/>
      <c r="I963" s="45"/>
      <c r="J963" s="45"/>
      <c r="K963" s="45"/>
      <c r="L963" s="45"/>
    </row>
    <row r="964" spans="3:12" x14ac:dyDescent="0.25">
      <c r="C964" s="45"/>
      <c r="D964" s="45"/>
      <c r="E964" s="45"/>
      <c r="F964" s="45"/>
      <c r="G964" s="45"/>
      <c r="H964" s="45"/>
      <c r="I964" s="45"/>
      <c r="J964" s="45"/>
      <c r="K964" s="45"/>
      <c r="L964" s="45"/>
    </row>
    <row r="965" spans="3:12" x14ac:dyDescent="0.25">
      <c r="C965" s="45"/>
      <c r="D965" s="45"/>
      <c r="E965" s="45"/>
      <c r="F965" s="45"/>
      <c r="G965" s="45"/>
      <c r="H965" s="45"/>
      <c r="I965" s="45"/>
      <c r="J965" s="45"/>
      <c r="K965" s="45"/>
      <c r="L965" s="45"/>
    </row>
    <row r="966" spans="3:12" x14ac:dyDescent="0.25">
      <c r="C966" s="45"/>
      <c r="D966" s="45"/>
      <c r="E966" s="45"/>
      <c r="F966" s="45"/>
      <c r="G966" s="45"/>
      <c r="H966" s="45"/>
      <c r="I966" s="45"/>
      <c r="J966" s="45"/>
      <c r="K966" s="45"/>
      <c r="L966" s="45"/>
    </row>
    <row r="967" spans="3:12" x14ac:dyDescent="0.25">
      <c r="C967" s="45"/>
      <c r="D967" s="45"/>
      <c r="E967" s="45"/>
      <c r="F967" s="45"/>
      <c r="G967" s="45"/>
      <c r="H967" s="45"/>
      <c r="I967" s="45"/>
      <c r="J967" s="45"/>
      <c r="K967" s="45"/>
      <c r="L967" s="45"/>
    </row>
    <row r="968" spans="3:12" x14ac:dyDescent="0.25">
      <c r="C968" s="45"/>
      <c r="D968" s="45"/>
      <c r="E968" s="45"/>
      <c r="F968" s="45"/>
      <c r="G968" s="45"/>
      <c r="H968" s="45"/>
      <c r="I968" s="45"/>
      <c r="J968" s="45"/>
      <c r="K968" s="45"/>
      <c r="L968" s="45"/>
    </row>
    <row r="969" spans="3:12" x14ac:dyDescent="0.25">
      <c r="C969" s="45"/>
      <c r="D969" s="45"/>
      <c r="E969" s="45"/>
      <c r="F969" s="45"/>
      <c r="G969" s="45"/>
      <c r="H969" s="45"/>
      <c r="I969" s="45"/>
      <c r="J969" s="45"/>
      <c r="K969" s="45"/>
      <c r="L969" s="45"/>
    </row>
    <row r="970" spans="3:12" x14ac:dyDescent="0.25">
      <c r="C970" s="45"/>
      <c r="D970" s="45"/>
      <c r="E970" s="45"/>
      <c r="F970" s="45"/>
      <c r="G970" s="45"/>
      <c r="H970" s="45"/>
      <c r="I970" s="45"/>
      <c r="J970" s="45"/>
      <c r="K970" s="45"/>
      <c r="L970" s="45"/>
    </row>
    <row r="971" spans="3:12" x14ac:dyDescent="0.25">
      <c r="C971" s="45"/>
      <c r="D971" s="45"/>
      <c r="E971" s="45"/>
      <c r="F971" s="45"/>
      <c r="G971" s="45"/>
      <c r="H971" s="45"/>
      <c r="I971" s="45"/>
      <c r="J971" s="45"/>
      <c r="K971" s="45"/>
      <c r="L971" s="45"/>
    </row>
    <row r="972" spans="3:12" x14ac:dyDescent="0.25">
      <c r="C972" s="45"/>
      <c r="D972" s="45"/>
      <c r="E972" s="45"/>
      <c r="F972" s="45"/>
      <c r="G972" s="45"/>
      <c r="H972" s="45"/>
      <c r="I972" s="45"/>
      <c r="J972" s="45"/>
      <c r="K972" s="45"/>
      <c r="L972" s="45"/>
    </row>
    <row r="973" spans="3:12" x14ac:dyDescent="0.25">
      <c r="C973" s="45"/>
      <c r="D973" s="45"/>
      <c r="E973" s="45"/>
      <c r="F973" s="45"/>
      <c r="G973" s="45"/>
      <c r="H973" s="45"/>
      <c r="I973" s="45"/>
      <c r="J973" s="45"/>
      <c r="K973" s="45"/>
      <c r="L973" s="45"/>
    </row>
    <row r="974" spans="3:12" x14ac:dyDescent="0.25">
      <c r="C974" s="45"/>
      <c r="D974" s="45"/>
      <c r="E974" s="45"/>
      <c r="F974" s="45"/>
      <c r="G974" s="45"/>
      <c r="H974" s="45"/>
      <c r="I974" s="45"/>
      <c r="J974" s="45"/>
      <c r="K974" s="45"/>
      <c r="L974" s="45"/>
    </row>
    <row r="975" spans="3:12" x14ac:dyDescent="0.25">
      <c r="C975" s="45"/>
      <c r="D975" s="45"/>
      <c r="E975" s="45"/>
      <c r="F975" s="45"/>
      <c r="G975" s="45"/>
      <c r="H975" s="45"/>
      <c r="I975" s="45"/>
      <c r="J975" s="45"/>
      <c r="K975" s="45"/>
      <c r="L975" s="45"/>
    </row>
    <row r="976" spans="3:12" x14ac:dyDescent="0.25">
      <c r="C976" s="45"/>
      <c r="D976" s="45"/>
      <c r="E976" s="45"/>
      <c r="F976" s="45"/>
      <c r="G976" s="45"/>
      <c r="H976" s="45"/>
      <c r="I976" s="45"/>
      <c r="J976" s="45"/>
      <c r="K976" s="45"/>
      <c r="L976" s="45"/>
    </row>
    <row r="977" spans="3:12" x14ac:dyDescent="0.25">
      <c r="C977" s="45"/>
      <c r="D977" s="45"/>
      <c r="E977" s="45"/>
      <c r="F977" s="45"/>
      <c r="G977" s="45"/>
      <c r="H977" s="45"/>
      <c r="I977" s="45"/>
      <c r="J977" s="45"/>
      <c r="K977" s="45"/>
      <c r="L977" s="45"/>
    </row>
    <row r="978" spans="3:12" x14ac:dyDescent="0.25">
      <c r="C978" s="45"/>
      <c r="D978" s="45"/>
      <c r="E978" s="45"/>
      <c r="F978" s="45"/>
      <c r="G978" s="45"/>
      <c r="H978" s="45"/>
      <c r="I978" s="45"/>
      <c r="J978" s="45"/>
      <c r="K978" s="45"/>
      <c r="L978" s="45"/>
    </row>
    <row r="979" spans="3:12" x14ac:dyDescent="0.25">
      <c r="C979" s="45"/>
      <c r="D979" s="45"/>
      <c r="E979" s="45"/>
      <c r="F979" s="45"/>
      <c r="G979" s="45"/>
      <c r="H979" s="45"/>
      <c r="I979" s="45"/>
      <c r="J979" s="45"/>
      <c r="K979" s="45"/>
      <c r="L979" s="45"/>
    </row>
    <row r="980" spans="3:12" x14ac:dyDescent="0.25">
      <c r="C980" s="45"/>
      <c r="D980" s="45"/>
      <c r="E980" s="45"/>
      <c r="F980" s="45"/>
      <c r="G980" s="45"/>
      <c r="H980" s="45"/>
      <c r="I980" s="45"/>
      <c r="J980" s="45"/>
      <c r="K980" s="45"/>
      <c r="L980" s="45"/>
    </row>
    <row r="981" spans="3:12" x14ac:dyDescent="0.25">
      <c r="C981" s="45"/>
      <c r="D981" s="45"/>
      <c r="E981" s="45"/>
      <c r="F981" s="45"/>
      <c r="G981" s="45"/>
      <c r="H981" s="45"/>
      <c r="I981" s="45"/>
      <c r="J981" s="45"/>
      <c r="K981" s="45"/>
      <c r="L981" s="45"/>
    </row>
    <row r="982" spans="3:12" x14ac:dyDescent="0.25">
      <c r="C982" s="45"/>
      <c r="D982" s="45"/>
      <c r="E982" s="45"/>
      <c r="F982" s="45"/>
      <c r="G982" s="45"/>
      <c r="H982" s="45"/>
      <c r="I982" s="45"/>
      <c r="J982" s="45"/>
      <c r="K982" s="45"/>
      <c r="L982" s="45"/>
    </row>
    <row r="983" spans="3:12" x14ac:dyDescent="0.25">
      <c r="C983" s="45"/>
      <c r="D983" s="45"/>
      <c r="E983" s="45"/>
      <c r="F983" s="45"/>
      <c r="G983" s="45"/>
      <c r="H983" s="45"/>
      <c r="I983" s="45"/>
      <c r="J983" s="45"/>
      <c r="K983" s="45"/>
      <c r="L983" s="45"/>
    </row>
    <row r="984" spans="3:12" x14ac:dyDescent="0.25">
      <c r="C984" s="45"/>
      <c r="D984" s="45"/>
      <c r="E984" s="45"/>
      <c r="F984" s="45"/>
      <c r="G984" s="45"/>
      <c r="H984" s="45"/>
      <c r="I984" s="45"/>
      <c r="J984" s="45"/>
      <c r="K984" s="45"/>
      <c r="L984" s="45"/>
    </row>
    <row r="985" spans="3:12" x14ac:dyDescent="0.25">
      <c r="C985" s="45"/>
      <c r="D985" s="45"/>
      <c r="E985" s="45"/>
      <c r="F985" s="45"/>
      <c r="G985" s="45"/>
      <c r="H985" s="45"/>
      <c r="I985" s="45"/>
      <c r="J985" s="45"/>
      <c r="K985" s="45"/>
      <c r="L985" s="45"/>
    </row>
    <row r="986" spans="3:12" x14ac:dyDescent="0.25">
      <c r="C986" s="45"/>
      <c r="D986" s="45"/>
      <c r="E986" s="45"/>
      <c r="F986" s="45"/>
      <c r="G986" s="45"/>
      <c r="H986" s="45"/>
      <c r="I986" s="45"/>
      <c r="J986" s="45"/>
      <c r="K986" s="45"/>
      <c r="L986" s="45"/>
    </row>
    <row r="987" spans="3:12" x14ac:dyDescent="0.25">
      <c r="C987" s="45"/>
      <c r="D987" s="45"/>
      <c r="E987" s="45"/>
      <c r="F987" s="45"/>
      <c r="G987" s="45"/>
      <c r="H987" s="45"/>
      <c r="I987" s="45"/>
      <c r="J987" s="45"/>
      <c r="K987" s="45"/>
      <c r="L987" s="45"/>
    </row>
    <row r="988" spans="3:12" x14ac:dyDescent="0.25">
      <c r="C988" s="45"/>
      <c r="D988" s="45"/>
      <c r="E988" s="45"/>
      <c r="F988" s="45"/>
      <c r="G988" s="45"/>
      <c r="H988" s="45"/>
      <c r="I988" s="45"/>
      <c r="J988" s="45"/>
      <c r="K988" s="45"/>
      <c r="L988" s="45"/>
    </row>
    <row r="989" spans="3:12" x14ac:dyDescent="0.25">
      <c r="C989" s="45"/>
      <c r="D989" s="45"/>
      <c r="E989" s="45"/>
      <c r="F989" s="45"/>
      <c r="G989" s="45"/>
      <c r="H989" s="45"/>
      <c r="I989" s="45"/>
      <c r="J989" s="45"/>
      <c r="K989" s="45"/>
      <c r="L989" s="45"/>
    </row>
    <row r="990" spans="3:12" x14ac:dyDescent="0.25">
      <c r="C990" s="45"/>
      <c r="D990" s="45"/>
      <c r="E990" s="45"/>
      <c r="F990" s="45"/>
      <c r="G990" s="45"/>
      <c r="H990" s="45"/>
      <c r="I990" s="45"/>
      <c r="J990" s="45"/>
      <c r="K990" s="45"/>
      <c r="L990" s="45"/>
    </row>
    <row r="991" spans="3:12" x14ac:dyDescent="0.25">
      <c r="C991" s="45"/>
      <c r="D991" s="45"/>
      <c r="E991" s="45"/>
      <c r="F991" s="45"/>
      <c r="G991" s="45"/>
      <c r="H991" s="45"/>
      <c r="I991" s="45"/>
      <c r="J991" s="45"/>
      <c r="K991" s="45"/>
      <c r="L991" s="45"/>
    </row>
    <row r="992" spans="3:12" x14ac:dyDescent="0.25">
      <c r="C992" s="45"/>
      <c r="D992" s="45"/>
      <c r="E992" s="45"/>
      <c r="F992" s="45"/>
      <c r="G992" s="45"/>
      <c r="H992" s="45"/>
      <c r="I992" s="45"/>
      <c r="J992" s="45"/>
      <c r="K992" s="45"/>
      <c r="L992" s="45"/>
    </row>
    <row r="993" spans="3:12" x14ac:dyDescent="0.25">
      <c r="C993" s="45"/>
      <c r="D993" s="45"/>
      <c r="E993" s="45"/>
      <c r="F993" s="45"/>
      <c r="G993" s="45"/>
      <c r="H993" s="45"/>
      <c r="I993" s="45"/>
      <c r="J993" s="45"/>
      <c r="K993" s="45"/>
      <c r="L993" s="45"/>
    </row>
    <row r="994" spans="3:12" x14ac:dyDescent="0.25">
      <c r="C994" s="45"/>
      <c r="D994" s="45"/>
      <c r="E994" s="45"/>
      <c r="F994" s="45"/>
      <c r="G994" s="45"/>
      <c r="H994" s="45"/>
      <c r="I994" s="45"/>
      <c r="J994" s="45"/>
      <c r="K994" s="45"/>
      <c r="L994" s="45"/>
    </row>
    <row r="995" spans="3:12" x14ac:dyDescent="0.25">
      <c r="C995" s="45"/>
      <c r="D995" s="45"/>
      <c r="E995" s="45"/>
      <c r="F995" s="45"/>
      <c r="G995" s="45"/>
      <c r="H995" s="45"/>
      <c r="I995" s="45"/>
      <c r="J995" s="45"/>
      <c r="K995" s="45"/>
      <c r="L995" s="45"/>
    </row>
    <row r="996" spans="3:12" x14ac:dyDescent="0.25">
      <c r="C996" s="45"/>
      <c r="D996" s="45"/>
      <c r="E996" s="45"/>
      <c r="F996" s="45"/>
      <c r="G996" s="45"/>
      <c r="H996" s="45"/>
      <c r="I996" s="45"/>
      <c r="J996" s="45"/>
      <c r="K996" s="45"/>
      <c r="L996" s="45"/>
    </row>
    <row r="997" spans="3:12" x14ac:dyDescent="0.25">
      <c r="C997" s="45"/>
      <c r="D997" s="45"/>
      <c r="E997" s="45"/>
      <c r="F997" s="45"/>
      <c r="G997" s="45"/>
      <c r="H997" s="45"/>
      <c r="I997" s="45"/>
      <c r="J997" s="45"/>
      <c r="K997" s="45"/>
      <c r="L997" s="45"/>
    </row>
    <row r="998" spans="3:12" x14ac:dyDescent="0.25">
      <c r="C998" s="45"/>
      <c r="D998" s="45"/>
      <c r="E998" s="45"/>
      <c r="F998" s="45"/>
      <c r="G998" s="45"/>
      <c r="H998" s="45"/>
      <c r="I998" s="45"/>
      <c r="J998" s="45"/>
      <c r="K998" s="45"/>
      <c r="L998" s="45"/>
    </row>
    <row r="999" spans="3:12" x14ac:dyDescent="0.25">
      <c r="C999" s="45"/>
      <c r="D999" s="45"/>
      <c r="E999" s="45"/>
      <c r="F999" s="45"/>
      <c r="G999" s="45"/>
      <c r="H999" s="45"/>
      <c r="I999" s="45"/>
      <c r="J999" s="45"/>
      <c r="K999" s="45"/>
      <c r="L999" s="45"/>
    </row>
    <row r="1000" spans="3:12" x14ac:dyDescent="0.25"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</row>
  </sheetData>
  <mergeCells count="1">
    <mergeCell ref="C5:J5"/>
  </mergeCells>
  <conditionalFormatting sqref="A7:B1000">
    <cfRule type="expression" dxfId="29" priority="15">
      <formula>IF(AND($A7&gt;0,ISEVEN($A7)),TRUE,FALSE)</formula>
    </cfRule>
    <cfRule type="expression" dxfId="28" priority="16">
      <formula>IF(AND($A7&gt;0,ISODD($A7)),TRUE,FALSE)</formula>
    </cfRule>
  </conditionalFormatting>
  <conditionalFormatting sqref="A7:J1000">
    <cfRule type="cellIs" dxfId="27" priority="4" operator="equal">
      <formula>0</formula>
    </cfRule>
    <cfRule type="expression" dxfId="26" priority="5">
      <formula>IF($B7="total",TRUE,FALSE)</formula>
    </cfRule>
    <cfRule type="expression" dxfId="25" priority="6">
      <formula>IF($B7="total",TRUE,FALSE)</formula>
    </cfRule>
  </conditionalFormatting>
  <conditionalFormatting sqref="J7:J1000">
    <cfRule type="expression" dxfId="24" priority="7">
      <formula>IF(AND($A7&gt;0,ISEVEN($A7)),TRUE,FALSE)</formula>
    </cfRule>
    <cfRule type="expression" dxfId="23" priority="8">
      <formula>IF(AND($A7&gt;0,ISODD($A7)),TRUE,FALSE)</formula>
    </cfRule>
  </conditionalFormatting>
  <conditionalFormatting sqref="L7:L1000">
    <cfRule type="cellIs" dxfId="22" priority="1" operator="equal">
      <formula>0</formula>
    </cfRule>
    <cfRule type="expression" dxfId="21" priority="2">
      <formula>IF($B7="total",TRUE,FALSE)</formula>
    </cfRule>
    <cfRule type="expression" dxfId="20" priority="3">
      <formula>IF($B7="total",TRUE,FALSE)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7089-EE3E-423F-AE69-FF85104A7F85}">
  <sheetPr codeName="Hoja4">
    <tabColor theme="4"/>
  </sheetPr>
  <dimension ref="A3:Z1000"/>
  <sheetViews>
    <sheetView zoomScaleNormal="100" workbookViewId="0">
      <pane ySplit="6" topLeftCell="A267" activePane="bottomLeft" state="frozen"/>
      <selection activeCell="A266" sqref="A266:XFD266"/>
      <selection pane="bottomLeft" activeCell="A293" sqref="A293"/>
    </sheetView>
  </sheetViews>
  <sheetFormatPr baseColWidth="10" defaultRowHeight="15" x14ac:dyDescent="0.25"/>
  <cols>
    <col min="11" max="11" width="17.5703125" customWidth="1"/>
    <col min="12" max="12" width="3.7109375" customWidth="1"/>
    <col min="20" max="20" width="16.42578125" customWidth="1"/>
    <col min="21" max="21" width="3.7109375" customWidth="1"/>
    <col min="23" max="23" width="3.7109375" customWidth="1"/>
  </cols>
  <sheetData>
    <row r="3" spans="1:26" ht="25.5" x14ac:dyDescent="0.25">
      <c r="A3" s="5"/>
      <c r="B3" s="1"/>
      <c r="C3" s="29" t="str">
        <f>Inicio!C4</f>
        <v>Importaciones de gas natural por puntos de entrada</v>
      </c>
      <c r="D3" s="29"/>
      <c r="E3" s="29"/>
      <c r="F3" s="29"/>
      <c r="G3" s="29"/>
      <c r="H3" s="29"/>
      <c r="I3" s="29"/>
      <c r="J3" s="29"/>
      <c r="K3" s="29"/>
      <c r="L3" s="6"/>
      <c r="M3" s="29"/>
      <c r="N3" s="29"/>
      <c r="O3" s="29"/>
      <c r="P3" s="29"/>
      <c r="Q3" s="29"/>
      <c r="R3" s="29"/>
      <c r="S3" s="29"/>
      <c r="T3" s="29"/>
      <c r="U3" s="29"/>
      <c r="V3" s="29"/>
      <c r="W3" s="6"/>
      <c r="X3" s="6"/>
      <c r="Y3" s="1"/>
      <c r="Z3" s="1"/>
    </row>
    <row r="4" spans="1:26" x14ac:dyDescent="0.25">
      <c r="A4" s="12" t="str">
        <f>Inicio!$A$16</f>
        <v>Actualizado el 17-08-2026</v>
      </c>
      <c r="B4" s="5"/>
      <c r="C4" s="5"/>
      <c r="D4" s="5"/>
      <c r="E4" s="5"/>
      <c r="F4" s="5"/>
      <c r="G4" s="7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"/>
      <c r="Y4" s="5"/>
      <c r="Z4" s="9" t="s">
        <v>16</v>
      </c>
    </row>
    <row r="5" spans="1:26" ht="15.75" customHeight="1" thickBot="1" x14ac:dyDescent="0.3">
      <c r="A5" s="11"/>
      <c r="B5" s="10"/>
      <c r="C5" s="69" t="str">
        <f>'Conexiones Internacionales'!C5:K5</f>
        <v>Conexiones Internacionales</v>
      </c>
      <c r="D5" s="69"/>
      <c r="E5" s="69"/>
      <c r="F5" s="69"/>
      <c r="G5" s="69"/>
      <c r="H5" s="69"/>
      <c r="I5" s="69"/>
      <c r="J5" s="69"/>
      <c r="K5" s="69"/>
      <c r="L5" s="1"/>
      <c r="M5" s="70" t="s">
        <v>42</v>
      </c>
      <c r="N5" s="70"/>
      <c r="O5" s="70"/>
      <c r="P5" s="70"/>
      <c r="Q5" s="70"/>
      <c r="R5" s="70"/>
      <c r="S5" s="70"/>
      <c r="T5" s="70"/>
      <c r="U5" s="30"/>
      <c r="V5" s="38" t="s">
        <v>41</v>
      </c>
      <c r="W5" s="63"/>
      <c r="X5" s="71" t="s">
        <v>0</v>
      </c>
      <c r="Y5" s="73" t="s">
        <v>19</v>
      </c>
      <c r="Z5" s="73" t="s">
        <v>20</v>
      </c>
    </row>
    <row r="6" spans="1:26" ht="33.75" customHeight="1" thickTop="1" x14ac:dyDescent="0.25">
      <c r="A6" s="50" t="s">
        <v>1</v>
      </c>
      <c r="B6" s="40" t="s">
        <v>2</v>
      </c>
      <c r="C6" s="41" t="str">
        <f>'Conexiones Internacionales'!C6</f>
        <v>Almería</v>
      </c>
      <c r="D6" s="41" t="str">
        <f>'Conexiones Internacionales'!D6</f>
        <v>Badajoz</v>
      </c>
      <c r="E6" s="41" t="str">
        <f>'Conexiones Internacionales'!E6</f>
        <v>Irún</v>
      </c>
      <c r="F6" s="41" t="str">
        <f>'Conexiones Internacionales'!F6</f>
        <v>Larrau</v>
      </c>
      <c r="G6" s="41" t="str">
        <f>'Conexiones Internacionales'!G6</f>
        <v>Tuy</v>
      </c>
      <c r="H6" s="41" t="str">
        <f>'Conexiones Internacionales'!H6</f>
        <v>Zahara de los Atunes</v>
      </c>
      <c r="I6" s="41" t="str">
        <f>'Conexiones Internacionales'!I6</f>
        <v>VIP Ibérico</v>
      </c>
      <c r="J6" s="41" t="str">
        <f>'Conexiones Internacionales'!J6</f>
        <v>VIP Pirineos</v>
      </c>
      <c r="K6" s="37" t="str">
        <f>'Conexiones Internacionales'!K6</f>
        <v>Total Conexiones internacionales</v>
      </c>
      <c r="L6" s="58"/>
      <c r="M6" s="59" t="str">
        <f>'Plantas regasif. y cisternas'!C6</f>
        <v>Barcelona</v>
      </c>
      <c r="N6" s="59" t="str">
        <f>'Plantas regasif. y cisternas'!D6</f>
        <v>Bilbao</v>
      </c>
      <c r="O6" s="59" t="str">
        <f>'Plantas regasif. y cisternas'!E6</f>
        <v>Cartagena</v>
      </c>
      <c r="P6" s="59" t="str">
        <f>'Plantas regasif. y cisternas'!F6</f>
        <v>Huelva</v>
      </c>
      <c r="Q6" s="59" t="str">
        <f>'Plantas regasif. y cisternas'!G6</f>
        <v>Mugardos</v>
      </c>
      <c r="R6" s="59" t="s">
        <v>49</v>
      </c>
      <c r="S6" s="59" t="str">
        <f>'Plantas regasif. y cisternas'!I6</f>
        <v>Sagunto</v>
      </c>
      <c r="T6" s="31" t="str">
        <f>'Plantas regasif. y cisternas'!J6</f>
        <v>Total Plantas de regasificación</v>
      </c>
      <c r="U6" s="37"/>
      <c r="V6" s="59" t="str">
        <f>'Plantas regasif. y cisternas'!L6</f>
        <v>Cisternas</v>
      </c>
      <c r="W6" s="37"/>
      <c r="X6" s="72"/>
      <c r="Y6" s="74" t="s">
        <v>19</v>
      </c>
      <c r="Z6" s="74" t="s">
        <v>20</v>
      </c>
    </row>
    <row r="7" spans="1:26" ht="12" customHeight="1" x14ac:dyDescent="0.25">
      <c r="A7" s="42">
        <v>2004</v>
      </c>
      <c r="B7" s="42" t="s">
        <v>3</v>
      </c>
      <c r="C7" s="44">
        <v>0</v>
      </c>
      <c r="D7" s="43">
        <v>0</v>
      </c>
      <c r="E7" s="43">
        <v>0</v>
      </c>
      <c r="F7" s="43">
        <v>2153.9589999999998</v>
      </c>
      <c r="G7" s="43">
        <v>0</v>
      </c>
      <c r="H7" s="43">
        <v>6511.8689999999997</v>
      </c>
      <c r="I7" s="43">
        <v>0</v>
      </c>
      <c r="J7" s="43">
        <v>0</v>
      </c>
      <c r="K7" s="44">
        <v>8665.8279999999995</v>
      </c>
      <c r="L7" s="60"/>
      <c r="M7" s="44">
        <v>7042.0878999999995</v>
      </c>
      <c r="N7" s="43">
        <v>2719.8667999999998</v>
      </c>
      <c r="O7" s="43">
        <v>5274.8375900000001</v>
      </c>
      <c r="P7" s="43">
        <v>2455.7903799999999</v>
      </c>
      <c r="Q7" s="43">
        <v>0</v>
      </c>
      <c r="R7" s="43"/>
      <c r="S7" s="43">
        <v>0</v>
      </c>
      <c r="T7" s="44">
        <v>17492.582669999996</v>
      </c>
      <c r="U7" s="55"/>
      <c r="V7" s="44">
        <v>0</v>
      </c>
      <c r="W7" s="61"/>
      <c r="X7" s="44">
        <v>26158.410669999997</v>
      </c>
      <c r="Y7" s="62">
        <v>17492.582669999996</v>
      </c>
      <c r="Z7" s="62">
        <v>8665.8279999999995</v>
      </c>
    </row>
    <row r="8" spans="1:26" ht="12" customHeight="1" x14ac:dyDescent="0.25">
      <c r="A8" s="42">
        <v>2004</v>
      </c>
      <c r="B8" s="42" t="s">
        <v>4</v>
      </c>
      <c r="C8" s="43">
        <v>0</v>
      </c>
      <c r="D8" s="43">
        <v>0</v>
      </c>
      <c r="E8" s="43">
        <v>0</v>
      </c>
      <c r="F8" s="43">
        <v>2191.2503400000001</v>
      </c>
      <c r="G8" s="43">
        <v>337.27</v>
      </c>
      <c r="H8" s="43">
        <v>7179.018</v>
      </c>
      <c r="I8" s="43">
        <v>0</v>
      </c>
      <c r="J8" s="43">
        <v>0</v>
      </c>
      <c r="K8" s="44">
        <v>9707.5383399999992</v>
      </c>
      <c r="L8" s="60"/>
      <c r="M8" s="43">
        <v>6558.9904200000001</v>
      </c>
      <c r="N8" s="43">
        <v>1690.36499</v>
      </c>
      <c r="O8" s="43">
        <v>4369.4843499999997</v>
      </c>
      <c r="P8" s="43">
        <v>2769.7185499999996</v>
      </c>
      <c r="Q8" s="43">
        <v>0</v>
      </c>
      <c r="R8" s="43"/>
      <c r="S8" s="43">
        <v>0</v>
      </c>
      <c r="T8" s="44">
        <v>15388.558309999999</v>
      </c>
      <c r="U8" s="55"/>
      <c r="V8" s="43">
        <v>0</v>
      </c>
      <c r="W8" s="61"/>
      <c r="X8" s="44">
        <v>25096.096649999999</v>
      </c>
      <c r="Y8" s="62">
        <v>15388.558309999999</v>
      </c>
      <c r="Z8" s="62">
        <v>9707.5383399999992</v>
      </c>
    </row>
    <row r="9" spans="1:26" ht="12" customHeight="1" x14ac:dyDescent="0.25">
      <c r="A9" s="42">
        <v>2004</v>
      </c>
      <c r="B9" s="42" t="s">
        <v>5</v>
      </c>
      <c r="C9" s="43">
        <v>0</v>
      </c>
      <c r="D9" s="43">
        <v>0</v>
      </c>
      <c r="E9" s="43">
        <v>0</v>
      </c>
      <c r="F9" s="43">
        <v>2304.1930300000004</v>
      </c>
      <c r="G9" s="43">
        <v>337.64</v>
      </c>
      <c r="H9" s="43">
        <v>8231.7170000000006</v>
      </c>
      <c r="I9" s="43">
        <v>0</v>
      </c>
      <c r="J9" s="43">
        <v>0</v>
      </c>
      <c r="K9" s="44">
        <v>10873.55003</v>
      </c>
      <c r="L9" s="60"/>
      <c r="M9" s="43">
        <v>4743.2995799999981</v>
      </c>
      <c r="N9" s="43">
        <v>1695.8440000000001</v>
      </c>
      <c r="O9" s="43">
        <v>5005.53143</v>
      </c>
      <c r="P9" s="43">
        <v>3617.8601100000001</v>
      </c>
      <c r="Q9" s="43">
        <v>0</v>
      </c>
      <c r="R9" s="43"/>
      <c r="S9" s="43">
        <v>0</v>
      </c>
      <c r="T9" s="44">
        <v>15062.535119999999</v>
      </c>
      <c r="U9" s="55"/>
      <c r="V9" s="43">
        <v>0</v>
      </c>
      <c r="W9" s="61"/>
      <c r="X9" s="44">
        <v>25936.085149999999</v>
      </c>
      <c r="Y9" s="62">
        <v>15062.535119999999</v>
      </c>
      <c r="Z9" s="62">
        <v>10873.55003</v>
      </c>
    </row>
    <row r="10" spans="1:26" ht="12" customHeight="1" x14ac:dyDescent="0.25">
      <c r="A10" s="42">
        <v>2004</v>
      </c>
      <c r="B10" s="42" t="s">
        <v>6</v>
      </c>
      <c r="C10" s="43">
        <v>0</v>
      </c>
      <c r="D10" s="43">
        <v>0</v>
      </c>
      <c r="E10" s="43">
        <v>0</v>
      </c>
      <c r="F10" s="43">
        <v>2197.15299</v>
      </c>
      <c r="G10" s="43">
        <v>0</v>
      </c>
      <c r="H10" s="43">
        <v>5275.3980000000001</v>
      </c>
      <c r="I10" s="43">
        <v>0</v>
      </c>
      <c r="J10" s="43">
        <v>0</v>
      </c>
      <c r="K10" s="44">
        <v>7472.5509899999997</v>
      </c>
      <c r="L10" s="60"/>
      <c r="M10" s="43">
        <v>5615.8863700000002</v>
      </c>
      <c r="N10" s="43">
        <v>2069.6970000000001</v>
      </c>
      <c r="O10" s="43">
        <v>4695.348109999999</v>
      </c>
      <c r="P10" s="43">
        <v>3372.7635500000001</v>
      </c>
      <c r="Q10" s="43">
        <v>0</v>
      </c>
      <c r="R10" s="43"/>
      <c r="S10" s="43">
        <v>0</v>
      </c>
      <c r="T10" s="44">
        <v>15753.695029999999</v>
      </c>
      <c r="U10" s="55"/>
      <c r="V10" s="43">
        <v>0</v>
      </c>
      <c r="W10" s="61"/>
      <c r="X10" s="44">
        <v>23226.246019999999</v>
      </c>
      <c r="Y10" s="62">
        <v>15753.695029999999</v>
      </c>
      <c r="Z10" s="62">
        <v>7472.5509899999997</v>
      </c>
    </row>
    <row r="11" spans="1:26" ht="12" customHeight="1" x14ac:dyDescent="0.25">
      <c r="A11" s="42">
        <v>2004</v>
      </c>
      <c r="B11" s="42" t="s">
        <v>7</v>
      </c>
      <c r="C11" s="43">
        <v>0</v>
      </c>
      <c r="D11" s="43">
        <v>0</v>
      </c>
      <c r="E11" s="43">
        <v>0</v>
      </c>
      <c r="F11" s="43">
        <v>2262.6331500000001</v>
      </c>
      <c r="G11" s="43">
        <v>232.6</v>
      </c>
      <c r="H11" s="43">
        <v>5316.8990000000003</v>
      </c>
      <c r="I11" s="43">
        <v>0</v>
      </c>
      <c r="J11" s="43">
        <v>0</v>
      </c>
      <c r="K11" s="44">
        <v>7812.1321500000004</v>
      </c>
      <c r="L11" s="60"/>
      <c r="M11" s="43">
        <v>6295.7849800000004</v>
      </c>
      <c r="N11" s="43">
        <v>3064.4902999999999</v>
      </c>
      <c r="O11" s="43">
        <v>6677.6866</v>
      </c>
      <c r="P11" s="43">
        <v>3388.6596</v>
      </c>
      <c r="Q11" s="43">
        <v>0</v>
      </c>
      <c r="R11" s="43"/>
      <c r="S11" s="43">
        <v>0</v>
      </c>
      <c r="T11" s="44">
        <v>19426.621479999998</v>
      </c>
      <c r="U11" s="55"/>
      <c r="V11" s="43">
        <v>0</v>
      </c>
      <c r="W11" s="61"/>
      <c r="X11" s="44">
        <v>27238.753629999999</v>
      </c>
      <c r="Y11" s="62">
        <v>19426.621479999998</v>
      </c>
      <c r="Z11" s="62">
        <v>7812.1321500000004</v>
      </c>
    </row>
    <row r="12" spans="1:26" ht="12" customHeight="1" x14ac:dyDescent="0.25">
      <c r="A12" s="42">
        <v>2004</v>
      </c>
      <c r="B12" s="42" t="s">
        <v>8</v>
      </c>
      <c r="C12" s="43">
        <v>0</v>
      </c>
      <c r="D12" s="43">
        <v>0</v>
      </c>
      <c r="E12" s="43">
        <v>0</v>
      </c>
      <c r="F12" s="43">
        <v>2205.3343300000001</v>
      </c>
      <c r="G12" s="43">
        <v>0</v>
      </c>
      <c r="H12" s="43">
        <v>6180.6112999999996</v>
      </c>
      <c r="I12" s="43">
        <v>0</v>
      </c>
      <c r="J12" s="43">
        <v>0</v>
      </c>
      <c r="K12" s="44">
        <v>8385.9456300000002</v>
      </c>
      <c r="L12" s="60"/>
      <c r="M12" s="43">
        <v>6126.1201100000008</v>
      </c>
      <c r="N12" s="43">
        <v>2260.4467</v>
      </c>
      <c r="O12" s="43">
        <v>5057.4653399999997</v>
      </c>
      <c r="P12" s="43">
        <v>3085.4080899999999</v>
      </c>
      <c r="Q12" s="43">
        <v>0</v>
      </c>
      <c r="R12" s="43"/>
      <c r="S12" s="43">
        <v>0</v>
      </c>
      <c r="T12" s="44">
        <v>16529.44024</v>
      </c>
      <c r="U12" s="55"/>
      <c r="V12" s="43">
        <v>0</v>
      </c>
      <c r="W12" s="61"/>
      <c r="X12" s="44">
        <v>24915.385869999998</v>
      </c>
      <c r="Y12" s="62">
        <v>16529.44024</v>
      </c>
      <c r="Z12" s="62">
        <v>8385.9456300000002</v>
      </c>
    </row>
    <row r="13" spans="1:26" ht="12" customHeight="1" x14ac:dyDescent="0.25">
      <c r="A13" s="42">
        <v>2004</v>
      </c>
      <c r="B13" s="42" t="s">
        <v>9</v>
      </c>
      <c r="C13" s="43">
        <v>0</v>
      </c>
      <c r="D13" s="43">
        <v>0</v>
      </c>
      <c r="E13" s="43">
        <v>0</v>
      </c>
      <c r="F13" s="43">
        <v>2131.2800000000002</v>
      </c>
      <c r="G13" s="43">
        <v>0</v>
      </c>
      <c r="H13" s="43">
        <v>6711.9219999999996</v>
      </c>
      <c r="I13" s="43">
        <v>0</v>
      </c>
      <c r="J13" s="43">
        <v>0</v>
      </c>
      <c r="K13" s="44">
        <v>8843.2019999999993</v>
      </c>
      <c r="L13" s="60"/>
      <c r="M13" s="43">
        <v>5135.5693300000003</v>
      </c>
      <c r="N13" s="43">
        <v>2091.4940999999999</v>
      </c>
      <c r="O13" s="43">
        <v>5734.0650400000004</v>
      </c>
      <c r="P13" s="43">
        <v>4405.8200199999992</v>
      </c>
      <c r="Q13" s="43">
        <v>0</v>
      </c>
      <c r="R13" s="43"/>
      <c r="S13" s="43">
        <v>0</v>
      </c>
      <c r="T13" s="44">
        <v>17366.948489999999</v>
      </c>
      <c r="U13" s="55"/>
      <c r="V13" s="43">
        <v>0</v>
      </c>
      <c r="W13" s="61"/>
      <c r="X13" s="44">
        <v>26210.15049</v>
      </c>
      <c r="Y13" s="62">
        <v>17366.948489999999</v>
      </c>
      <c r="Z13" s="62">
        <v>8843.2019999999993</v>
      </c>
    </row>
    <row r="14" spans="1:26" ht="12" customHeight="1" x14ac:dyDescent="0.25">
      <c r="A14" s="42">
        <v>2004</v>
      </c>
      <c r="B14" s="42" t="s">
        <v>10</v>
      </c>
      <c r="C14" s="43">
        <v>0</v>
      </c>
      <c r="D14" s="43">
        <v>0</v>
      </c>
      <c r="E14" s="43">
        <v>0</v>
      </c>
      <c r="F14" s="43">
        <v>1702.126</v>
      </c>
      <c r="G14" s="43">
        <v>0</v>
      </c>
      <c r="H14" s="43">
        <v>5878.5349999999999</v>
      </c>
      <c r="I14" s="43">
        <v>0</v>
      </c>
      <c r="J14" s="43">
        <v>0</v>
      </c>
      <c r="K14" s="44">
        <v>7580.6610000000001</v>
      </c>
      <c r="L14" s="60"/>
      <c r="M14" s="43">
        <v>4642.0598599999994</v>
      </c>
      <c r="N14" s="43">
        <v>2214.9405300000003</v>
      </c>
      <c r="O14" s="43">
        <v>5230.9459699999998</v>
      </c>
      <c r="P14" s="43">
        <v>3690.7909000000004</v>
      </c>
      <c r="Q14" s="43">
        <v>0</v>
      </c>
      <c r="R14" s="43"/>
      <c r="S14" s="43">
        <v>0</v>
      </c>
      <c r="T14" s="44">
        <v>15778.737259999998</v>
      </c>
      <c r="U14" s="55"/>
      <c r="V14" s="43">
        <v>0</v>
      </c>
      <c r="W14" s="61"/>
      <c r="X14" s="44">
        <v>23359.398259999998</v>
      </c>
      <c r="Y14" s="62">
        <v>15778.737259999998</v>
      </c>
      <c r="Z14" s="62">
        <v>7580.6610000000001</v>
      </c>
    </row>
    <row r="15" spans="1:26" ht="12" customHeight="1" x14ac:dyDescent="0.25">
      <c r="A15" s="42">
        <v>2004</v>
      </c>
      <c r="B15" s="42" t="s">
        <v>11</v>
      </c>
      <c r="C15" s="43">
        <v>0</v>
      </c>
      <c r="D15" s="43">
        <v>0</v>
      </c>
      <c r="E15" s="43">
        <v>0</v>
      </c>
      <c r="F15" s="43">
        <v>2160.5164799999998</v>
      </c>
      <c r="G15" s="43">
        <v>0</v>
      </c>
      <c r="H15" s="43">
        <v>7299.7960000000003</v>
      </c>
      <c r="I15" s="43">
        <v>0</v>
      </c>
      <c r="J15" s="43">
        <v>0</v>
      </c>
      <c r="K15" s="44">
        <v>9460.3124800000005</v>
      </c>
      <c r="L15" s="60"/>
      <c r="M15" s="43">
        <v>5366.716449999999</v>
      </c>
      <c r="N15" s="43">
        <v>3298.4670899999996</v>
      </c>
      <c r="O15" s="43">
        <v>6277.6253300000008</v>
      </c>
      <c r="P15" s="43">
        <v>3669.2918499999996</v>
      </c>
      <c r="Q15" s="43">
        <v>0</v>
      </c>
      <c r="R15" s="43"/>
      <c r="S15" s="43">
        <v>0</v>
      </c>
      <c r="T15" s="44">
        <v>18612.100719999999</v>
      </c>
      <c r="U15" s="55"/>
      <c r="V15" s="43">
        <v>0</v>
      </c>
      <c r="W15" s="61"/>
      <c r="X15" s="44">
        <v>28072.413199999999</v>
      </c>
      <c r="Y15" s="62">
        <v>18612.100719999999</v>
      </c>
      <c r="Z15" s="62">
        <v>9460.3124800000005</v>
      </c>
    </row>
    <row r="16" spans="1:26" ht="12" customHeight="1" x14ac:dyDescent="0.25">
      <c r="A16" s="42">
        <v>2004</v>
      </c>
      <c r="B16" s="42" t="s">
        <v>12</v>
      </c>
      <c r="C16" s="43">
        <v>0</v>
      </c>
      <c r="D16" s="43">
        <v>0</v>
      </c>
      <c r="E16" s="43">
        <v>0</v>
      </c>
      <c r="F16" s="43">
        <v>2355.4397100000001</v>
      </c>
      <c r="G16" s="43">
        <v>0</v>
      </c>
      <c r="H16" s="43">
        <v>8175.1580000000004</v>
      </c>
      <c r="I16" s="43">
        <v>0</v>
      </c>
      <c r="J16" s="43">
        <v>0</v>
      </c>
      <c r="K16" s="44">
        <v>10530.59771</v>
      </c>
      <c r="L16" s="60"/>
      <c r="M16" s="43">
        <v>6147.2016999999996</v>
      </c>
      <c r="N16" s="43">
        <v>3092.6593599999997</v>
      </c>
      <c r="O16" s="43">
        <v>4179.9239600000001</v>
      </c>
      <c r="P16" s="43">
        <v>2776.6180800000002</v>
      </c>
      <c r="Q16" s="43">
        <v>0</v>
      </c>
      <c r="R16" s="43"/>
      <c r="S16" s="43">
        <v>0</v>
      </c>
      <c r="T16" s="44">
        <v>16196.4031</v>
      </c>
      <c r="U16" s="55"/>
      <c r="V16" s="43">
        <v>0</v>
      </c>
      <c r="W16" s="61"/>
      <c r="X16" s="44">
        <v>26727.000809999998</v>
      </c>
      <c r="Y16" s="62">
        <v>16196.4031</v>
      </c>
      <c r="Z16" s="62">
        <v>10530.59771</v>
      </c>
    </row>
    <row r="17" spans="1:26" ht="12" customHeight="1" x14ac:dyDescent="0.25">
      <c r="A17" s="42">
        <v>2004</v>
      </c>
      <c r="B17" s="42" t="s">
        <v>13</v>
      </c>
      <c r="C17" s="43">
        <v>0</v>
      </c>
      <c r="D17" s="43">
        <v>0</v>
      </c>
      <c r="E17" s="43">
        <v>0</v>
      </c>
      <c r="F17" s="43">
        <v>2279.0174499999998</v>
      </c>
      <c r="G17" s="43">
        <v>0</v>
      </c>
      <c r="H17" s="43">
        <v>9134.5139999999992</v>
      </c>
      <c r="I17" s="43">
        <v>0</v>
      </c>
      <c r="J17" s="43">
        <v>0</v>
      </c>
      <c r="K17" s="44">
        <v>11413.531449999999</v>
      </c>
      <c r="L17" s="60"/>
      <c r="M17" s="43">
        <v>6666.7459499999995</v>
      </c>
      <c r="N17" s="43">
        <v>3453.9217000000003</v>
      </c>
      <c r="O17" s="43">
        <v>5186.9542000000001</v>
      </c>
      <c r="P17" s="43">
        <v>4241.4173499999997</v>
      </c>
      <c r="Q17" s="43">
        <v>0</v>
      </c>
      <c r="R17" s="43"/>
      <c r="S17" s="43">
        <v>0</v>
      </c>
      <c r="T17" s="44">
        <v>19549.039199999999</v>
      </c>
      <c r="U17" s="55"/>
      <c r="V17" s="43">
        <v>0</v>
      </c>
      <c r="W17" s="61"/>
      <c r="X17" s="44">
        <v>30962.570649999998</v>
      </c>
      <c r="Y17" s="62">
        <v>19549.039199999999</v>
      </c>
      <c r="Z17" s="62">
        <v>11413.531449999999</v>
      </c>
    </row>
    <row r="18" spans="1:26" ht="12" customHeight="1" x14ac:dyDescent="0.25">
      <c r="A18" s="42">
        <v>2004</v>
      </c>
      <c r="B18" s="42" t="s">
        <v>14</v>
      </c>
      <c r="C18" s="43">
        <v>0</v>
      </c>
      <c r="D18" s="43">
        <v>0</v>
      </c>
      <c r="E18" s="43">
        <v>0</v>
      </c>
      <c r="F18" s="43">
        <v>2349.9121299999993</v>
      </c>
      <c r="G18" s="43">
        <v>0</v>
      </c>
      <c r="H18" s="43">
        <v>8244.6299999999992</v>
      </c>
      <c r="I18" s="43">
        <v>0</v>
      </c>
      <c r="J18" s="43">
        <v>0</v>
      </c>
      <c r="K18" s="44">
        <v>10594.542129999998</v>
      </c>
      <c r="L18" s="60"/>
      <c r="M18" s="43">
        <v>5198.9915000000001</v>
      </c>
      <c r="N18" s="43">
        <v>1702.5627000000002</v>
      </c>
      <c r="O18" s="43">
        <v>6739.4228599999997</v>
      </c>
      <c r="P18" s="43">
        <v>2556.5744199999999</v>
      </c>
      <c r="Q18" s="43">
        <v>0</v>
      </c>
      <c r="R18" s="43"/>
      <c r="S18" s="43">
        <v>0</v>
      </c>
      <c r="T18" s="44">
        <v>16197.551480000002</v>
      </c>
      <c r="U18" s="55"/>
      <c r="V18" s="43">
        <v>0</v>
      </c>
      <c r="W18" s="61"/>
      <c r="X18" s="44">
        <v>26792.09361</v>
      </c>
      <c r="Y18" s="62">
        <v>16197.551480000002</v>
      </c>
      <c r="Z18" s="62">
        <v>10594.542129999998</v>
      </c>
    </row>
    <row r="19" spans="1:26" ht="12" customHeight="1" x14ac:dyDescent="0.25">
      <c r="A19" s="42">
        <v>2004</v>
      </c>
      <c r="B19" s="42" t="s">
        <v>15</v>
      </c>
      <c r="C19" s="43">
        <v>0</v>
      </c>
      <c r="D19" s="43">
        <v>0</v>
      </c>
      <c r="E19" s="43">
        <v>0</v>
      </c>
      <c r="F19" s="43">
        <v>26292.814609999998</v>
      </c>
      <c r="G19" s="43">
        <v>907.51</v>
      </c>
      <c r="H19" s="43">
        <v>84140.067299999995</v>
      </c>
      <c r="I19" s="43">
        <v>0</v>
      </c>
      <c r="J19" s="43">
        <v>0</v>
      </c>
      <c r="K19" s="44">
        <v>111340.39190999999</v>
      </c>
      <c r="L19" s="60"/>
      <c r="M19" s="43">
        <v>69539.45414999999</v>
      </c>
      <c r="N19" s="43">
        <v>29354.755269999998</v>
      </c>
      <c r="O19" s="43">
        <v>64429.290780000003</v>
      </c>
      <c r="P19" s="43">
        <v>40030.712899999991</v>
      </c>
      <c r="Q19" s="43">
        <v>0</v>
      </c>
      <c r="R19" s="43"/>
      <c r="S19" s="43">
        <v>0</v>
      </c>
      <c r="T19" s="44">
        <v>203354.21309999996</v>
      </c>
      <c r="U19" s="55"/>
      <c r="V19" s="43">
        <v>0</v>
      </c>
      <c r="W19" s="61"/>
      <c r="X19" s="44">
        <v>314694.60500999994</v>
      </c>
      <c r="Y19" s="62">
        <v>203354.21309999996</v>
      </c>
      <c r="Z19" s="62">
        <v>111340.39190999999</v>
      </c>
    </row>
    <row r="20" spans="1:26" ht="12" customHeight="1" x14ac:dyDescent="0.25">
      <c r="A20" s="42">
        <v>2005</v>
      </c>
      <c r="B20" s="42" t="s">
        <v>3</v>
      </c>
      <c r="C20" s="43">
        <v>0</v>
      </c>
      <c r="D20" s="43">
        <v>0</v>
      </c>
      <c r="E20" s="43">
        <v>0</v>
      </c>
      <c r="F20" s="43">
        <v>2262.1120000000001</v>
      </c>
      <c r="G20" s="43">
        <v>0</v>
      </c>
      <c r="H20" s="43">
        <v>8202.982</v>
      </c>
      <c r="I20" s="43">
        <v>0</v>
      </c>
      <c r="J20" s="43">
        <v>0</v>
      </c>
      <c r="K20" s="44">
        <v>10465.094000000001</v>
      </c>
      <c r="L20" s="60"/>
      <c r="M20" s="43">
        <v>7429.1232499999996</v>
      </c>
      <c r="N20" s="43">
        <v>2678.1868000000004</v>
      </c>
      <c r="O20" s="43">
        <v>6333.0558000000001</v>
      </c>
      <c r="P20" s="43">
        <v>6578.7940600000002</v>
      </c>
      <c r="Q20" s="43">
        <v>0</v>
      </c>
      <c r="R20" s="43"/>
      <c r="S20" s="43">
        <v>0</v>
      </c>
      <c r="T20" s="44">
        <v>23019.159910000002</v>
      </c>
      <c r="U20" s="55"/>
      <c r="V20" s="43">
        <v>0</v>
      </c>
      <c r="W20" s="61"/>
      <c r="X20" s="44">
        <v>33484.253909999999</v>
      </c>
      <c r="Y20" s="62">
        <v>23019.159910000002</v>
      </c>
      <c r="Z20" s="62">
        <v>10465.094000000001</v>
      </c>
    </row>
    <row r="21" spans="1:26" ht="12" customHeight="1" x14ac:dyDescent="0.25">
      <c r="A21" s="42">
        <v>2005</v>
      </c>
      <c r="B21" s="42" t="s">
        <v>4</v>
      </c>
      <c r="C21" s="43">
        <v>0</v>
      </c>
      <c r="D21" s="43">
        <v>0</v>
      </c>
      <c r="E21" s="43">
        <v>0</v>
      </c>
      <c r="F21" s="43">
        <v>2046.6949999999999</v>
      </c>
      <c r="G21" s="43">
        <v>0</v>
      </c>
      <c r="H21" s="43">
        <v>8873.222099999999</v>
      </c>
      <c r="I21" s="43">
        <v>0</v>
      </c>
      <c r="J21" s="43">
        <v>0</v>
      </c>
      <c r="K21" s="44">
        <v>10919.917099999999</v>
      </c>
      <c r="L21" s="60"/>
      <c r="M21" s="43">
        <v>5162.9866999999995</v>
      </c>
      <c r="N21" s="43">
        <v>2729.2563</v>
      </c>
      <c r="O21" s="43">
        <v>7599.3126299999985</v>
      </c>
      <c r="P21" s="43">
        <v>5193.6348200000002</v>
      </c>
      <c r="Q21" s="43">
        <v>0</v>
      </c>
      <c r="R21" s="43"/>
      <c r="S21" s="43">
        <v>0</v>
      </c>
      <c r="T21" s="44">
        <v>20685.190449999998</v>
      </c>
      <c r="U21" s="55"/>
      <c r="V21" s="43">
        <v>0</v>
      </c>
      <c r="W21" s="61"/>
      <c r="X21" s="44">
        <v>31605.107549999997</v>
      </c>
      <c r="Y21" s="62">
        <v>20685.190449999998</v>
      </c>
      <c r="Z21" s="62">
        <v>10919.917099999999</v>
      </c>
    </row>
    <row r="22" spans="1:26" ht="12" customHeight="1" x14ac:dyDescent="0.25">
      <c r="A22" s="42">
        <v>2005</v>
      </c>
      <c r="B22" s="42" t="s">
        <v>5</v>
      </c>
      <c r="C22" s="43">
        <v>0</v>
      </c>
      <c r="D22" s="43">
        <v>0</v>
      </c>
      <c r="E22" s="43">
        <v>0</v>
      </c>
      <c r="F22" s="43">
        <v>2249.5479999999998</v>
      </c>
      <c r="G22" s="43">
        <v>0</v>
      </c>
      <c r="H22" s="43">
        <v>9442.8878999999997</v>
      </c>
      <c r="I22" s="43">
        <v>0</v>
      </c>
      <c r="J22" s="43">
        <v>0</v>
      </c>
      <c r="K22" s="44">
        <v>11692.4359</v>
      </c>
      <c r="L22" s="60"/>
      <c r="M22" s="43">
        <v>6639.5477499999979</v>
      </c>
      <c r="N22" s="43">
        <v>2531.4802999999997</v>
      </c>
      <c r="O22" s="43">
        <v>6247.3372499999996</v>
      </c>
      <c r="P22" s="43">
        <v>7685.3348099999994</v>
      </c>
      <c r="Q22" s="43">
        <v>0</v>
      </c>
      <c r="R22" s="43"/>
      <c r="S22" s="43">
        <v>0</v>
      </c>
      <c r="T22" s="44">
        <v>23103.700109999998</v>
      </c>
      <c r="U22" s="55"/>
      <c r="V22" s="43">
        <v>0</v>
      </c>
      <c r="W22" s="61"/>
      <c r="X22" s="44">
        <v>34796.136010000002</v>
      </c>
      <c r="Y22" s="62">
        <v>23103.700109999998</v>
      </c>
      <c r="Z22" s="62">
        <v>11692.4359</v>
      </c>
    </row>
    <row r="23" spans="1:26" ht="12" customHeight="1" x14ac:dyDescent="0.25">
      <c r="A23" s="42">
        <v>2005</v>
      </c>
      <c r="B23" s="42" t="s">
        <v>6</v>
      </c>
      <c r="C23" s="43">
        <v>0</v>
      </c>
      <c r="D23" s="43">
        <v>0</v>
      </c>
      <c r="E23" s="43">
        <v>0</v>
      </c>
      <c r="F23" s="43">
        <v>2188.0940000000001</v>
      </c>
      <c r="G23" s="43">
        <v>24</v>
      </c>
      <c r="H23" s="43">
        <v>8723.5605999999989</v>
      </c>
      <c r="I23" s="43">
        <v>0</v>
      </c>
      <c r="J23" s="43">
        <v>0</v>
      </c>
      <c r="K23" s="44">
        <v>10935.654599999998</v>
      </c>
      <c r="L23" s="60"/>
      <c r="M23" s="43">
        <v>5273.2478000000001</v>
      </c>
      <c r="N23" s="43">
        <v>2798.1502999999998</v>
      </c>
      <c r="O23" s="43">
        <v>7589.8137700000007</v>
      </c>
      <c r="P23" s="43">
        <v>5462.3448199999993</v>
      </c>
      <c r="Q23" s="43">
        <v>0</v>
      </c>
      <c r="R23" s="43"/>
      <c r="S23" s="43">
        <v>0</v>
      </c>
      <c r="T23" s="44">
        <v>21123.556690000001</v>
      </c>
      <c r="U23" s="55"/>
      <c r="V23" s="43">
        <v>0</v>
      </c>
      <c r="W23" s="61"/>
      <c r="X23" s="44">
        <v>32059.211289999999</v>
      </c>
      <c r="Y23" s="62">
        <v>21123.556690000001</v>
      </c>
      <c r="Z23" s="62">
        <v>10935.654599999998</v>
      </c>
    </row>
    <row r="24" spans="1:26" ht="12" customHeight="1" x14ac:dyDescent="0.25">
      <c r="A24" s="42">
        <v>2005</v>
      </c>
      <c r="B24" s="42" t="s">
        <v>7</v>
      </c>
      <c r="C24" s="43">
        <v>0</v>
      </c>
      <c r="D24" s="43">
        <v>30</v>
      </c>
      <c r="E24" s="43">
        <v>0</v>
      </c>
      <c r="F24" s="43">
        <v>2058.7620000000002</v>
      </c>
      <c r="G24" s="43">
        <v>0</v>
      </c>
      <c r="H24" s="43">
        <v>8938.8274000000001</v>
      </c>
      <c r="I24" s="43">
        <v>0</v>
      </c>
      <c r="J24" s="43">
        <v>0</v>
      </c>
      <c r="K24" s="44">
        <v>11027.589400000001</v>
      </c>
      <c r="L24" s="60"/>
      <c r="M24" s="43">
        <v>6445.6939099999991</v>
      </c>
      <c r="N24" s="43">
        <v>2542.2576999999997</v>
      </c>
      <c r="O24" s="43">
        <v>5039.239160000001</v>
      </c>
      <c r="P24" s="43">
        <v>4315.6324199999999</v>
      </c>
      <c r="Q24" s="43">
        <v>0</v>
      </c>
      <c r="R24" s="43"/>
      <c r="S24" s="43">
        <v>0</v>
      </c>
      <c r="T24" s="44">
        <v>18342.823189999999</v>
      </c>
      <c r="U24" s="55"/>
      <c r="V24" s="43">
        <v>0</v>
      </c>
      <c r="W24" s="61"/>
      <c r="X24" s="44">
        <v>29370.41259</v>
      </c>
      <c r="Y24" s="62">
        <v>18342.823189999999</v>
      </c>
      <c r="Z24" s="62">
        <v>11027.589400000001</v>
      </c>
    </row>
    <row r="25" spans="1:26" ht="12" customHeight="1" x14ac:dyDescent="0.25">
      <c r="A25" s="42">
        <v>2005</v>
      </c>
      <c r="B25" s="42" t="s">
        <v>8</v>
      </c>
      <c r="C25" s="43">
        <v>0</v>
      </c>
      <c r="D25" s="43">
        <v>0</v>
      </c>
      <c r="E25" s="43">
        <v>0</v>
      </c>
      <c r="F25" s="43">
        <v>2159.3937700000001</v>
      </c>
      <c r="G25" s="43">
        <v>0</v>
      </c>
      <c r="H25" s="43">
        <v>8303.3675999999996</v>
      </c>
      <c r="I25" s="43">
        <v>0</v>
      </c>
      <c r="J25" s="43">
        <v>0</v>
      </c>
      <c r="K25" s="44">
        <v>10462.76137</v>
      </c>
      <c r="L25" s="60"/>
      <c r="M25" s="43">
        <v>5638.2225399999998</v>
      </c>
      <c r="N25" s="43">
        <v>3489.0765999999999</v>
      </c>
      <c r="O25" s="43">
        <v>6449.0540199999996</v>
      </c>
      <c r="P25" s="43">
        <v>5661.5913199999995</v>
      </c>
      <c r="Q25" s="43">
        <v>0</v>
      </c>
      <c r="R25" s="43"/>
      <c r="S25" s="43">
        <v>0</v>
      </c>
      <c r="T25" s="44">
        <v>21237.944479999998</v>
      </c>
      <c r="U25" s="55"/>
      <c r="V25" s="43">
        <v>0</v>
      </c>
      <c r="W25" s="61"/>
      <c r="X25" s="44">
        <v>31700.705849999998</v>
      </c>
      <c r="Y25" s="62">
        <v>21237.944479999998</v>
      </c>
      <c r="Z25" s="62">
        <v>10462.76137</v>
      </c>
    </row>
    <row r="26" spans="1:26" ht="12" customHeight="1" x14ac:dyDescent="0.25">
      <c r="A26" s="42">
        <v>2005</v>
      </c>
      <c r="B26" s="42" t="s">
        <v>9</v>
      </c>
      <c r="C26" s="43">
        <v>0</v>
      </c>
      <c r="D26" s="43">
        <v>0</v>
      </c>
      <c r="E26" s="43">
        <v>0</v>
      </c>
      <c r="F26" s="43">
        <v>1683.037</v>
      </c>
      <c r="G26" s="43">
        <v>0</v>
      </c>
      <c r="H26" s="43">
        <v>8764.0164999999997</v>
      </c>
      <c r="I26" s="43">
        <v>0</v>
      </c>
      <c r="J26" s="43">
        <v>0</v>
      </c>
      <c r="K26" s="44">
        <v>10447.0535</v>
      </c>
      <c r="L26" s="60"/>
      <c r="M26" s="43">
        <v>9334.4093100000009</v>
      </c>
      <c r="N26" s="43">
        <v>4335.5794000000005</v>
      </c>
      <c r="O26" s="43">
        <v>6187.8297299999986</v>
      </c>
      <c r="P26" s="43">
        <v>4428.0450000000001</v>
      </c>
      <c r="Q26" s="43">
        <v>0</v>
      </c>
      <c r="R26" s="43"/>
      <c r="S26" s="43">
        <v>0</v>
      </c>
      <c r="T26" s="44">
        <v>24285.863440000001</v>
      </c>
      <c r="U26" s="55"/>
      <c r="V26" s="43">
        <v>0</v>
      </c>
      <c r="W26" s="61"/>
      <c r="X26" s="44">
        <v>34732.916940000003</v>
      </c>
      <c r="Y26" s="62">
        <v>24285.863440000001</v>
      </c>
      <c r="Z26" s="62">
        <v>10447.0535</v>
      </c>
    </row>
    <row r="27" spans="1:26" ht="12" customHeight="1" x14ac:dyDescent="0.25">
      <c r="A27" s="42">
        <v>2005</v>
      </c>
      <c r="B27" s="42" t="s">
        <v>10</v>
      </c>
      <c r="C27" s="43">
        <v>0</v>
      </c>
      <c r="D27" s="43">
        <v>30</v>
      </c>
      <c r="E27" s="43">
        <v>0</v>
      </c>
      <c r="F27" s="43">
        <v>1442.4590900000001</v>
      </c>
      <c r="G27" s="43">
        <v>0</v>
      </c>
      <c r="H27" s="43">
        <v>7325.7015200000014</v>
      </c>
      <c r="I27" s="43">
        <v>0</v>
      </c>
      <c r="J27" s="43">
        <v>0</v>
      </c>
      <c r="K27" s="44">
        <v>8798.1606100000008</v>
      </c>
      <c r="L27" s="60"/>
      <c r="M27" s="43">
        <v>3595.0114000000003</v>
      </c>
      <c r="N27" s="43">
        <v>3538.2391000000002</v>
      </c>
      <c r="O27" s="43">
        <v>6822.8825999999999</v>
      </c>
      <c r="P27" s="43">
        <v>5178.8508900000006</v>
      </c>
      <c r="Q27" s="43">
        <v>0</v>
      </c>
      <c r="R27" s="43"/>
      <c r="S27" s="43">
        <v>0</v>
      </c>
      <c r="T27" s="44">
        <v>19134.983990000001</v>
      </c>
      <c r="U27" s="55"/>
      <c r="V27" s="43">
        <v>0</v>
      </c>
      <c r="W27" s="61"/>
      <c r="X27" s="44">
        <v>27933.1446</v>
      </c>
      <c r="Y27" s="62">
        <v>19134.983990000001</v>
      </c>
      <c r="Z27" s="62">
        <v>8798.1606100000008</v>
      </c>
    </row>
    <row r="28" spans="1:26" ht="12" customHeight="1" x14ac:dyDescent="0.25">
      <c r="A28" s="42">
        <v>2005</v>
      </c>
      <c r="B28" s="42" t="s">
        <v>11</v>
      </c>
      <c r="C28" s="43">
        <v>0</v>
      </c>
      <c r="D28" s="43">
        <v>0</v>
      </c>
      <c r="E28" s="43">
        <v>0</v>
      </c>
      <c r="F28" s="43">
        <v>1968.125</v>
      </c>
      <c r="G28" s="43">
        <v>0</v>
      </c>
      <c r="H28" s="43">
        <v>8057.1816999999955</v>
      </c>
      <c r="I28" s="43">
        <v>0</v>
      </c>
      <c r="J28" s="43">
        <v>0</v>
      </c>
      <c r="K28" s="44">
        <v>10025.306699999996</v>
      </c>
      <c r="L28" s="60"/>
      <c r="M28" s="43">
        <v>5117.7253099999998</v>
      </c>
      <c r="N28" s="43">
        <v>3541.87462</v>
      </c>
      <c r="O28" s="43">
        <v>6629.4482899999994</v>
      </c>
      <c r="P28" s="43">
        <v>4590.2838600000014</v>
      </c>
      <c r="Q28" s="43">
        <v>0</v>
      </c>
      <c r="R28" s="43"/>
      <c r="S28" s="43">
        <v>0</v>
      </c>
      <c r="T28" s="44">
        <v>19879.33208</v>
      </c>
      <c r="U28" s="55"/>
      <c r="V28" s="43">
        <v>0</v>
      </c>
      <c r="W28" s="61"/>
      <c r="X28" s="44">
        <v>29904.638779999994</v>
      </c>
      <c r="Y28" s="62">
        <v>19879.33208</v>
      </c>
      <c r="Z28" s="62">
        <v>10025.306699999996</v>
      </c>
    </row>
    <row r="29" spans="1:26" ht="12" customHeight="1" x14ac:dyDescent="0.25">
      <c r="A29" s="42">
        <v>2005</v>
      </c>
      <c r="B29" s="42" t="s">
        <v>12</v>
      </c>
      <c r="C29" s="43">
        <v>0</v>
      </c>
      <c r="D29" s="43">
        <v>0</v>
      </c>
      <c r="E29" s="43">
        <v>0</v>
      </c>
      <c r="F29" s="43">
        <v>2262.6970000000001</v>
      </c>
      <c r="G29" s="43">
        <v>0</v>
      </c>
      <c r="H29" s="43">
        <v>7366.790140000001</v>
      </c>
      <c r="I29" s="43">
        <v>0</v>
      </c>
      <c r="J29" s="43">
        <v>0</v>
      </c>
      <c r="K29" s="44">
        <v>9629.4871400000011</v>
      </c>
      <c r="L29" s="60"/>
      <c r="M29" s="43">
        <v>6200.1125000000002</v>
      </c>
      <c r="N29" s="43">
        <v>3142.1728399999997</v>
      </c>
      <c r="O29" s="43">
        <v>6983.3345100000006</v>
      </c>
      <c r="P29" s="43">
        <v>3533.1680699999997</v>
      </c>
      <c r="Q29" s="43">
        <v>0</v>
      </c>
      <c r="R29" s="43"/>
      <c r="S29" s="43">
        <v>0</v>
      </c>
      <c r="T29" s="44">
        <v>19858.787920000002</v>
      </c>
      <c r="U29" s="55"/>
      <c r="V29" s="43">
        <v>0</v>
      </c>
      <c r="W29" s="61"/>
      <c r="X29" s="44">
        <v>29488.275060000004</v>
      </c>
      <c r="Y29" s="62">
        <v>19858.787920000002</v>
      </c>
      <c r="Z29" s="62">
        <v>9629.4871400000011</v>
      </c>
    </row>
    <row r="30" spans="1:26" ht="12" customHeight="1" x14ac:dyDescent="0.25">
      <c r="A30" s="42">
        <v>2005</v>
      </c>
      <c r="B30" s="42" t="s">
        <v>13</v>
      </c>
      <c r="C30" s="43">
        <v>0</v>
      </c>
      <c r="D30" s="43">
        <v>0</v>
      </c>
      <c r="E30" s="43">
        <v>0</v>
      </c>
      <c r="F30" s="43">
        <v>2173.7240000000002</v>
      </c>
      <c r="G30" s="43">
        <v>0</v>
      </c>
      <c r="H30" s="43">
        <v>8798.2980000000007</v>
      </c>
      <c r="I30" s="43">
        <v>0</v>
      </c>
      <c r="J30" s="43">
        <v>0</v>
      </c>
      <c r="K30" s="44">
        <v>10972.022000000001</v>
      </c>
      <c r="L30" s="60"/>
      <c r="M30" s="43">
        <v>7378.3125300000002</v>
      </c>
      <c r="N30" s="43">
        <v>3660.5802000000003</v>
      </c>
      <c r="O30" s="43">
        <v>5685.6106799999998</v>
      </c>
      <c r="P30" s="43">
        <v>4702.3633400000008</v>
      </c>
      <c r="Q30" s="43">
        <v>0</v>
      </c>
      <c r="R30" s="43"/>
      <c r="S30" s="43">
        <v>0</v>
      </c>
      <c r="T30" s="44">
        <v>21426.866749999997</v>
      </c>
      <c r="U30" s="55"/>
      <c r="V30" s="43">
        <v>0</v>
      </c>
      <c r="W30" s="61"/>
      <c r="X30" s="44">
        <v>32398.888749999998</v>
      </c>
      <c r="Y30" s="62">
        <v>21426.866749999997</v>
      </c>
      <c r="Z30" s="62">
        <v>10972.022000000001</v>
      </c>
    </row>
    <row r="31" spans="1:26" ht="12" customHeight="1" x14ac:dyDescent="0.25">
      <c r="A31" s="42">
        <v>2005</v>
      </c>
      <c r="B31" s="42" t="s">
        <v>14</v>
      </c>
      <c r="C31" s="43">
        <v>0</v>
      </c>
      <c r="D31" s="43">
        <v>0</v>
      </c>
      <c r="E31" s="43">
        <v>0</v>
      </c>
      <c r="F31" s="43">
        <v>2262.0100000000002</v>
      </c>
      <c r="G31" s="43">
        <v>0</v>
      </c>
      <c r="H31" s="43">
        <v>9426.6924999999992</v>
      </c>
      <c r="I31" s="43">
        <v>0</v>
      </c>
      <c r="J31" s="43">
        <v>0</v>
      </c>
      <c r="K31" s="44">
        <v>11688.702499999999</v>
      </c>
      <c r="L31" s="60"/>
      <c r="M31" s="43">
        <v>7883.3560000000007</v>
      </c>
      <c r="N31" s="43">
        <v>3020.7889000000005</v>
      </c>
      <c r="O31" s="43">
        <v>8548.4980999999971</v>
      </c>
      <c r="P31" s="43">
        <v>4301.7400099999995</v>
      </c>
      <c r="Q31" s="43">
        <v>0</v>
      </c>
      <c r="R31" s="43"/>
      <c r="S31" s="43">
        <v>0</v>
      </c>
      <c r="T31" s="44">
        <v>23754.383009999998</v>
      </c>
      <c r="U31" s="55"/>
      <c r="V31" s="43">
        <v>0</v>
      </c>
      <c r="W31" s="61"/>
      <c r="X31" s="44">
        <v>35443.085509999997</v>
      </c>
      <c r="Y31" s="62">
        <v>23754.383009999998</v>
      </c>
      <c r="Z31" s="62">
        <v>11688.702499999999</v>
      </c>
    </row>
    <row r="32" spans="1:26" ht="12" customHeight="1" x14ac:dyDescent="0.25">
      <c r="A32" s="42">
        <v>2005</v>
      </c>
      <c r="B32" s="42" t="s">
        <v>15</v>
      </c>
      <c r="C32" s="43">
        <v>0</v>
      </c>
      <c r="D32" s="43">
        <v>60</v>
      </c>
      <c r="E32" s="43">
        <v>0</v>
      </c>
      <c r="F32" s="43">
        <v>24756.656860000003</v>
      </c>
      <c r="G32" s="43">
        <v>24</v>
      </c>
      <c r="H32" s="43">
        <v>102223.52795999999</v>
      </c>
      <c r="I32" s="43">
        <v>0</v>
      </c>
      <c r="J32" s="43">
        <v>0</v>
      </c>
      <c r="K32" s="44">
        <v>127064.18481999999</v>
      </c>
      <c r="L32" s="60"/>
      <c r="M32" s="43">
        <v>76097.749000000011</v>
      </c>
      <c r="N32" s="43">
        <v>38007.643059999995</v>
      </c>
      <c r="O32" s="43">
        <v>80115.416539999991</v>
      </c>
      <c r="P32" s="43">
        <v>61631.783420000007</v>
      </c>
      <c r="Q32" s="43">
        <v>0</v>
      </c>
      <c r="R32" s="43"/>
      <c r="S32" s="43">
        <v>0</v>
      </c>
      <c r="T32" s="44">
        <v>255852.59201999998</v>
      </c>
      <c r="U32" s="55"/>
      <c r="V32" s="43">
        <v>0</v>
      </c>
      <c r="W32" s="61"/>
      <c r="X32" s="44">
        <v>382916.77683999995</v>
      </c>
      <c r="Y32" s="62">
        <v>255852.59201999998</v>
      </c>
      <c r="Z32" s="62">
        <v>127064.18481999999</v>
      </c>
    </row>
    <row r="33" spans="1:26" ht="12" customHeight="1" x14ac:dyDescent="0.25">
      <c r="A33" s="42">
        <v>2006</v>
      </c>
      <c r="B33" s="42" t="s">
        <v>3</v>
      </c>
      <c r="C33" s="43">
        <v>0</v>
      </c>
      <c r="D33" s="43">
        <v>150</v>
      </c>
      <c r="E33" s="43">
        <v>0</v>
      </c>
      <c r="F33" s="43">
        <v>2379.2170000000001</v>
      </c>
      <c r="G33" s="43">
        <v>0</v>
      </c>
      <c r="H33" s="43">
        <v>8478.1532999999999</v>
      </c>
      <c r="I33" s="43">
        <v>0</v>
      </c>
      <c r="J33" s="43">
        <v>0</v>
      </c>
      <c r="K33" s="44">
        <v>11007.3703</v>
      </c>
      <c r="L33" s="60"/>
      <c r="M33" s="43">
        <v>8221.8039999999983</v>
      </c>
      <c r="N33" s="43">
        <v>5008.5243300000002</v>
      </c>
      <c r="O33" s="43">
        <v>6865.8337299999985</v>
      </c>
      <c r="P33" s="43">
        <v>7656.5428100000008</v>
      </c>
      <c r="Q33" s="43">
        <v>0</v>
      </c>
      <c r="R33" s="43"/>
      <c r="S33" s="43">
        <v>0</v>
      </c>
      <c r="T33" s="44">
        <v>27752.704869999994</v>
      </c>
      <c r="U33" s="55"/>
      <c r="V33" s="43">
        <v>0</v>
      </c>
      <c r="W33" s="61"/>
      <c r="X33" s="44">
        <v>38760.075169999996</v>
      </c>
      <c r="Y33" s="62">
        <v>27752.704869999994</v>
      </c>
      <c r="Z33" s="62">
        <v>11007.3703</v>
      </c>
    </row>
    <row r="34" spans="1:26" ht="12" customHeight="1" x14ac:dyDescent="0.25">
      <c r="A34" s="42">
        <v>2006</v>
      </c>
      <c r="B34" s="42" t="s">
        <v>4</v>
      </c>
      <c r="C34" s="43">
        <v>0</v>
      </c>
      <c r="D34" s="43">
        <v>0</v>
      </c>
      <c r="E34" s="43">
        <v>0</v>
      </c>
      <c r="F34" s="43">
        <v>2155.8490000000002</v>
      </c>
      <c r="G34" s="43">
        <v>0</v>
      </c>
      <c r="H34" s="43">
        <v>8971.9820999999993</v>
      </c>
      <c r="I34" s="43">
        <v>0</v>
      </c>
      <c r="J34" s="43">
        <v>0</v>
      </c>
      <c r="K34" s="44">
        <v>11127.831099999999</v>
      </c>
      <c r="L34" s="60"/>
      <c r="M34" s="43">
        <v>7794.4751000000006</v>
      </c>
      <c r="N34" s="43">
        <v>3192.9956999999999</v>
      </c>
      <c r="O34" s="43">
        <v>6370.7296100000003</v>
      </c>
      <c r="P34" s="43">
        <v>7170.4565999999995</v>
      </c>
      <c r="Q34" s="43">
        <v>0</v>
      </c>
      <c r="R34" s="43"/>
      <c r="S34" s="43">
        <v>1107.5273</v>
      </c>
      <c r="T34" s="44">
        <v>25636.184310000004</v>
      </c>
      <c r="U34" s="55"/>
      <c r="V34" s="43">
        <v>0</v>
      </c>
      <c r="W34" s="61"/>
      <c r="X34" s="44">
        <v>36764.015410000007</v>
      </c>
      <c r="Y34" s="62">
        <v>25636.184310000004</v>
      </c>
      <c r="Z34" s="62">
        <v>11127.831099999999</v>
      </c>
    </row>
    <row r="35" spans="1:26" ht="12" customHeight="1" x14ac:dyDescent="0.25">
      <c r="A35" s="42">
        <v>2006</v>
      </c>
      <c r="B35" s="42" t="s">
        <v>5</v>
      </c>
      <c r="C35" s="43">
        <v>0</v>
      </c>
      <c r="D35" s="43">
        <v>0</v>
      </c>
      <c r="E35" s="43">
        <v>0</v>
      </c>
      <c r="F35" s="43">
        <v>2483.4557</v>
      </c>
      <c r="G35" s="43">
        <v>0</v>
      </c>
      <c r="H35" s="43">
        <v>9141.5899000000009</v>
      </c>
      <c r="I35" s="43">
        <v>0</v>
      </c>
      <c r="J35" s="43">
        <v>0</v>
      </c>
      <c r="K35" s="44">
        <v>11625.045600000001</v>
      </c>
      <c r="L35" s="60"/>
      <c r="M35" s="43">
        <v>6479.6413000000002</v>
      </c>
      <c r="N35" s="43">
        <v>4478.7761</v>
      </c>
      <c r="O35" s="43">
        <v>4824.6352000000006</v>
      </c>
      <c r="P35" s="43">
        <v>5973.2958200000003</v>
      </c>
      <c r="Q35" s="43">
        <v>0</v>
      </c>
      <c r="R35" s="43"/>
      <c r="S35" s="43">
        <v>2177.4304999999999</v>
      </c>
      <c r="T35" s="44">
        <v>23933.778920000001</v>
      </c>
      <c r="U35" s="55"/>
      <c r="V35" s="43">
        <v>0</v>
      </c>
      <c r="W35" s="61"/>
      <c r="X35" s="44">
        <v>35558.824520000002</v>
      </c>
      <c r="Y35" s="62">
        <v>23933.778920000001</v>
      </c>
      <c r="Z35" s="62">
        <v>11625.045600000001</v>
      </c>
    </row>
    <row r="36" spans="1:26" ht="12" customHeight="1" x14ac:dyDescent="0.25">
      <c r="A36" s="42">
        <v>2006</v>
      </c>
      <c r="B36" s="42" t="s">
        <v>6</v>
      </c>
      <c r="C36" s="43">
        <v>0</v>
      </c>
      <c r="D36" s="43">
        <v>0</v>
      </c>
      <c r="E36" s="43">
        <v>0</v>
      </c>
      <c r="F36" s="43">
        <v>1148.4513999999999</v>
      </c>
      <c r="G36" s="43">
        <v>0</v>
      </c>
      <c r="H36" s="43">
        <v>8607.8168999999998</v>
      </c>
      <c r="I36" s="43">
        <v>0</v>
      </c>
      <c r="J36" s="43">
        <v>0</v>
      </c>
      <c r="K36" s="44">
        <v>9756.2682999999997</v>
      </c>
      <c r="L36" s="60"/>
      <c r="M36" s="43">
        <v>7548.4684299999999</v>
      </c>
      <c r="N36" s="43">
        <v>4378.2174500000001</v>
      </c>
      <c r="O36" s="43">
        <v>3734.9842400000002</v>
      </c>
      <c r="P36" s="43">
        <v>4033.9902000000002</v>
      </c>
      <c r="Q36" s="43">
        <v>0</v>
      </c>
      <c r="R36" s="43"/>
      <c r="S36" s="43">
        <v>4630.8320000000003</v>
      </c>
      <c r="T36" s="44">
        <v>24326.492320000005</v>
      </c>
      <c r="U36" s="55"/>
      <c r="V36" s="43">
        <v>0</v>
      </c>
      <c r="W36" s="61"/>
      <c r="X36" s="44">
        <v>34082.760620000001</v>
      </c>
      <c r="Y36" s="62">
        <v>24326.492320000005</v>
      </c>
      <c r="Z36" s="62">
        <v>9756.2682999999997</v>
      </c>
    </row>
    <row r="37" spans="1:26" ht="12" customHeight="1" x14ac:dyDescent="0.25">
      <c r="A37" s="42">
        <v>2006</v>
      </c>
      <c r="B37" s="42" t="s">
        <v>7</v>
      </c>
      <c r="C37" s="43">
        <v>0</v>
      </c>
      <c r="D37" s="43">
        <v>0</v>
      </c>
      <c r="E37" s="43">
        <v>0</v>
      </c>
      <c r="F37" s="43">
        <v>2338.6570999999999</v>
      </c>
      <c r="G37" s="43">
        <v>0</v>
      </c>
      <c r="H37" s="43">
        <v>8193.3995999999988</v>
      </c>
      <c r="I37" s="43">
        <v>0</v>
      </c>
      <c r="J37" s="43">
        <v>0</v>
      </c>
      <c r="K37" s="44">
        <v>10532.056699999999</v>
      </c>
      <c r="L37" s="60"/>
      <c r="M37" s="43">
        <v>4291.9304000000002</v>
      </c>
      <c r="N37" s="43">
        <v>4706.7402000000002</v>
      </c>
      <c r="O37" s="43">
        <v>5156.703199999999</v>
      </c>
      <c r="P37" s="43">
        <v>4139.3117400000001</v>
      </c>
      <c r="Q37" s="43">
        <v>0</v>
      </c>
      <c r="R37" s="43"/>
      <c r="S37" s="43">
        <v>4017.9842999999996</v>
      </c>
      <c r="T37" s="44">
        <v>22312.669840000002</v>
      </c>
      <c r="U37" s="55"/>
      <c r="V37" s="43">
        <v>0</v>
      </c>
      <c r="W37" s="61"/>
      <c r="X37" s="44">
        <v>32844.726540000003</v>
      </c>
      <c r="Y37" s="62">
        <v>22312.669840000002</v>
      </c>
      <c r="Z37" s="62">
        <v>10532.056699999999</v>
      </c>
    </row>
    <row r="38" spans="1:26" ht="12" customHeight="1" x14ac:dyDescent="0.25">
      <c r="A38" s="42">
        <v>2006</v>
      </c>
      <c r="B38" s="42" t="s">
        <v>8</v>
      </c>
      <c r="C38" s="43">
        <v>0</v>
      </c>
      <c r="D38" s="43">
        <v>0</v>
      </c>
      <c r="E38" s="43">
        <v>0</v>
      </c>
      <c r="F38" s="43">
        <v>2097.85</v>
      </c>
      <c r="G38" s="43">
        <v>0</v>
      </c>
      <c r="H38" s="43">
        <v>8736.2536</v>
      </c>
      <c r="I38" s="43">
        <v>0</v>
      </c>
      <c r="J38" s="43">
        <v>0</v>
      </c>
      <c r="K38" s="44">
        <v>10834.1036</v>
      </c>
      <c r="L38" s="60"/>
      <c r="M38" s="43">
        <v>6166.7125999999998</v>
      </c>
      <c r="N38" s="43">
        <v>3510.7763000000004</v>
      </c>
      <c r="O38" s="43">
        <v>6373.8355999999994</v>
      </c>
      <c r="P38" s="43">
        <v>3149.1972199999996</v>
      </c>
      <c r="Q38" s="43">
        <v>0</v>
      </c>
      <c r="R38" s="43"/>
      <c r="S38" s="43">
        <v>3196.6525999999999</v>
      </c>
      <c r="T38" s="44">
        <v>22397.174319999998</v>
      </c>
      <c r="U38" s="55"/>
      <c r="V38" s="43">
        <v>0</v>
      </c>
      <c r="W38" s="61"/>
      <c r="X38" s="44">
        <v>33231.27792</v>
      </c>
      <c r="Y38" s="62">
        <v>22397.174319999998</v>
      </c>
      <c r="Z38" s="62">
        <v>10834.1036</v>
      </c>
    </row>
    <row r="39" spans="1:26" ht="12" customHeight="1" x14ac:dyDescent="0.25">
      <c r="A39" s="42">
        <v>2006</v>
      </c>
      <c r="B39" s="42" t="s">
        <v>9</v>
      </c>
      <c r="C39" s="43">
        <v>0</v>
      </c>
      <c r="D39" s="43">
        <v>0</v>
      </c>
      <c r="E39" s="43">
        <v>0</v>
      </c>
      <c r="F39" s="43">
        <v>2042.6010000000001</v>
      </c>
      <c r="G39" s="43">
        <v>0</v>
      </c>
      <c r="H39" s="43">
        <v>9313.9099000000006</v>
      </c>
      <c r="I39" s="43">
        <v>0</v>
      </c>
      <c r="J39" s="43">
        <v>0</v>
      </c>
      <c r="K39" s="44">
        <v>11356.510900000001</v>
      </c>
      <c r="L39" s="60"/>
      <c r="M39" s="43">
        <v>3842.2890999999995</v>
      </c>
      <c r="N39" s="43">
        <v>5663.1854000000003</v>
      </c>
      <c r="O39" s="43">
        <v>4399.9862999999996</v>
      </c>
      <c r="P39" s="43">
        <v>5143.1941999999999</v>
      </c>
      <c r="Q39" s="43">
        <v>0</v>
      </c>
      <c r="R39" s="43"/>
      <c r="S39" s="43">
        <v>5300.8457000000008</v>
      </c>
      <c r="T39" s="44">
        <v>24349.500700000001</v>
      </c>
      <c r="U39" s="55"/>
      <c r="V39" s="43">
        <v>0</v>
      </c>
      <c r="W39" s="61"/>
      <c r="X39" s="44">
        <v>35706.011599999998</v>
      </c>
      <c r="Y39" s="62">
        <v>24349.500700000001</v>
      </c>
      <c r="Z39" s="62">
        <v>11356.510900000001</v>
      </c>
    </row>
    <row r="40" spans="1:26" ht="12" customHeight="1" x14ac:dyDescent="0.25">
      <c r="A40" s="42">
        <v>2006</v>
      </c>
      <c r="B40" s="42" t="s">
        <v>10</v>
      </c>
      <c r="C40" s="43">
        <v>0</v>
      </c>
      <c r="D40" s="43">
        <v>0</v>
      </c>
      <c r="E40" s="43">
        <v>0</v>
      </c>
      <c r="F40" s="43">
        <v>2003.835</v>
      </c>
      <c r="G40" s="43">
        <v>0</v>
      </c>
      <c r="H40" s="43">
        <v>6891.8629000000001</v>
      </c>
      <c r="I40" s="43">
        <v>0</v>
      </c>
      <c r="J40" s="43">
        <v>0</v>
      </c>
      <c r="K40" s="44">
        <v>8895.6978999999992</v>
      </c>
      <c r="L40" s="60"/>
      <c r="M40" s="43">
        <v>4779.7807999999995</v>
      </c>
      <c r="N40" s="43">
        <v>4924.1904000000004</v>
      </c>
      <c r="O40" s="43">
        <v>2841.8298999999997</v>
      </c>
      <c r="P40" s="43">
        <v>4003.3668000000007</v>
      </c>
      <c r="Q40" s="43">
        <v>0</v>
      </c>
      <c r="R40" s="43"/>
      <c r="S40" s="43">
        <v>4727.5629000000008</v>
      </c>
      <c r="T40" s="44">
        <v>21276.730800000001</v>
      </c>
      <c r="U40" s="55"/>
      <c r="V40" s="43">
        <v>0</v>
      </c>
      <c r="W40" s="61"/>
      <c r="X40" s="44">
        <v>30172.4287</v>
      </c>
      <c r="Y40" s="62">
        <v>21276.730800000001</v>
      </c>
      <c r="Z40" s="62">
        <v>8895.6978999999992</v>
      </c>
    </row>
    <row r="41" spans="1:26" ht="12" customHeight="1" x14ac:dyDescent="0.25">
      <c r="A41" s="42">
        <v>2006</v>
      </c>
      <c r="B41" s="42" t="s">
        <v>11</v>
      </c>
      <c r="C41" s="43">
        <v>0</v>
      </c>
      <c r="D41" s="43">
        <v>0</v>
      </c>
      <c r="E41" s="43">
        <v>0</v>
      </c>
      <c r="F41" s="43">
        <v>2188.9250000000002</v>
      </c>
      <c r="G41" s="43">
        <v>0</v>
      </c>
      <c r="H41" s="43">
        <v>7167.5902000000006</v>
      </c>
      <c r="I41" s="43">
        <v>0</v>
      </c>
      <c r="J41" s="43">
        <v>0</v>
      </c>
      <c r="K41" s="44">
        <v>9356.5152000000016</v>
      </c>
      <c r="L41" s="60"/>
      <c r="M41" s="43">
        <v>4899.0829000000003</v>
      </c>
      <c r="N41" s="43">
        <v>4397.7595999999994</v>
      </c>
      <c r="O41" s="43">
        <v>4125.3287</v>
      </c>
      <c r="P41" s="43">
        <v>4490.990600000001</v>
      </c>
      <c r="Q41" s="43">
        <v>0</v>
      </c>
      <c r="R41" s="43"/>
      <c r="S41" s="43">
        <v>4900.5179699999999</v>
      </c>
      <c r="T41" s="44">
        <v>22813.679770000002</v>
      </c>
      <c r="U41" s="55"/>
      <c r="V41" s="43">
        <v>0</v>
      </c>
      <c r="W41" s="61"/>
      <c r="X41" s="44">
        <v>32170.194970000004</v>
      </c>
      <c r="Y41" s="62">
        <v>22813.679770000002</v>
      </c>
      <c r="Z41" s="62">
        <v>9356.5152000000016</v>
      </c>
    </row>
    <row r="42" spans="1:26" ht="12" customHeight="1" x14ac:dyDescent="0.25">
      <c r="A42" s="42">
        <v>2006</v>
      </c>
      <c r="B42" s="42" t="s">
        <v>12</v>
      </c>
      <c r="C42" s="43">
        <v>0</v>
      </c>
      <c r="D42" s="43">
        <v>0</v>
      </c>
      <c r="E42" s="43">
        <v>0</v>
      </c>
      <c r="F42" s="43">
        <v>2043.2739999999999</v>
      </c>
      <c r="G42" s="43">
        <v>0</v>
      </c>
      <c r="H42" s="43">
        <v>8844.0509000000002</v>
      </c>
      <c r="I42" s="43">
        <v>0</v>
      </c>
      <c r="J42" s="43">
        <v>0</v>
      </c>
      <c r="K42" s="44">
        <v>10887.3249</v>
      </c>
      <c r="L42" s="60"/>
      <c r="M42" s="43">
        <v>4831.6514100000004</v>
      </c>
      <c r="N42" s="43">
        <v>3632.5896000000002</v>
      </c>
      <c r="O42" s="43">
        <v>3056.8927000000003</v>
      </c>
      <c r="P42" s="43">
        <v>4466.5078700000004</v>
      </c>
      <c r="Q42" s="43">
        <v>0</v>
      </c>
      <c r="R42" s="43"/>
      <c r="S42" s="43">
        <v>4760.0568000000003</v>
      </c>
      <c r="T42" s="44">
        <v>20747.698380000002</v>
      </c>
      <c r="U42" s="55"/>
      <c r="V42" s="43">
        <v>0</v>
      </c>
      <c r="W42" s="61"/>
      <c r="X42" s="44">
        <v>31635.023280000001</v>
      </c>
      <c r="Y42" s="62">
        <v>20747.698380000002</v>
      </c>
      <c r="Z42" s="62">
        <v>10887.3249</v>
      </c>
    </row>
    <row r="43" spans="1:26" ht="12" customHeight="1" x14ac:dyDescent="0.25">
      <c r="A43" s="42">
        <v>2006</v>
      </c>
      <c r="B43" s="42" t="s">
        <v>13</v>
      </c>
      <c r="C43" s="43">
        <v>0</v>
      </c>
      <c r="D43" s="43">
        <v>0</v>
      </c>
      <c r="E43" s="43">
        <v>0</v>
      </c>
      <c r="F43" s="43">
        <v>1696.0909999999999</v>
      </c>
      <c r="G43" s="43">
        <v>0</v>
      </c>
      <c r="H43" s="43">
        <v>7481.8305999999993</v>
      </c>
      <c r="I43" s="43">
        <v>0</v>
      </c>
      <c r="J43" s="43">
        <v>0</v>
      </c>
      <c r="K43" s="44">
        <v>9177.9215999999997</v>
      </c>
      <c r="L43" s="60"/>
      <c r="M43" s="43">
        <v>4941.7242999999999</v>
      </c>
      <c r="N43" s="43">
        <v>2706.4432999999999</v>
      </c>
      <c r="O43" s="43">
        <v>4071.2931999999992</v>
      </c>
      <c r="P43" s="43">
        <v>7018.7822000000006</v>
      </c>
      <c r="Q43" s="43">
        <v>0</v>
      </c>
      <c r="R43" s="43"/>
      <c r="S43" s="43">
        <v>4304.4135999999999</v>
      </c>
      <c r="T43" s="44">
        <v>23042.656599999998</v>
      </c>
      <c r="U43" s="55"/>
      <c r="V43" s="43">
        <v>0</v>
      </c>
      <c r="W43" s="61"/>
      <c r="X43" s="44">
        <v>32220.578199999996</v>
      </c>
      <c r="Y43" s="62">
        <v>23042.656599999998</v>
      </c>
      <c r="Z43" s="62">
        <v>9177.9215999999997</v>
      </c>
    </row>
    <row r="44" spans="1:26" ht="12" customHeight="1" x14ac:dyDescent="0.25">
      <c r="A44" s="42">
        <v>2006</v>
      </c>
      <c r="B44" s="42" t="s">
        <v>14</v>
      </c>
      <c r="C44" s="43">
        <v>0</v>
      </c>
      <c r="D44" s="43">
        <v>0</v>
      </c>
      <c r="E44" s="43">
        <v>0</v>
      </c>
      <c r="F44" s="43">
        <v>2052.5058199999999</v>
      </c>
      <c r="G44" s="43">
        <v>0</v>
      </c>
      <c r="H44" s="43">
        <v>8112.8239000000003</v>
      </c>
      <c r="I44" s="43">
        <v>0</v>
      </c>
      <c r="J44" s="43">
        <v>0</v>
      </c>
      <c r="K44" s="44">
        <v>10165.32972</v>
      </c>
      <c r="L44" s="60"/>
      <c r="M44" s="43">
        <v>5445.0736899999993</v>
      </c>
      <c r="N44" s="43">
        <v>4361.3997599999993</v>
      </c>
      <c r="O44" s="43">
        <v>4344.1324999999997</v>
      </c>
      <c r="P44" s="43">
        <v>5925.3336300000001</v>
      </c>
      <c r="Q44" s="43">
        <v>0</v>
      </c>
      <c r="R44" s="43"/>
      <c r="S44" s="43">
        <v>4173.2120999999997</v>
      </c>
      <c r="T44" s="44">
        <v>24249.151679999999</v>
      </c>
      <c r="U44" s="55"/>
      <c r="V44" s="43">
        <v>0</v>
      </c>
      <c r="W44" s="61"/>
      <c r="X44" s="44">
        <v>34414.481399999997</v>
      </c>
      <c r="Y44" s="62">
        <v>24249.151679999999</v>
      </c>
      <c r="Z44" s="62">
        <v>10165.32972</v>
      </c>
    </row>
    <row r="45" spans="1:26" ht="12" customHeight="1" x14ac:dyDescent="0.25">
      <c r="A45" s="42">
        <v>2006</v>
      </c>
      <c r="B45" s="42" t="s">
        <v>15</v>
      </c>
      <c r="C45" s="43">
        <v>0</v>
      </c>
      <c r="D45" s="43">
        <v>150</v>
      </c>
      <c r="E45" s="43">
        <v>0</v>
      </c>
      <c r="F45" s="43">
        <v>24630.712020000003</v>
      </c>
      <c r="G45" s="43">
        <v>0</v>
      </c>
      <c r="H45" s="43">
        <v>99941.263800000015</v>
      </c>
      <c r="I45" s="43">
        <v>0</v>
      </c>
      <c r="J45" s="43">
        <v>0</v>
      </c>
      <c r="K45" s="44">
        <v>124721.97582000002</v>
      </c>
      <c r="L45" s="60"/>
      <c r="M45" s="43">
        <v>69242.634030000001</v>
      </c>
      <c r="N45" s="43">
        <v>50961.598139999995</v>
      </c>
      <c r="O45" s="43">
        <v>56166.184879999993</v>
      </c>
      <c r="P45" s="43">
        <v>63170.969690000005</v>
      </c>
      <c r="Q45" s="43">
        <v>0</v>
      </c>
      <c r="R45" s="43"/>
      <c r="S45" s="43">
        <v>43297.035770000002</v>
      </c>
      <c r="T45" s="44">
        <v>282838.42251</v>
      </c>
      <c r="U45" s="55"/>
      <c r="V45" s="43">
        <v>0</v>
      </c>
      <c r="W45" s="61"/>
      <c r="X45" s="44">
        <v>407560.39833</v>
      </c>
      <c r="Y45" s="62">
        <v>282838.42251</v>
      </c>
      <c r="Z45" s="62">
        <v>124721.97582000002</v>
      </c>
    </row>
    <row r="46" spans="1:26" ht="12" customHeight="1" x14ac:dyDescent="0.25">
      <c r="A46" s="42">
        <v>2007</v>
      </c>
      <c r="B46" s="42" t="s">
        <v>3</v>
      </c>
      <c r="C46" s="43">
        <v>0</v>
      </c>
      <c r="D46" s="43">
        <v>328.53800000000001</v>
      </c>
      <c r="E46" s="43">
        <v>0</v>
      </c>
      <c r="F46" s="43">
        <v>2365.3119999999999</v>
      </c>
      <c r="G46" s="43">
        <v>0</v>
      </c>
      <c r="H46" s="43">
        <v>9247.1869000000006</v>
      </c>
      <c r="I46" s="43">
        <v>0</v>
      </c>
      <c r="J46" s="43">
        <v>0</v>
      </c>
      <c r="K46" s="44">
        <v>11941.036900000001</v>
      </c>
      <c r="L46" s="60"/>
      <c r="M46" s="43">
        <v>6409.6592000000001</v>
      </c>
      <c r="N46" s="43">
        <v>4360.1309099999999</v>
      </c>
      <c r="O46" s="43">
        <v>5183.3449000000001</v>
      </c>
      <c r="P46" s="43">
        <v>6962.9710299999997</v>
      </c>
      <c r="Q46" s="43">
        <v>0</v>
      </c>
      <c r="R46" s="43"/>
      <c r="S46" s="43">
        <v>4386.9857999999995</v>
      </c>
      <c r="T46" s="44">
        <v>27303.091839999997</v>
      </c>
      <c r="U46" s="55"/>
      <c r="V46" s="43">
        <v>0</v>
      </c>
      <c r="W46" s="61"/>
      <c r="X46" s="44">
        <v>39244.12874</v>
      </c>
      <c r="Y46" s="62">
        <v>27303.091839999997</v>
      </c>
      <c r="Z46" s="62">
        <v>11941.036900000001</v>
      </c>
    </row>
    <row r="47" spans="1:26" ht="12" customHeight="1" x14ac:dyDescent="0.25">
      <c r="A47" s="42">
        <v>2007</v>
      </c>
      <c r="B47" s="42" t="s">
        <v>4</v>
      </c>
      <c r="C47" s="43">
        <v>0</v>
      </c>
      <c r="D47" s="43">
        <v>227.6431</v>
      </c>
      <c r="E47" s="43">
        <v>0</v>
      </c>
      <c r="F47" s="43">
        <v>2092.1563999999998</v>
      </c>
      <c r="G47" s="43">
        <v>0</v>
      </c>
      <c r="H47" s="43">
        <v>8189.7091</v>
      </c>
      <c r="I47" s="43">
        <v>0</v>
      </c>
      <c r="J47" s="43">
        <v>0</v>
      </c>
      <c r="K47" s="44">
        <v>10509.508600000001</v>
      </c>
      <c r="L47" s="60"/>
      <c r="M47" s="43">
        <v>5193.521749999999</v>
      </c>
      <c r="N47" s="43">
        <v>3459.509</v>
      </c>
      <c r="O47" s="43">
        <v>4587.4321000000009</v>
      </c>
      <c r="P47" s="43">
        <v>3285.5647000000004</v>
      </c>
      <c r="Q47" s="43">
        <v>0</v>
      </c>
      <c r="R47" s="43"/>
      <c r="S47" s="43">
        <v>4834.5813400000006</v>
      </c>
      <c r="T47" s="44">
        <v>21360.60889</v>
      </c>
      <c r="U47" s="55"/>
      <c r="V47" s="43">
        <v>0</v>
      </c>
      <c r="W47" s="61"/>
      <c r="X47" s="44">
        <v>31870.117490000001</v>
      </c>
      <c r="Y47" s="62">
        <v>21360.60889</v>
      </c>
      <c r="Z47" s="62">
        <v>10509.508600000001</v>
      </c>
    </row>
    <row r="48" spans="1:26" ht="12" customHeight="1" x14ac:dyDescent="0.25">
      <c r="A48" s="42">
        <v>2007</v>
      </c>
      <c r="B48" s="42" t="s">
        <v>5</v>
      </c>
      <c r="C48" s="43">
        <v>0</v>
      </c>
      <c r="D48" s="43">
        <v>218.673</v>
      </c>
      <c r="E48" s="43">
        <v>0</v>
      </c>
      <c r="F48" s="43">
        <v>2364.933</v>
      </c>
      <c r="G48" s="43">
        <v>0</v>
      </c>
      <c r="H48" s="43">
        <v>6980.4079000000002</v>
      </c>
      <c r="I48" s="43">
        <v>0</v>
      </c>
      <c r="J48" s="43">
        <v>0</v>
      </c>
      <c r="K48" s="44">
        <v>9564.0138999999999</v>
      </c>
      <c r="L48" s="60"/>
      <c r="M48" s="43">
        <v>3369.8339999999998</v>
      </c>
      <c r="N48" s="43">
        <v>3339.5647999999997</v>
      </c>
      <c r="O48" s="43">
        <v>3490.2721999999999</v>
      </c>
      <c r="P48" s="43">
        <v>5757.1581099999994</v>
      </c>
      <c r="Q48" s="43">
        <v>0</v>
      </c>
      <c r="R48" s="43"/>
      <c r="S48" s="43">
        <v>4269.2929999999997</v>
      </c>
      <c r="T48" s="44">
        <v>20226.122109999997</v>
      </c>
      <c r="U48" s="55"/>
      <c r="V48" s="43">
        <v>0</v>
      </c>
      <c r="W48" s="61"/>
      <c r="X48" s="44">
        <v>29790.136009999995</v>
      </c>
      <c r="Y48" s="62">
        <v>20226.122109999997</v>
      </c>
      <c r="Z48" s="62">
        <v>9564.0138999999999</v>
      </c>
    </row>
    <row r="49" spans="1:26" ht="12" customHeight="1" x14ac:dyDescent="0.25">
      <c r="A49" s="42">
        <v>2007</v>
      </c>
      <c r="B49" s="42" t="s">
        <v>6</v>
      </c>
      <c r="C49" s="43">
        <v>0</v>
      </c>
      <c r="D49" s="43">
        <v>218.4255</v>
      </c>
      <c r="E49" s="43">
        <v>0</v>
      </c>
      <c r="F49" s="43">
        <v>2294.92</v>
      </c>
      <c r="G49" s="43">
        <v>0</v>
      </c>
      <c r="H49" s="43">
        <v>7462.3945999999996</v>
      </c>
      <c r="I49" s="43">
        <v>0</v>
      </c>
      <c r="J49" s="43">
        <v>0</v>
      </c>
      <c r="K49" s="44">
        <v>9975.7400999999991</v>
      </c>
      <c r="L49" s="60"/>
      <c r="M49" s="43">
        <v>4642.9802</v>
      </c>
      <c r="N49" s="43">
        <v>3452.4854999999998</v>
      </c>
      <c r="O49" s="43">
        <v>3728.9576799999995</v>
      </c>
      <c r="P49" s="43">
        <v>5633.4421999999995</v>
      </c>
      <c r="Q49" s="43">
        <v>0</v>
      </c>
      <c r="R49" s="43"/>
      <c r="S49" s="43">
        <v>4046.6464599999999</v>
      </c>
      <c r="T49" s="44">
        <v>21504.512039999998</v>
      </c>
      <c r="U49" s="55"/>
      <c r="V49" s="43">
        <v>0</v>
      </c>
      <c r="W49" s="61"/>
      <c r="X49" s="44">
        <v>31480.252139999997</v>
      </c>
      <c r="Y49" s="62">
        <v>21504.512039999998</v>
      </c>
      <c r="Z49" s="62">
        <v>9975.7400999999991</v>
      </c>
    </row>
    <row r="50" spans="1:26" ht="12" customHeight="1" x14ac:dyDescent="0.25">
      <c r="A50" s="42">
        <v>2007</v>
      </c>
      <c r="B50" s="42" t="s">
        <v>7</v>
      </c>
      <c r="C50" s="43">
        <v>0</v>
      </c>
      <c r="D50" s="43">
        <v>225.7063</v>
      </c>
      <c r="E50" s="43">
        <v>0</v>
      </c>
      <c r="F50" s="43">
        <v>2374.5899599999998</v>
      </c>
      <c r="G50" s="43">
        <v>0</v>
      </c>
      <c r="H50" s="43">
        <v>7483.8739000000005</v>
      </c>
      <c r="I50" s="43">
        <v>0</v>
      </c>
      <c r="J50" s="43">
        <v>0</v>
      </c>
      <c r="K50" s="44">
        <v>10084.17016</v>
      </c>
      <c r="L50" s="60"/>
      <c r="M50" s="43">
        <v>4602.0297300000002</v>
      </c>
      <c r="N50" s="43">
        <v>2624.3420899999996</v>
      </c>
      <c r="O50" s="43">
        <v>3965.3534</v>
      </c>
      <c r="P50" s="43">
        <v>4375.2585999999992</v>
      </c>
      <c r="Q50" s="43">
        <v>1694.9461000000001</v>
      </c>
      <c r="R50" s="43"/>
      <c r="S50" s="43">
        <v>5800.0493000000006</v>
      </c>
      <c r="T50" s="44">
        <v>23061.979220000001</v>
      </c>
      <c r="U50" s="55"/>
      <c r="V50" s="43">
        <v>0</v>
      </c>
      <c r="W50" s="61"/>
      <c r="X50" s="44">
        <v>33146.149380000003</v>
      </c>
      <c r="Y50" s="62">
        <v>23061.979220000001</v>
      </c>
      <c r="Z50" s="62">
        <v>10084.17016</v>
      </c>
    </row>
    <row r="51" spans="1:26" ht="12" customHeight="1" x14ac:dyDescent="0.25">
      <c r="A51" s="42">
        <v>2007</v>
      </c>
      <c r="B51" s="42" t="s">
        <v>8</v>
      </c>
      <c r="C51" s="43">
        <v>0</v>
      </c>
      <c r="D51" s="43">
        <v>218.4255</v>
      </c>
      <c r="E51" s="43">
        <v>0</v>
      </c>
      <c r="F51" s="43">
        <v>2324.6739400000001</v>
      </c>
      <c r="G51" s="43">
        <v>0</v>
      </c>
      <c r="H51" s="43">
        <v>7280.2945999999993</v>
      </c>
      <c r="I51" s="43">
        <v>0</v>
      </c>
      <c r="J51" s="43">
        <v>0</v>
      </c>
      <c r="K51" s="44">
        <v>9823.3940399999992</v>
      </c>
      <c r="L51" s="60"/>
      <c r="M51" s="43">
        <v>3846.4224000000004</v>
      </c>
      <c r="N51" s="43">
        <v>4461.5673399999996</v>
      </c>
      <c r="O51" s="43">
        <v>3903.7250999999997</v>
      </c>
      <c r="P51" s="43">
        <v>3955.9661999999998</v>
      </c>
      <c r="Q51" s="43">
        <v>883.37400000000002</v>
      </c>
      <c r="R51" s="43"/>
      <c r="S51" s="43">
        <v>4590.3803799999996</v>
      </c>
      <c r="T51" s="44">
        <v>21641.435419999998</v>
      </c>
      <c r="U51" s="55"/>
      <c r="V51" s="43">
        <v>0</v>
      </c>
      <c r="W51" s="61"/>
      <c r="X51" s="44">
        <v>31464.829459999997</v>
      </c>
      <c r="Y51" s="62">
        <v>21641.435419999998</v>
      </c>
      <c r="Z51" s="62">
        <v>9823.3940399999992</v>
      </c>
    </row>
    <row r="52" spans="1:26" ht="12" customHeight="1" x14ac:dyDescent="0.25">
      <c r="A52" s="42">
        <v>2007</v>
      </c>
      <c r="B52" s="42" t="s">
        <v>9</v>
      </c>
      <c r="C52" s="43">
        <v>0</v>
      </c>
      <c r="D52" s="43">
        <v>310.70830000000001</v>
      </c>
      <c r="E52" s="43">
        <v>0</v>
      </c>
      <c r="F52" s="43">
        <v>2367.9769999999999</v>
      </c>
      <c r="G52" s="43">
        <v>0</v>
      </c>
      <c r="H52" s="43">
        <v>7585.6989000000003</v>
      </c>
      <c r="I52" s="43">
        <v>0</v>
      </c>
      <c r="J52" s="43">
        <v>0</v>
      </c>
      <c r="K52" s="44">
        <v>10264.3842</v>
      </c>
      <c r="L52" s="60"/>
      <c r="M52" s="43">
        <v>5330.9253000000008</v>
      </c>
      <c r="N52" s="43">
        <v>4089.9209999999998</v>
      </c>
      <c r="O52" s="43">
        <v>2621.2698999999998</v>
      </c>
      <c r="P52" s="43">
        <v>5813.1240399999988</v>
      </c>
      <c r="Q52" s="43">
        <v>1667.4406999999999</v>
      </c>
      <c r="R52" s="43"/>
      <c r="S52" s="43">
        <v>5035.2335000000003</v>
      </c>
      <c r="T52" s="44">
        <v>24557.91444</v>
      </c>
      <c r="U52" s="55"/>
      <c r="V52" s="43">
        <v>0</v>
      </c>
      <c r="W52" s="61"/>
      <c r="X52" s="44">
        <v>34822.298640000001</v>
      </c>
      <c r="Y52" s="62">
        <v>24557.91444</v>
      </c>
      <c r="Z52" s="62">
        <v>10264.3842</v>
      </c>
    </row>
    <row r="53" spans="1:26" ht="12" customHeight="1" x14ac:dyDescent="0.25">
      <c r="A53" s="42">
        <v>2007</v>
      </c>
      <c r="B53" s="42" t="s">
        <v>10</v>
      </c>
      <c r="C53" s="43">
        <v>0</v>
      </c>
      <c r="D53" s="43">
        <v>121.3472</v>
      </c>
      <c r="E53" s="43">
        <v>0</v>
      </c>
      <c r="F53" s="43">
        <v>2364.8337000000001</v>
      </c>
      <c r="G53" s="43">
        <v>0</v>
      </c>
      <c r="H53" s="43">
        <v>7052.6417999999994</v>
      </c>
      <c r="I53" s="43">
        <v>0</v>
      </c>
      <c r="J53" s="43">
        <v>0</v>
      </c>
      <c r="K53" s="44">
        <v>9538.8227000000006</v>
      </c>
      <c r="L53" s="60"/>
      <c r="M53" s="43">
        <v>4884.3392000000003</v>
      </c>
      <c r="N53" s="43">
        <v>2319.8058999999998</v>
      </c>
      <c r="O53" s="43">
        <v>2471.5534699999998</v>
      </c>
      <c r="P53" s="43">
        <v>3823.2837000000004</v>
      </c>
      <c r="Q53" s="43">
        <v>935.04380000000003</v>
      </c>
      <c r="R53" s="43"/>
      <c r="S53" s="43">
        <v>5365.4502999999995</v>
      </c>
      <c r="T53" s="44">
        <v>19799.47637</v>
      </c>
      <c r="U53" s="55"/>
      <c r="V53" s="43">
        <v>0</v>
      </c>
      <c r="W53" s="61"/>
      <c r="X53" s="44">
        <v>29338.299070000001</v>
      </c>
      <c r="Y53" s="62">
        <v>19799.47637</v>
      </c>
      <c r="Z53" s="62">
        <v>9538.8227000000006</v>
      </c>
    </row>
    <row r="54" spans="1:26" ht="12" customHeight="1" x14ac:dyDescent="0.25">
      <c r="A54" s="42">
        <v>2007</v>
      </c>
      <c r="B54" s="42" t="s">
        <v>11</v>
      </c>
      <c r="C54" s="43">
        <v>0</v>
      </c>
      <c r="D54" s="43">
        <v>218.4255</v>
      </c>
      <c r="E54" s="43">
        <v>0</v>
      </c>
      <c r="F54" s="43">
        <v>1898.3138700000002</v>
      </c>
      <c r="G54" s="43">
        <v>0</v>
      </c>
      <c r="H54" s="43">
        <v>7240.4895999999999</v>
      </c>
      <c r="I54" s="43">
        <v>0</v>
      </c>
      <c r="J54" s="43">
        <v>0</v>
      </c>
      <c r="K54" s="44">
        <v>9357.2289700000001</v>
      </c>
      <c r="L54" s="60"/>
      <c r="M54" s="43">
        <v>5131.5495999999994</v>
      </c>
      <c r="N54" s="43">
        <v>4507.9687000000004</v>
      </c>
      <c r="O54" s="43">
        <v>3864.4981999999995</v>
      </c>
      <c r="P54" s="43">
        <v>4675.1111400000009</v>
      </c>
      <c r="Q54" s="43">
        <v>952.01949999999999</v>
      </c>
      <c r="R54" s="43"/>
      <c r="S54" s="43">
        <v>4587.7534800000003</v>
      </c>
      <c r="T54" s="44">
        <v>23718.900619999997</v>
      </c>
      <c r="U54" s="55"/>
      <c r="V54" s="43">
        <v>0</v>
      </c>
      <c r="W54" s="61"/>
      <c r="X54" s="44">
        <v>33076.129589999997</v>
      </c>
      <c r="Y54" s="62">
        <v>23718.900619999997</v>
      </c>
      <c r="Z54" s="62">
        <v>9357.2289700000001</v>
      </c>
    </row>
    <row r="55" spans="1:26" ht="12" customHeight="1" x14ac:dyDescent="0.25">
      <c r="A55" s="42">
        <v>2007</v>
      </c>
      <c r="B55" s="42" t="s">
        <v>12</v>
      </c>
      <c r="C55" s="43">
        <v>0</v>
      </c>
      <c r="D55" s="43">
        <v>882.91200000000003</v>
      </c>
      <c r="E55" s="43">
        <v>0</v>
      </c>
      <c r="F55" s="43">
        <v>2289.2097599999997</v>
      </c>
      <c r="G55" s="43">
        <v>0</v>
      </c>
      <c r="H55" s="43">
        <v>6322.5545999999995</v>
      </c>
      <c r="I55" s="43">
        <v>0</v>
      </c>
      <c r="J55" s="43">
        <v>0</v>
      </c>
      <c r="K55" s="44">
        <v>9494.6763599999995</v>
      </c>
      <c r="L55" s="60"/>
      <c r="M55" s="43">
        <v>4065.9319999999998</v>
      </c>
      <c r="N55" s="43">
        <v>4359.1005999999998</v>
      </c>
      <c r="O55" s="43">
        <v>3663.5907999999999</v>
      </c>
      <c r="P55" s="43">
        <v>4860.4643999999998</v>
      </c>
      <c r="Q55" s="43">
        <v>1798.3215</v>
      </c>
      <c r="R55" s="43"/>
      <c r="S55" s="43">
        <v>4838.66662</v>
      </c>
      <c r="T55" s="44">
        <v>23586.075919999999</v>
      </c>
      <c r="U55" s="55"/>
      <c r="V55" s="43">
        <v>0</v>
      </c>
      <c r="W55" s="61"/>
      <c r="X55" s="44">
        <v>33080.752280000001</v>
      </c>
      <c r="Y55" s="62">
        <v>23586.075919999999</v>
      </c>
      <c r="Z55" s="62">
        <v>9494.6763599999995</v>
      </c>
    </row>
    <row r="56" spans="1:26" ht="12" customHeight="1" x14ac:dyDescent="0.25">
      <c r="A56" s="42">
        <v>2007</v>
      </c>
      <c r="B56" s="42" t="s">
        <v>13</v>
      </c>
      <c r="C56" s="43">
        <v>0</v>
      </c>
      <c r="D56" s="43">
        <v>1726.904</v>
      </c>
      <c r="E56" s="43">
        <v>0</v>
      </c>
      <c r="F56" s="43">
        <v>1941.019</v>
      </c>
      <c r="G56" s="43">
        <v>0</v>
      </c>
      <c r="H56" s="43">
        <v>8898.2685999999994</v>
      </c>
      <c r="I56" s="43">
        <v>0</v>
      </c>
      <c r="J56" s="43">
        <v>0</v>
      </c>
      <c r="K56" s="44">
        <v>12566.191599999998</v>
      </c>
      <c r="L56" s="60"/>
      <c r="M56" s="43">
        <v>7504.2779099999998</v>
      </c>
      <c r="N56" s="43">
        <v>3667.9191999999998</v>
      </c>
      <c r="O56" s="43">
        <v>3665.3739999999998</v>
      </c>
      <c r="P56" s="43">
        <v>4040.5496000000003</v>
      </c>
      <c r="Q56" s="43">
        <v>782.02909999999997</v>
      </c>
      <c r="R56" s="43"/>
      <c r="S56" s="43">
        <v>5633.5289399999992</v>
      </c>
      <c r="T56" s="44">
        <v>25293.678749999999</v>
      </c>
      <c r="U56" s="55"/>
      <c r="V56" s="43">
        <v>0</v>
      </c>
      <c r="W56" s="61"/>
      <c r="X56" s="44">
        <v>37859.870349999997</v>
      </c>
      <c r="Y56" s="62">
        <v>25293.678749999999</v>
      </c>
      <c r="Z56" s="62">
        <v>12566.191599999998</v>
      </c>
    </row>
    <row r="57" spans="1:26" ht="12" customHeight="1" x14ac:dyDescent="0.25">
      <c r="A57" s="42">
        <v>2007</v>
      </c>
      <c r="B57" s="42" t="s">
        <v>14</v>
      </c>
      <c r="C57" s="43">
        <v>0</v>
      </c>
      <c r="D57" s="43">
        <v>1802.5060000000001</v>
      </c>
      <c r="E57" s="43">
        <v>0</v>
      </c>
      <c r="F57" s="43">
        <v>1747.5046399999999</v>
      </c>
      <c r="G57" s="43">
        <v>0</v>
      </c>
      <c r="H57" s="43">
        <v>9498.1026999999995</v>
      </c>
      <c r="I57" s="43">
        <v>0</v>
      </c>
      <c r="J57" s="43">
        <v>0</v>
      </c>
      <c r="K57" s="44">
        <v>13048.11334</v>
      </c>
      <c r="L57" s="60"/>
      <c r="M57" s="43">
        <v>7298.5169000000005</v>
      </c>
      <c r="N57" s="43">
        <v>4150.0504999999994</v>
      </c>
      <c r="O57" s="43">
        <v>4547.7982999999995</v>
      </c>
      <c r="P57" s="43">
        <v>5468.5344699999996</v>
      </c>
      <c r="Q57" s="43">
        <v>933.45909999999992</v>
      </c>
      <c r="R57" s="43"/>
      <c r="S57" s="43">
        <v>5735.3071</v>
      </c>
      <c r="T57" s="44">
        <v>28133.666369999999</v>
      </c>
      <c r="U57" s="55"/>
      <c r="V57" s="43">
        <v>0</v>
      </c>
      <c r="W57" s="61"/>
      <c r="X57" s="44">
        <v>41181.779710000003</v>
      </c>
      <c r="Y57" s="62">
        <v>28133.666369999999</v>
      </c>
      <c r="Z57" s="62">
        <v>13048.11334</v>
      </c>
    </row>
    <row r="58" spans="1:26" ht="12" customHeight="1" x14ac:dyDescent="0.25">
      <c r="A58" s="42">
        <v>2007</v>
      </c>
      <c r="B58" s="42" t="s">
        <v>15</v>
      </c>
      <c r="C58" s="43">
        <v>0</v>
      </c>
      <c r="D58" s="43">
        <v>6500.2143999999998</v>
      </c>
      <c r="E58" s="43">
        <v>0</v>
      </c>
      <c r="F58" s="43">
        <v>26425.443270000003</v>
      </c>
      <c r="G58" s="43">
        <v>0</v>
      </c>
      <c r="H58" s="43">
        <v>93241.623200000002</v>
      </c>
      <c r="I58" s="43">
        <v>0</v>
      </c>
      <c r="J58" s="43">
        <v>0</v>
      </c>
      <c r="K58" s="44">
        <v>126167.28087</v>
      </c>
      <c r="L58" s="60"/>
      <c r="M58" s="43">
        <v>62279.988189999996</v>
      </c>
      <c r="N58" s="43">
        <v>44792.365539999992</v>
      </c>
      <c r="O58" s="43">
        <v>45693.170049999993</v>
      </c>
      <c r="P58" s="43">
        <v>58651.428189999991</v>
      </c>
      <c r="Q58" s="43">
        <v>9646.6338000000014</v>
      </c>
      <c r="R58" s="43"/>
      <c r="S58" s="43">
        <v>59123.876219999991</v>
      </c>
      <c r="T58" s="44">
        <v>280187.46198999998</v>
      </c>
      <c r="U58" s="55"/>
      <c r="V58" s="43">
        <v>0</v>
      </c>
      <c r="W58" s="61"/>
      <c r="X58" s="44">
        <v>406354.74286</v>
      </c>
      <c r="Y58" s="62">
        <v>280187.46198999998</v>
      </c>
      <c r="Z58" s="62">
        <v>126167.28087</v>
      </c>
    </row>
    <row r="59" spans="1:26" ht="12" customHeight="1" x14ac:dyDescent="0.25">
      <c r="A59" s="42">
        <v>2008</v>
      </c>
      <c r="B59" s="42" t="s">
        <v>3</v>
      </c>
      <c r="C59" s="43">
        <v>0</v>
      </c>
      <c r="D59" s="43">
        <v>735.36699999999996</v>
      </c>
      <c r="E59" s="43">
        <v>0</v>
      </c>
      <c r="F59" s="43">
        <v>2054.6930000000002</v>
      </c>
      <c r="G59" s="43">
        <v>0</v>
      </c>
      <c r="H59" s="43">
        <v>9437.4839000000011</v>
      </c>
      <c r="I59" s="43">
        <v>0</v>
      </c>
      <c r="J59" s="43">
        <v>0</v>
      </c>
      <c r="K59" s="44">
        <v>12227.543900000001</v>
      </c>
      <c r="L59" s="60"/>
      <c r="M59" s="43">
        <v>8344.4914000000008</v>
      </c>
      <c r="N59" s="43">
        <v>5178.8963200000007</v>
      </c>
      <c r="O59" s="43">
        <v>4547.7984000000006</v>
      </c>
      <c r="P59" s="43">
        <v>6328.1897499999995</v>
      </c>
      <c r="Q59" s="43">
        <v>874.76220000000001</v>
      </c>
      <c r="R59" s="43"/>
      <c r="S59" s="43">
        <v>5551.5359999999991</v>
      </c>
      <c r="T59" s="44">
        <v>30825.674070000005</v>
      </c>
      <c r="U59" s="55"/>
      <c r="V59" s="43">
        <v>0</v>
      </c>
      <c r="W59" s="61"/>
      <c r="X59" s="44">
        <v>43053.217970000005</v>
      </c>
      <c r="Y59" s="62">
        <v>30825.674070000005</v>
      </c>
      <c r="Z59" s="62">
        <v>12227.543900000001</v>
      </c>
    </row>
    <row r="60" spans="1:26" ht="12" customHeight="1" x14ac:dyDescent="0.25">
      <c r="A60" s="42">
        <v>2008</v>
      </c>
      <c r="B60" s="42" t="s">
        <v>4</v>
      </c>
      <c r="C60" s="43">
        <v>0</v>
      </c>
      <c r="D60" s="43">
        <v>922.9078199999999</v>
      </c>
      <c r="E60" s="43">
        <v>0</v>
      </c>
      <c r="F60" s="43">
        <v>2191.4633799999997</v>
      </c>
      <c r="G60" s="43">
        <v>0</v>
      </c>
      <c r="H60" s="43">
        <v>9163.1424000000006</v>
      </c>
      <c r="I60" s="43">
        <v>0</v>
      </c>
      <c r="J60" s="43">
        <v>0</v>
      </c>
      <c r="K60" s="44">
        <v>12277.5136</v>
      </c>
      <c r="L60" s="60"/>
      <c r="M60" s="43">
        <v>6393.2291999999989</v>
      </c>
      <c r="N60" s="43">
        <v>4066.9994999999999</v>
      </c>
      <c r="O60" s="43">
        <v>4184.4796999999999</v>
      </c>
      <c r="P60" s="43">
        <v>5174.6406899999993</v>
      </c>
      <c r="Q60" s="43">
        <v>1395.5573999999999</v>
      </c>
      <c r="R60" s="43"/>
      <c r="S60" s="43">
        <v>4805.4036999999989</v>
      </c>
      <c r="T60" s="44">
        <v>26020.31019</v>
      </c>
      <c r="U60" s="55"/>
      <c r="V60" s="43">
        <v>0</v>
      </c>
      <c r="W60" s="61"/>
      <c r="X60" s="44">
        <v>38297.823790000002</v>
      </c>
      <c r="Y60" s="62">
        <v>26020.31019</v>
      </c>
      <c r="Z60" s="62">
        <v>12277.5136</v>
      </c>
    </row>
    <row r="61" spans="1:26" ht="12" customHeight="1" x14ac:dyDescent="0.25">
      <c r="A61" s="42">
        <v>2008</v>
      </c>
      <c r="B61" s="42" t="s">
        <v>5</v>
      </c>
      <c r="C61" s="43">
        <v>0</v>
      </c>
      <c r="D61" s="43">
        <v>207.51587999999998</v>
      </c>
      <c r="E61" s="43">
        <v>0</v>
      </c>
      <c r="F61" s="43">
        <v>2116.9940499999998</v>
      </c>
      <c r="G61" s="43">
        <v>0</v>
      </c>
      <c r="H61" s="43">
        <v>9463.2059000000008</v>
      </c>
      <c r="I61" s="43">
        <v>0</v>
      </c>
      <c r="J61" s="43">
        <v>0</v>
      </c>
      <c r="K61" s="44">
        <v>11787.715830000001</v>
      </c>
      <c r="L61" s="60"/>
      <c r="M61" s="43">
        <v>5274.2109</v>
      </c>
      <c r="N61" s="43">
        <v>4114.3072999999995</v>
      </c>
      <c r="O61" s="43">
        <v>4804.6442000000015</v>
      </c>
      <c r="P61" s="43">
        <v>5899.17245</v>
      </c>
      <c r="Q61" s="43">
        <v>2519.5245</v>
      </c>
      <c r="R61" s="43"/>
      <c r="S61" s="43">
        <v>6132.9468000000006</v>
      </c>
      <c r="T61" s="44">
        <v>28744.80615</v>
      </c>
      <c r="U61" s="55"/>
      <c r="V61" s="43">
        <v>0</v>
      </c>
      <c r="W61" s="61"/>
      <c r="X61" s="44">
        <v>40532.521980000005</v>
      </c>
      <c r="Y61" s="62">
        <v>28744.80615</v>
      </c>
      <c r="Z61" s="62">
        <v>11787.715830000001</v>
      </c>
    </row>
    <row r="62" spans="1:26" ht="12" customHeight="1" x14ac:dyDescent="0.25">
      <c r="A62" s="42">
        <v>2008</v>
      </c>
      <c r="B62" s="42" t="s">
        <v>6</v>
      </c>
      <c r="C62" s="43">
        <v>0</v>
      </c>
      <c r="D62" s="43">
        <v>102.37</v>
      </c>
      <c r="E62" s="43">
        <v>0</v>
      </c>
      <c r="F62" s="43">
        <v>2375.4167000000002</v>
      </c>
      <c r="G62" s="43">
        <v>0</v>
      </c>
      <c r="H62" s="43">
        <v>8882.5330999999987</v>
      </c>
      <c r="I62" s="43">
        <v>0</v>
      </c>
      <c r="J62" s="43">
        <v>0</v>
      </c>
      <c r="K62" s="44">
        <v>11360.319799999999</v>
      </c>
      <c r="L62" s="60"/>
      <c r="M62" s="43">
        <v>7524.6954999999998</v>
      </c>
      <c r="N62" s="43">
        <v>3578.2981</v>
      </c>
      <c r="O62" s="43">
        <v>4084.3406800000002</v>
      </c>
      <c r="P62" s="43">
        <v>4053.6597000000002</v>
      </c>
      <c r="Q62" s="43">
        <v>819.94669999999996</v>
      </c>
      <c r="R62" s="43"/>
      <c r="S62" s="43">
        <v>5190.2156899999991</v>
      </c>
      <c r="T62" s="44">
        <v>25251.156369999997</v>
      </c>
      <c r="U62" s="55"/>
      <c r="V62" s="43">
        <v>0</v>
      </c>
      <c r="W62" s="61"/>
      <c r="X62" s="44">
        <v>36611.476169999994</v>
      </c>
      <c r="Y62" s="62">
        <v>25251.156369999997</v>
      </c>
      <c r="Z62" s="62">
        <v>11360.319799999999</v>
      </c>
    </row>
    <row r="63" spans="1:26" ht="12" customHeight="1" x14ac:dyDescent="0.25">
      <c r="A63" s="42">
        <v>2008</v>
      </c>
      <c r="B63" s="42" t="s">
        <v>7</v>
      </c>
      <c r="C63" s="43">
        <v>0</v>
      </c>
      <c r="D63" s="43">
        <v>61.569830000000003</v>
      </c>
      <c r="E63" s="43">
        <v>0</v>
      </c>
      <c r="F63" s="43">
        <v>2442.1995000000002</v>
      </c>
      <c r="G63" s="43">
        <v>0</v>
      </c>
      <c r="H63" s="43">
        <v>8583.6735000000008</v>
      </c>
      <c r="I63" s="43">
        <v>0</v>
      </c>
      <c r="J63" s="43">
        <v>0</v>
      </c>
      <c r="K63" s="44">
        <v>11087.44283</v>
      </c>
      <c r="L63" s="60"/>
      <c r="M63" s="43">
        <v>6549.4671000000008</v>
      </c>
      <c r="N63" s="43">
        <v>4525.0675600000004</v>
      </c>
      <c r="O63" s="43">
        <v>4003.2492900000002</v>
      </c>
      <c r="P63" s="43">
        <v>5834.2306999999992</v>
      </c>
      <c r="Q63" s="43">
        <v>1791.8450399999999</v>
      </c>
      <c r="R63" s="43"/>
      <c r="S63" s="43">
        <v>5554.4818099999993</v>
      </c>
      <c r="T63" s="44">
        <v>28258.341500000002</v>
      </c>
      <c r="U63" s="55"/>
      <c r="V63" s="43">
        <v>0</v>
      </c>
      <c r="W63" s="61"/>
      <c r="X63" s="44">
        <v>39345.784330000002</v>
      </c>
      <c r="Y63" s="62">
        <v>28258.341500000002</v>
      </c>
      <c r="Z63" s="62">
        <v>11087.44283</v>
      </c>
    </row>
    <row r="64" spans="1:26" ht="12" customHeight="1" x14ac:dyDescent="0.25">
      <c r="A64" s="42">
        <v>2008</v>
      </c>
      <c r="B64" s="42" t="s">
        <v>8</v>
      </c>
      <c r="C64" s="43">
        <v>0</v>
      </c>
      <c r="D64" s="43">
        <v>315.5455</v>
      </c>
      <c r="E64" s="43">
        <v>0</v>
      </c>
      <c r="F64" s="43">
        <v>2119.0719599999998</v>
      </c>
      <c r="G64" s="43">
        <v>0</v>
      </c>
      <c r="H64" s="43">
        <v>8777.2512999999981</v>
      </c>
      <c r="I64" s="43">
        <v>0</v>
      </c>
      <c r="J64" s="43">
        <v>0</v>
      </c>
      <c r="K64" s="44">
        <v>11211.868759999998</v>
      </c>
      <c r="L64" s="60"/>
      <c r="M64" s="43">
        <v>5929.7173999999995</v>
      </c>
      <c r="N64" s="43">
        <v>5372.4832999999999</v>
      </c>
      <c r="O64" s="43">
        <v>3548.2703400000005</v>
      </c>
      <c r="P64" s="43">
        <v>4849.5273299999999</v>
      </c>
      <c r="Q64" s="43">
        <v>2620.8521000000001</v>
      </c>
      <c r="R64" s="43"/>
      <c r="S64" s="43">
        <v>5410.4389999999994</v>
      </c>
      <c r="T64" s="44">
        <v>27731.28947</v>
      </c>
      <c r="U64" s="55"/>
      <c r="V64" s="43">
        <v>0</v>
      </c>
      <c r="W64" s="61"/>
      <c r="X64" s="44">
        <v>38943.158230000001</v>
      </c>
      <c r="Y64" s="62">
        <v>27731.28947</v>
      </c>
      <c r="Z64" s="62">
        <v>11211.868759999998</v>
      </c>
    </row>
    <row r="65" spans="1:26" ht="12" customHeight="1" x14ac:dyDescent="0.25">
      <c r="A65" s="42">
        <v>2008</v>
      </c>
      <c r="B65" s="42" t="s">
        <v>9</v>
      </c>
      <c r="C65" s="43">
        <v>0</v>
      </c>
      <c r="D65" s="43">
        <v>526.72950000000003</v>
      </c>
      <c r="E65" s="43">
        <v>0</v>
      </c>
      <c r="F65" s="43">
        <v>0</v>
      </c>
      <c r="G65" s="43">
        <v>0</v>
      </c>
      <c r="H65" s="43">
        <v>8533.6011999999992</v>
      </c>
      <c r="I65" s="43">
        <v>0</v>
      </c>
      <c r="J65" s="43">
        <v>0</v>
      </c>
      <c r="K65" s="44">
        <v>9060.3306999999986</v>
      </c>
      <c r="L65" s="60"/>
      <c r="M65" s="43">
        <v>4685.1210999999994</v>
      </c>
      <c r="N65" s="43">
        <v>5984.6943000000001</v>
      </c>
      <c r="O65" s="43">
        <v>3891.0615400000002</v>
      </c>
      <c r="P65" s="43">
        <v>4410.8427000000001</v>
      </c>
      <c r="Q65" s="43">
        <v>2682.9952000000003</v>
      </c>
      <c r="R65" s="43"/>
      <c r="S65" s="43">
        <v>6409.1435000000001</v>
      </c>
      <c r="T65" s="44">
        <v>28063.858339999999</v>
      </c>
      <c r="U65" s="55"/>
      <c r="V65" s="43">
        <v>0</v>
      </c>
      <c r="W65" s="61"/>
      <c r="X65" s="44">
        <v>37124.189039999997</v>
      </c>
      <c r="Y65" s="62">
        <v>28063.858339999999</v>
      </c>
      <c r="Z65" s="62">
        <v>9060.3306999999986</v>
      </c>
    </row>
    <row r="66" spans="1:26" ht="12" customHeight="1" x14ac:dyDescent="0.25">
      <c r="A66" s="42">
        <v>2008</v>
      </c>
      <c r="B66" s="42" t="s">
        <v>10</v>
      </c>
      <c r="C66" s="43">
        <v>0</v>
      </c>
      <c r="D66" s="43">
        <v>505.06979999999999</v>
      </c>
      <c r="E66" s="43">
        <v>0</v>
      </c>
      <c r="F66" s="43">
        <v>1449.4860000000001</v>
      </c>
      <c r="G66" s="43">
        <v>0</v>
      </c>
      <c r="H66" s="43">
        <v>7418.4147999999996</v>
      </c>
      <c r="I66" s="43">
        <v>0</v>
      </c>
      <c r="J66" s="43">
        <v>0</v>
      </c>
      <c r="K66" s="44">
        <v>9372.9706000000006</v>
      </c>
      <c r="L66" s="60"/>
      <c r="M66" s="43">
        <v>4262.0391</v>
      </c>
      <c r="N66" s="43">
        <v>4485.1046099999994</v>
      </c>
      <c r="O66" s="43">
        <v>3069.0071400000002</v>
      </c>
      <c r="P66" s="43">
        <v>5051.7032000000008</v>
      </c>
      <c r="Q66" s="43">
        <v>1352.2782999999997</v>
      </c>
      <c r="R66" s="43"/>
      <c r="S66" s="43">
        <v>6131.9096899999995</v>
      </c>
      <c r="T66" s="44">
        <v>24352.04204</v>
      </c>
      <c r="U66" s="55"/>
      <c r="V66" s="43">
        <v>0</v>
      </c>
      <c r="W66" s="61"/>
      <c r="X66" s="44">
        <v>33725.012640000001</v>
      </c>
      <c r="Y66" s="62">
        <v>24352.04204</v>
      </c>
      <c r="Z66" s="62">
        <v>9372.9706000000006</v>
      </c>
    </row>
    <row r="67" spans="1:26" ht="12" customHeight="1" x14ac:dyDescent="0.25">
      <c r="A67" s="42">
        <v>2008</v>
      </c>
      <c r="B67" s="42" t="s">
        <v>11</v>
      </c>
      <c r="C67" s="43">
        <v>0</v>
      </c>
      <c r="D67" s="43">
        <v>807.41899999999998</v>
      </c>
      <c r="E67" s="43">
        <v>0</v>
      </c>
      <c r="F67" s="43">
        <v>1512.57078</v>
      </c>
      <c r="G67" s="43">
        <v>0</v>
      </c>
      <c r="H67" s="43">
        <v>7641.1083999999992</v>
      </c>
      <c r="I67" s="43">
        <v>0</v>
      </c>
      <c r="J67" s="43">
        <v>0</v>
      </c>
      <c r="K67" s="44">
        <v>9961.098179999999</v>
      </c>
      <c r="L67" s="60"/>
      <c r="M67" s="43">
        <v>5018.8672999999999</v>
      </c>
      <c r="N67" s="43">
        <v>6129.8450999999995</v>
      </c>
      <c r="O67" s="43">
        <v>2887.6864999999998</v>
      </c>
      <c r="P67" s="43">
        <v>4034.8326999999999</v>
      </c>
      <c r="Q67" s="43">
        <v>2582.1611999999996</v>
      </c>
      <c r="R67" s="43"/>
      <c r="S67" s="43">
        <v>5994.1942300000001</v>
      </c>
      <c r="T67" s="44">
        <v>26647.587029999999</v>
      </c>
      <c r="U67" s="55"/>
      <c r="V67" s="43">
        <v>0</v>
      </c>
      <c r="W67" s="61"/>
      <c r="X67" s="44">
        <v>36608.685209999996</v>
      </c>
      <c r="Y67" s="62">
        <v>26647.587029999999</v>
      </c>
      <c r="Z67" s="62">
        <v>9961.098179999999</v>
      </c>
    </row>
    <row r="68" spans="1:26" ht="12" customHeight="1" x14ac:dyDescent="0.25">
      <c r="A68" s="42">
        <v>2008</v>
      </c>
      <c r="B68" s="42" t="s">
        <v>12</v>
      </c>
      <c r="C68" s="43">
        <v>0</v>
      </c>
      <c r="D68" s="43">
        <v>857.11030000000005</v>
      </c>
      <c r="E68" s="43">
        <v>0</v>
      </c>
      <c r="F68" s="43">
        <v>1899.174</v>
      </c>
      <c r="G68" s="43">
        <v>0</v>
      </c>
      <c r="H68" s="43">
        <v>7450.8009000000002</v>
      </c>
      <c r="I68" s="43">
        <v>0</v>
      </c>
      <c r="J68" s="43">
        <v>0</v>
      </c>
      <c r="K68" s="44">
        <v>10207.085200000001</v>
      </c>
      <c r="L68" s="60"/>
      <c r="M68" s="43">
        <v>6757.9016000000001</v>
      </c>
      <c r="N68" s="43">
        <v>4422.4503999999997</v>
      </c>
      <c r="O68" s="43">
        <v>5037.5482000000002</v>
      </c>
      <c r="P68" s="43">
        <v>5969.7992899999999</v>
      </c>
      <c r="Q68" s="43">
        <v>1678.5607</v>
      </c>
      <c r="R68" s="43"/>
      <c r="S68" s="43">
        <v>5685.9906999999994</v>
      </c>
      <c r="T68" s="44">
        <v>29552.250889999999</v>
      </c>
      <c r="U68" s="55"/>
      <c r="V68" s="43">
        <v>0</v>
      </c>
      <c r="W68" s="61"/>
      <c r="X68" s="44">
        <v>39759.336089999997</v>
      </c>
      <c r="Y68" s="62">
        <v>29552.250889999999</v>
      </c>
      <c r="Z68" s="62">
        <v>10207.085200000001</v>
      </c>
    </row>
    <row r="69" spans="1:26" ht="12" customHeight="1" x14ac:dyDescent="0.25">
      <c r="A69" s="42">
        <v>2008</v>
      </c>
      <c r="B69" s="42" t="s">
        <v>13</v>
      </c>
      <c r="C69" s="43">
        <v>0</v>
      </c>
      <c r="D69" s="43">
        <v>286.0204</v>
      </c>
      <c r="E69" s="43">
        <v>0</v>
      </c>
      <c r="F69" s="43">
        <v>2082.0341000000003</v>
      </c>
      <c r="G69" s="43">
        <v>0</v>
      </c>
      <c r="H69" s="43">
        <v>6913.5655999999999</v>
      </c>
      <c r="I69" s="43">
        <v>0</v>
      </c>
      <c r="J69" s="43">
        <v>0</v>
      </c>
      <c r="K69" s="44">
        <v>9281.6201000000001</v>
      </c>
      <c r="L69" s="60"/>
      <c r="M69" s="43">
        <v>6563.5833000000002</v>
      </c>
      <c r="N69" s="43">
        <v>4525.0304999999998</v>
      </c>
      <c r="O69" s="43">
        <v>3691.6282000000001</v>
      </c>
      <c r="P69" s="43">
        <v>5913.3854300000003</v>
      </c>
      <c r="Q69" s="43">
        <v>2522.1795000000002</v>
      </c>
      <c r="R69" s="43"/>
      <c r="S69" s="43">
        <v>5936.6651999999995</v>
      </c>
      <c r="T69" s="44">
        <v>29152.472129999998</v>
      </c>
      <c r="U69" s="55"/>
      <c r="V69" s="43">
        <v>0</v>
      </c>
      <c r="W69" s="61"/>
      <c r="X69" s="44">
        <v>38434.092229999995</v>
      </c>
      <c r="Y69" s="62">
        <v>29152.472129999998</v>
      </c>
      <c r="Z69" s="62">
        <v>9281.6201000000001</v>
      </c>
    </row>
    <row r="70" spans="1:26" ht="12" customHeight="1" x14ac:dyDescent="0.25">
      <c r="A70" s="42">
        <v>2008</v>
      </c>
      <c r="B70" s="42" t="s">
        <v>14</v>
      </c>
      <c r="C70" s="43">
        <v>0</v>
      </c>
      <c r="D70" s="43">
        <v>201.6</v>
      </c>
      <c r="E70" s="43">
        <v>0</v>
      </c>
      <c r="F70" s="43">
        <v>2089.6161999999999</v>
      </c>
      <c r="G70" s="43">
        <v>0</v>
      </c>
      <c r="H70" s="43">
        <v>5870.9578000000001</v>
      </c>
      <c r="I70" s="43">
        <v>0</v>
      </c>
      <c r="J70" s="43">
        <v>0</v>
      </c>
      <c r="K70" s="44">
        <v>8162.174</v>
      </c>
      <c r="L70" s="60"/>
      <c r="M70" s="43">
        <v>6473.9249</v>
      </c>
      <c r="N70" s="43">
        <v>4427.8741</v>
      </c>
      <c r="O70" s="43">
        <v>4033.7777000000001</v>
      </c>
      <c r="P70" s="43">
        <v>5644.0555999999997</v>
      </c>
      <c r="Q70" s="43">
        <v>783.6268</v>
      </c>
      <c r="R70" s="43"/>
      <c r="S70" s="43">
        <v>5611.4237000000012</v>
      </c>
      <c r="T70" s="44">
        <v>26974.682799999995</v>
      </c>
      <c r="U70" s="55"/>
      <c r="V70" s="43">
        <v>0</v>
      </c>
      <c r="W70" s="61"/>
      <c r="X70" s="44">
        <v>35136.856799999994</v>
      </c>
      <c r="Y70" s="62">
        <v>26974.682799999995</v>
      </c>
      <c r="Z70" s="62">
        <v>8162.174</v>
      </c>
    </row>
    <row r="71" spans="1:26" ht="12" customHeight="1" x14ac:dyDescent="0.25">
      <c r="A71" s="42">
        <v>2008</v>
      </c>
      <c r="B71" s="42" t="s">
        <v>15</v>
      </c>
      <c r="C71" s="43">
        <v>0</v>
      </c>
      <c r="D71" s="43">
        <v>5529.2250300000005</v>
      </c>
      <c r="E71" s="43">
        <v>0</v>
      </c>
      <c r="F71" s="43">
        <v>22332.719670000002</v>
      </c>
      <c r="G71" s="43">
        <v>0</v>
      </c>
      <c r="H71" s="43">
        <v>98135.738800000006</v>
      </c>
      <c r="I71" s="43">
        <v>0</v>
      </c>
      <c r="J71" s="43">
        <v>0</v>
      </c>
      <c r="K71" s="44">
        <v>125997.68350000001</v>
      </c>
      <c r="L71" s="60"/>
      <c r="M71" s="43">
        <v>73777.248800000001</v>
      </c>
      <c r="N71" s="43">
        <v>56811.051090000008</v>
      </c>
      <c r="O71" s="43">
        <v>47783.491889999998</v>
      </c>
      <c r="P71" s="43">
        <v>63164.039540000005</v>
      </c>
      <c r="Q71" s="43">
        <v>21624.289639999995</v>
      </c>
      <c r="R71" s="43"/>
      <c r="S71" s="43">
        <v>68414.350019999998</v>
      </c>
      <c r="T71" s="44">
        <v>331574.47097999998</v>
      </c>
      <c r="U71" s="55"/>
      <c r="V71" s="43">
        <v>0</v>
      </c>
      <c r="W71" s="61"/>
      <c r="X71" s="44">
        <v>457572.15448000003</v>
      </c>
      <c r="Y71" s="62">
        <v>331574.47097999998</v>
      </c>
      <c r="Z71" s="62">
        <v>125997.68350000001</v>
      </c>
    </row>
    <row r="72" spans="1:26" ht="12" customHeight="1" x14ac:dyDescent="0.25">
      <c r="A72" s="42">
        <v>2009</v>
      </c>
      <c r="B72" s="42" t="s">
        <v>3</v>
      </c>
      <c r="C72" s="43">
        <v>0</v>
      </c>
      <c r="D72" s="43">
        <v>163.15864000000002</v>
      </c>
      <c r="E72" s="43">
        <v>0</v>
      </c>
      <c r="F72" s="43">
        <v>2027.4549999999999</v>
      </c>
      <c r="G72" s="43">
        <v>0</v>
      </c>
      <c r="H72" s="43">
        <v>7840.6706399999994</v>
      </c>
      <c r="I72" s="43">
        <v>0</v>
      </c>
      <c r="J72" s="43">
        <v>0</v>
      </c>
      <c r="K72" s="44">
        <v>10031.28428</v>
      </c>
      <c r="L72" s="60"/>
      <c r="M72" s="43">
        <v>7503.6015599999992</v>
      </c>
      <c r="N72" s="43">
        <v>4190.7845200000002</v>
      </c>
      <c r="O72" s="43">
        <v>3869.69137</v>
      </c>
      <c r="P72" s="43">
        <v>2884.7011000000002</v>
      </c>
      <c r="Q72" s="43">
        <v>2677.87102</v>
      </c>
      <c r="R72" s="43"/>
      <c r="S72" s="43">
        <v>5810.7129999999997</v>
      </c>
      <c r="T72" s="44">
        <v>26937.362570000001</v>
      </c>
      <c r="U72" s="55"/>
      <c r="V72" s="43">
        <v>5.6020000000000003</v>
      </c>
      <c r="W72" s="61"/>
      <c r="X72" s="44">
        <v>36974.248850000004</v>
      </c>
      <c r="Y72" s="62">
        <v>26942.96457</v>
      </c>
      <c r="Z72" s="62">
        <v>10031.28428</v>
      </c>
    </row>
    <row r="73" spans="1:26" ht="12" customHeight="1" x14ac:dyDescent="0.25">
      <c r="A73" s="42">
        <v>2009</v>
      </c>
      <c r="B73" s="42" t="s">
        <v>4</v>
      </c>
      <c r="C73" s="43">
        <v>0</v>
      </c>
      <c r="D73" s="43">
        <v>141.19999999999999</v>
      </c>
      <c r="E73" s="43">
        <v>0</v>
      </c>
      <c r="F73" s="43">
        <v>2044.6033</v>
      </c>
      <c r="G73" s="43">
        <v>0</v>
      </c>
      <c r="H73" s="43">
        <v>5804.2950999999994</v>
      </c>
      <c r="I73" s="43">
        <v>0</v>
      </c>
      <c r="J73" s="43">
        <v>0</v>
      </c>
      <c r="K73" s="44">
        <v>7990.0983999999989</v>
      </c>
      <c r="L73" s="60"/>
      <c r="M73" s="43">
        <v>6185.8978999999999</v>
      </c>
      <c r="N73" s="43">
        <v>3731.3905</v>
      </c>
      <c r="O73" s="43">
        <v>3887.4682000000003</v>
      </c>
      <c r="P73" s="43">
        <v>3414.8601999999996</v>
      </c>
      <c r="Q73" s="43">
        <v>908.53700000000003</v>
      </c>
      <c r="R73" s="43"/>
      <c r="S73" s="43">
        <v>5614.9602499999992</v>
      </c>
      <c r="T73" s="44">
        <v>23743.11405</v>
      </c>
      <c r="U73" s="55"/>
      <c r="V73" s="43">
        <v>6.8129999999999997</v>
      </c>
      <c r="W73" s="61"/>
      <c r="X73" s="44">
        <v>31740.025449999997</v>
      </c>
      <c r="Y73" s="62">
        <v>23749.927049999998</v>
      </c>
      <c r="Z73" s="62">
        <v>7990.0983999999989</v>
      </c>
    </row>
    <row r="74" spans="1:26" ht="12" customHeight="1" x14ac:dyDescent="0.25">
      <c r="A74" s="42">
        <v>2009</v>
      </c>
      <c r="B74" s="42" t="s">
        <v>5</v>
      </c>
      <c r="C74" s="43">
        <v>0</v>
      </c>
      <c r="D74" s="43">
        <v>25.7</v>
      </c>
      <c r="E74" s="43">
        <v>0</v>
      </c>
      <c r="F74" s="43">
        <v>2024.73</v>
      </c>
      <c r="G74" s="43">
        <v>0</v>
      </c>
      <c r="H74" s="43">
        <v>5145.8710000000001</v>
      </c>
      <c r="I74" s="43">
        <v>0</v>
      </c>
      <c r="J74" s="43">
        <v>0</v>
      </c>
      <c r="K74" s="44">
        <v>7196.3009999999995</v>
      </c>
      <c r="L74" s="60"/>
      <c r="M74" s="43">
        <v>5645.4828200000002</v>
      </c>
      <c r="N74" s="43">
        <v>4682.0551100000002</v>
      </c>
      <c r="O74" s="43">
        <v>4018.9875000000002</v>
      </c>
      <c r="P74" s="43">
        <v>5876.0741000000007</v>
      </c>
      <c r="Q74" s="43">
        <v>794.90359999999998</v>
      </c>
      <c r="R74" s="43"/>
      <c r="S74" s="43">
        <v>5230.3524199999993</v>
      </c>
      <c r="T74" s="44">
        <v>26247.855550000004</v>
      </c>
      <c r="U74" s="55"/>
      <c r="V74" s="43">
        <v>10.683</v>
      </c>
      <c r="W74" s="61"/>
      <c r="X74" s="44">
        <v>33454.839550000004</v>
      </c>
      <c r="Y74" s="62">
        <v>26258.538550000005</v>
      </c>
      <c r="Z74" s="62">
        <v>7196.3009999999995</v>
      </c>
    </row>
    <row r="75" spans="1:26" ht="12" customHeight="1" x14ac:dyDescent="0.25">
      <c r="A75" s="42">
        <v>2009</v>
      </c>
      <c r="B75" s="42" t="s">
        <v>6</v>
      </c>
      <c r="C75" s="43">
        <v>0</v>
      </c>
      <c r="D75" s="43">
        <v>158.1</v>
      </c>
      <c r="E75" s="43">
        <v>0</v>
      </c>
      <c r="F75" s="43">
        <v>2015.4540200000001</v>
      </c>
      <c r="G75" s="43">
        <v>0</v>
      </c>
      <c r="H75" s="43">
        <v>6090.2951499999999</v>
      </c>
      <c r="I75" s="43">
        <v>0</v>
      </c>
      <c r="J75" s="43">
        <v>0</v>
      </c>
      <c r="K75" s="44">
        <v>8263.8491699999995</v>
      </c>
      <c r="L75" s="60"/>
      <c r="M75" s="43">
        <v>5527.1337599999997</v>
      </c>
      <c r="N75" s="43">
        <v>4215.5543299999999</v>
      </c>
      <c r="O75" s="43">
        <v>2028.8746599999999</v>
      </c>
      <c r="P75" s="43">
        <v>3860.5015899999999</v>
      </c>
      <c r="Q75" s="43">
        <v>905.95591999999999</v>
      </c>
      <c r="R75" s="43"/>
      <c r="S75" s="43">
        <v>5837.1069900000002</v>
      </c>
      <c r="T75" s="44">
        <v>22375.127249999998</v>
      </c>
      <c r="U75" s="55"/>
      <c r="V75" s="43">
        <v>6.6945799999999993</v>
      </c>
      <c r="W75" s="61"/>
      <c r="X75" s="44">
        <v>30645.670999999995</v>
      </c>
      <c r="Y75" s="62">
        <v>22381.821829999997</v>
      </c>
      <c r="Z75" s="62">
        <v>8263.8491699999995</v>
      </c>
    </row>
    <row r="76" spans="1:26" ht="12" customHeight="1" x14ac:dyDescent="0.25">
      <c r="A76" s="42">
        <v>2009</v>
      </c>
      <c r="B76" s="42" t="s">
        <v>7</v>
      </c>
      <c r="C76" s="43">
        <v>0</v>
      </c>
      <c r="D76" s="43">
        <v>120.5</v>
      </c>
      <c r="E76" s="43">
        <v>0</v>
      </c>
      <c r="F76" s="43">
        <v>1674.5617100000002</v>
      </c>
      <c r="G76" s="43">
        <v>0</v>
      </c>
      <c r="H76" s="43">
        <v>6349.5502699999997</v>
      </c>
      <c r="I76" s="43">
        <v>0</v>
      </c>
      <c r="J76" s="43">
        <v>0</v>
      </c>
      <c r="K76" s="44">
        <v>8144.6119799999997</v>
      </c>
      <c r="L76" s="60"/>
      <c r="M76" s="43">
        <v>5853.5522099999998</v>
      </c>
      <c r="N76" s="43">
        <v>2754.90481</v>
      </c>
      <c r="O76" s="43">
        <v>2791.5720200000001</v>
      </c>
      <c r="P76" s="43">
        <v>4763.1312099999996</v>
      </c>
      <c r="Q76" s="43">
        <v>1441.4596799999999</v>
      </c>
      <c r="R76" s="43"/>
      <c r="S76" s="43">
        <v>5344.7921899999992</v>
      </c>
      <c r="T76" s="44">
        <v>22949.412120000001</v>
      </c>
      <c r="U76" s="55"/>
      <c r="V76" s="43">
        <v>5.8150000000000004</v>
      </c>
      <c r="W76" s="61"/>
      <c r="X76" s="44">
        <v>31099.839099999997</v>
      </c>
      <c r="Y76" s="62">
        <v>22955.22712</v>
      </c>
      <c r="Z76" s="62">
        <v>8144.6119799999997</v>
      </c>
    </row>
    <row r="77" spans="1:26" ht="12" customHeight="1" x14ac:dyDescent="0.25">
      <c r="A77" s="42">
        <v>2009</v>
      </c>
      <c r="B77" s="42" t="s">
        <v>8</v>
      </c>
      <c r="C77" s="43">
        <v>0</v>
      </c>
      <c r="D77" s="43">
        <v>160.4</v>
      </c>
      <c r="E77" s="43">
        <v>0</v>
      </c>
      <c r="F77" s="43">
        <v>1725.17824</v>
      </c>
      <c r="G77" s="43">
        <v>0</v>
      </c>
      <c r="H77" s="43">
        <v>6899.2422200000001</v>
      </c>
      <c r="I77" s="43">
        <v>0</v>
      </c>
      <c r="J77" s="43">
        <v>0</v>
      </c>
      <c r="K77" s="44">
        <v>8784.8204600000008</v>
      </c>
      <c r="L77" s="60"/>
      <c r="M77" s="43">
        <v>5326.459319999999</v>
      </c>
      <c r="N77" s="43">
        <v>5362.6839600000003</v>
      </c>
      <c r="O77" s="43">
        <v>3525.8731999999995</v>
      </c>
      <c r="P77" s="43">
        <v>7358.0932999999986</v>
      </c>
      <c r="Q77" s="43">
        <v>950.61570999999992</v>
      </c>
      <c r="R77" s="43"/>
      <c r="S77" s="43">
        <v>5819.2518900000005</v>
      </c>
      <c r="T77" s="44">
        <v>28342.977379999997</v>
      </c>
      <c r="U77" s="55"/>
      <c r="V77" s="43">
        <v>7.452</v>
      </c>
      <c r="W77" s="61"/>
      <c r="X77" s="44">
        <v>37135.249839999997</v>
      </c>
      <c r="Y77" s="62">
        <v>28350.429379999998</v>
      </c>
      <c r="Z77" s="62">
        <v>8784.8204600000008</v>
      </c>
    </row>
    <row r="78" spans="1:26" ht="12" customHeight="1" x14ac:dyDescent="0.25">
      <c r="A78" s="42">
        <v>2009</v>
      </c>
      <c r="B78" s="42" t="s">
        <v>9</v>
      </c>
      <c r="C78" s="43">
        <v>0</v>
      </c>
      <c r="D78" s="43">
        <v>141.1</v>
      </c>
      <c r="E78" s="43">
        <v>0</v>
      </c>
      <c r="F78" s="43">
        <v>2346.79574</v>
      </c>
      <c r="G78" s="43">
        <v>0</v>
      </c>
      <c r="H78" s="43">
        <v>6793.3167199999998</v>
      </c>
      <c r="I78" s="43">
        <v>0</v>
      </c>
      <c r="J78" s="43">
        <v>0</v>
      </c>
      <c r="K78" s="44">
        <v>9281.2124599999988</v>
      </c>
      <c r="L78" s="60"/>
      <c r="M78" s="43">
        <v>6437.5470800000003</v>
      </c>
      <c r="N78" s="43">
        <v>4553.1129500000006</v>
      </c>
      <c r="O78" s="43">
        <v>4738.03971</v>
      </c>
      <c r="P78" s="43">
        <v>5545.6607800000011</v>
      </c>
      <c r="Q78" s="43">
        <v>1364.7248500000001</v>
      </c>
      <c r="R78" s="43"/>
      <c r="S78" s="43">
        <v>5847.8141100000003</v>
      </c>
      <c r="T78" s="44">
        <v>28486.89948</v>
      </c>
      <c r="U78" s="55"/>
      <c r="V78" s="43">
        <v>5.2789999999999999</v>
      </c>
      <c r="W78" s="61"/>
      <c r="X78" s="44">
        <v>37773.390939999997</v>
      </c>
      <c r="Y78" s="62">
        <v>28492.178479999999</v>
      </c>
      <c r="Z78" s="62">
        <v>9281.2124599999988</v>
      </c>
    </row>
    <row r="79" spans="1:26" ht="12" customHeight="1" x14ac:dyDescent="0.25">
      <c r="A79" s="42">
        <v>2009</v>
      </c>
      <c r="B79" s="42" t="s">
        <v>10</v>
      </c>
      <c r="C79" s="43">
        <v>0</v>
      </c>
      <c r="D79" s="43">
        <v>134.4</v>
      </c>
      <c r="E79" s="43">
        <v>0</v>
      </c>
      <c r="F79" s="43">
        <v>2186.0620299999996</v>
      </c>
      <c r="G79" s="43">
        <v>0</v>
      </c>
      <c r="H79" s="43">
        <v>5802.2649799999999</v>
      </c>
      <c r="I79" s="43">
        <v>0</v>
      </c>
      <c r="J79" s="43">
        <v>0</v>
      </c>
      <c r="K79" s="44">
        <v>8122.7270099999996</v>
      </c>
      <c r="L79" s="60"/>
      <c r="M79" s="43">
        <v>5765.0172800000009</v>
      </c>
      <c r="N79" s="43">
        <v>4687.2949900000003</v>
      </c>
      <c r="O79" s="43">
        <v>3472.7060100000003</v>
      </c>
      <c r="P79" s="43">
        <v>4725.6709700000001</v>
      </c>
      <c r="Q79" s="43">
        <v>1757.9151399999998</v>
      </c>
      <c r="R79" s="43"/>
      <c r="S79" s="43">
        <v>4961.7939900000001</v>
      </c>
      <c r="T79" s="44">
        <v>25370.398380000006</v>
      </c>
      <c r="U79" s="55"/>
      <c r="V79" s="43">
        <v>4.3</v>
      </c>
      <c r="W79" s="61"/>
      <c r="X79" s="44">
        <v>33497.425390000004</v>
      </c>
      <c r="Y79" s="62">
        <v>25374.698380000005</v>
      </c>
      <c r="Z79" s="62">
        <v>8122.7270099999996</v>
      </c>
    </row>
    <row r="80" spans="1:26" ht="12" customHeight="1" x14ac:dyDescent="0.25">
      <c r="A80" s="42">
        <v>2009</v>
      </c>
      <c r="B80" s="42" t="s">
        <v>11</v>
      </c>
      <c r="C80" s="43">
        <v>0</v>
      </c>
      <c r="D80" s="43">
        <v>43.6</v>
      </c>
      <c r="E80" s="43">
        <v>0</v>
      </c>
      <c r="F80" s="43">
        <v>2085.9315500000002</v>
      </c>
      <c r="G80" s="43">
        <v>0</v>
      </c>
      <c r="H80" s="43">
        <v>7118.4238700000005</v>
      </c>
      <c r="I80" s="43">
        <v>0</v>
      </c>
      <c r="J80" s="43">
        <v>0</v>
      </c>
      <c r="K80" s="44">
        <v>9247.9554200000002</v>
      </c>
      <c r="L80" s="60"/>
      <c r="M80" s="43">
        <v>5083.7378099999996</v>
      </c>
      <c r="N80" s="43">
        <v>4344.6506300000001</v>
      </c>
      <c r="O80" s="43">
        <v>3403.9645300000002</v>
      </c>
      <c r="P80" s="43">
        <v>6428.6191000000008</v>
      </c>
      <c r="Q80" s="43">
        <v>492.80209000000002</v>
      </c>
      <c r="R80" s="43"/>
      <c r="S80" s="43">
        <v>6234.0430399999987</v>
      </c>
      <c r="T80" s="44">
        <v>25987.817199999998</v>
      </c>
      <c r="U80" s="55"/>
      <c r="V80" s="43">
        <v>5.7629999999999999</v>
      </c>
      <c r="W80" s="61"/>
      <c r="X80" s="44">
        <v>35241.535619999995</v>
      </c>
      <c r="Y80" s="62">
        <v>25993.580199999997</v>
      </c>
      <c r="Z80" s="62">
        <v>9247.9554200000002</v>
      </c>
    </row>
    <row r="81" spans="1:26" ht="12" customHeight="1" x14ac:dyDescent="0.25">
      <c r="A81" s="42">
        <v>2009</v>
      </c>
      <c r="B81" s="42" t="s">
        <v>12</v>
      </c>
      <c r="C81" s="43">
        <v>0</v>
      </c>
      <c r="D81" s="43">
        <v>39.200000000000003</v>
      </c>
      <c r="E81" s="43">
        <v>0</v>
      </c>
      <c r="F81" s="43">
        <v>2014.75379</v>
      </c>
      <c r="G81" s="43">
        <v>0</v>
      </c>
      <c r="H81" s="43">
        <v>5559.1010199999992</v>
      </c>
      <c r="I81" s="43">
        <v>0</v>
      </c>
      <c r="J81" s="43">
        <v>0</v>
      </c>
      <c r="K81" s="44">
        <v>7613.0548099999996</v>
      </c>
      <c r="L81" s="60"/>
      <c r="M81" s="43">
        <v>4955.1639599999999</v>
      </c>
      <c r="N81" s="43">
        <v>4481.1225400000003</v>
      </c>
      <c r="O81" s="43">
        <v>4824.9304800000009</v>
      </c>
      <c r="P81" s="43">
        <v>4352.3569699999998</v>
      </c>
      <c r="Q81" s="43">
        <v>920.13695999999993</v>
      </c>
      <c r="R81" s="43"/>
      <c r="S81" s="43">
        <v>5015.3378200000006</v>
      </c>
      <c r="T81" s="44">
        <v>24549.048730000002</v>
      </c>
      <c r="U81" s="55"/>
      <c r="V81" s="43">
        <v>3.99</v>
      </c>
      <c r="W81" s="61"/>
      <c r="X81" s="44">
        <v>32166.093540000002</v>
      </c>
      <c r="Y81" s="62">
        <v>24553.038730000004</v>
      </c>
      <c r="Z81" s="62">
        <v>7613.0548099999996</v>
      </c>
    </row>
    <row r="82" spans="1:26" ht="12" customHeight="1" x14ac:dyDescent="0.25">
      <c r="A82" s="42">
        <v>2009</v>
      </c>
      <c r="B82" s="42" t="s">
        <v>13</v>
      </c>
      <c r="C82" s="43">
        <v>0</v>
      </c>
      <c r="D82" s="43">
        <v>110.3</v>
      </c>
      <c r="E82" s="43">
        <v>0</v>
      </c>
      <c r="F82" s="43">
        <v>1776.3525900000002</v>
      </c>
      <c r="G82" s="43">
        <v>0</v>
      </c>
      <c r="H82" s="43">
        <v>8274.6564399999988</v>
      </c>
      <c r="I82" s="43">
        <v>0</v>
      </c>
      <c r="J82" s="43">
        <v>0</v>
      </c>
      <c r="K82" s="44">
        <v>10161.309029999999</v>
      </c>
      <c r="L82" s="60"/>
      <c r="M82" s="43">
        <v>6972.9787799999995</v>
      </c>
      <c r="N82" s="43">
        <v>3502.0534899999998</v>
      </c>
      <c r="O82" s="43">
        <v>3768.8817100000001</v>
      </c>
      <c r="P82" s="43">
        <v>5080.6979999999994</v>
      </c>
      <c r="Q82" s="43">
        <v>1969.1188100000002</v>
      </c>
      <c r="R82" s="43"/>
      <c r="S82" s="43">
        <v>4989.5340500000011</v>
      </c>
      <c r="T82" s="44">
        <v>26283.26484</v>
      </c>
      <c r="U82" s="55"/>
      <c r="V82" s="43">
        <v>3.9780000000000002</v>
      </c>
      <c r="W82" s="61"/>
      <c r="X82" s="44">
        <v>36448.551869999996</v>
      </c>
      <c r="Y82" s="62">
        <v>26287.242839999999</v>
      </c>
      <c r="Z82" s="62">
        <v>10161.309029999999</v>
      </c>
    </row>
    <row r="83" spans="1:26" ht="12" customHeight="1" x14ac:dyDescent="0.25">
      <c r="A83" s="42">
        <v>2009</v>
      </c>
      <c r="B83" s="42" t="s">
        <v>14</v>
      </c>
      <c r="C83" s="43">
        <v>0</v>
      </c>
      <c r="D83" s="43">
        <v>114.1</v>
      </c>
      <c r="E83" s="43">
        <v>0</v>
      </c>
      <c r="F83" s="43">
        <v>2005.3679500000001</v>
      </c>
      <c r="G83" s="43">
        <v>0</v>
      </c>
      <c r="H83" s="43">
        <v>7870.3487100000002</v>
      </c>
      <c r="I83" s="43">
        <v>0</v>
      </c>
      <c r="J83" s="43">
        <v>0</v>
      </c>
      <c r="K83" s="44">
        <v>9989.8166600000004</v>
      </c>
      <c r="L83" s="60"/>
      <c r="M83" s="43">
        <v>7135.4555799999989</v>
      </c>
      <c r="N83" s="43">
        <v>3674.7186799999999</v>
      </c>
      <c r="O83" s="43">
        <v>2830.9893399999996</v>
      </c>
      <c r="P83" s="43">
        <v>4249.7029599999996</v>
      </c>
      <c r="Q83" s="43">
        <v>1693.76647</v>
      </c>
      <c r="R83" s="43"/>
      <c r="S83" s="43">
        <v>4801.5538299999998</v>
      </c>
      <c r="T83" s="44">
        <v>24386.186859999998</v>
      </c>
      <c r="U83" s="55"/>
      <c r="V83" s="43">
        <v>3.0310000000000001</v>
      </c>
      <c r="W83" s="61"/>
      <c r="X83" s="44">
        <v>34379.034520000001</v>
      </c>
      <c r="Y83" s="62">
        <v>24389.217859999997</v>
      </c>
      <c r="Z83" s="62">
        <v>9989.8166600000004</v>
      </c>
    </row>
    <row r="84" spans="1:26" ht="12" customHeight="1" x14ac:dyDescent="0.25">
      <c r="A84" s="42">
        <v>2009</v>
      </c>
      <c r="B84" s="42" t="s">
        <v>15</v>
      </c>
      <c r="C84" s="43">
        <v>0</v>
      </c>
      <c r="D84" s="43">
        <v>1351.7586399999998</v>
      </c>
      <c r="E84" s="43">
        <v>0</v>
      </c>
      <c r="F84" s="43">
        <v>23927.245919999998</v>
      </c>
      <c r="G84" s="43">
        <v>0</v>
      </c>
      <c r="H84" s="43">
        <v>79548.036120000004</v>
      </c>
      <c r="I84" s="43">
        <v>0</v>
      </c>
      <c r="J84" s="43">
        <v>0</v>
      </c>
      <c r="K84" s="44">
        <v>104827.04068000001</v>
      </c>
      <c r="L84" s="60"/>
      <c r="M84" s="43">
        <v>72392.028059999997</v>
      </c>
      <c r="N84" s="43">
        <v>50180.326509999999</v>
      </c>
      <c r="O84" s="43">
        <v>43161.978730000003</v>
      </c>
      <c r="P84" s="43">
        <v>58540.07028</v>
      </c>
      <c r="Q84" s="43">
        <v>15877.807249999998</v>
      </c>
      <c r="R84" s="43"/>
      <c r="S84" s="43">
        <v>65507.253579999997</v>
      </c>
      <c r="T84" s="44">
        <v>305659.46441000002</v>
      </c>
      <c r="U84" s="55"/>
      <c r="V84" s="43">
        <v>69.400579999999991</v>
      </c>
      <c r="W84" s="61"/>
      <c r="X84" s="44">
        <v>410555.90567000001</v>
      </c>
      <c r="Y84" s="62">
        <v>305728.86499000003</v>
      </c>
      <c r="Z84" s="62">
        <v>104827.04068000001</v>
      </c>
    </row>
    <row r="85" spans="1:26" ht="12" customHeight="1" x14ac:dyDescent="0.25">
      <c r="A85" s="42">
        <v>2010</v>
      </c>
      <c r="B85" s="42" t="s">
        <v>3</v>
      </c>
      <c r="C85" s="43">
        <v>0</v>
      </c>
      <c r="D85" s="43">
        <v>51.7</v>
      </c>
      <c r="E85" s="43">
        <v>0</v>
      </c>
      <c r="F85" s="43">
        <v>1911.1970900000001</v>
      </c>
      <c r="G85" s="43">
        <v>0</v>
      </c>
      <c r="H85" s="43">
        <v>8825.4115599999986</v>
      </c>
      <c r="I85" s="43">
        <v>0</v>
      </c>
      <c r="J85" s="43">
        <v>0</v>
      </c>
      <c r="K85" s="44">
        <v>10788.308649999999</v>
      </c>
      <c r="L85" s="60"/>
      <c r="M85" s="43">
        <v>8141.2801099999997</v>
      </c>
      <c r="N85" s="43">
        <v>5334.475739999999</v>
      </c>
      <c r="O85" s="43">
        <v>2536.3706700000002</v>
      </c>
      <c r="P85" s="43">
        <v>5507.4741599999998</v>
      </c>
      <c r="Q85" s="43">
        <v>860.22933999999998</v>
      </c>
      <c r="R85" s="43"/>
      <c r="S85" s="43">
        <v>5862.3977300000006</v>
      </c>
      <c r="T85" s="44">
        <v>28242.227749999998</v>
      </c>
      <c r="U85" s="55"/>
      <c r="V85" s="43">
        <v>0.29799999999999999</v>
      </c>
      <c r="W85" s="61"/>
      <c r="X85" s="44">
        <v>39030.834399999992</v>
      </c>
      <c r="Y85" s="62">
        <v>28242.525749999997</v>
      </c>
      <c r="Z85" s="62">
        <v>10788.308649999999</v>
      </c>
    </row>
    <row r="86" spans="1:26" ht="12" customHeight="1" x14ac:dyDescent="0.25">
      <c r="A86" s="42">
        <v>2010</v>
      </c>
      <c r="B86" s="42" t="s">
        <v>4</v>
      </c>
      <c r="C86" s="43">
        <v>0</v>
      </c>
      <c r="D86" s="43">
        <v>45.7</v>
      </c>
      <c r="E86" s="43">
        <v>0</v>
      </c>
      <c r="F86" s="43">
        <v>1619.90976</v>
      </c>
      <c r="G86" s="43">
        <v>0</v>
      </c>
      <c r="H86" s="43">
        <v>7711.6379599999991</v>
      </c>
      <c r="I86" s="43">
        <v>0</v>
      </c>
      <c r="J86" s="43">
        <v>0</v>
      </c>
      <c r="K86" s="44">
        <v>9377.2477199999994</v>
      </c>
      <c r="L86" s="60"/>
      <c r="M86" s="43">
        <v>6481.6444300000003</v>
      </c>
      <c r="N86" s="43">
        <v>4640.9733200000001</v>
      </c>
      <c r="O86" s="43">
        <v>2838.3777399999999</v>
      </c>
      <c r="P86" s="43">
        <v>5400.7166299999999</v>
      </c>
      <c r="Q86" s="43">
        <v>859.89614000000006</v>
      </c>
      <c r="R86" s="43"/>
      <c r="S86" s="43">
        <v>3525.4185299999999</v>
      </c>
      <c r="T86" s="44">
        <v>23747.02679</v>
      </c>
      <c r="U86" s="55"/>
      <c r="V86" s="43">
        <v>0</v>
      </c>
      <c r="W86" s="61"/>
      <c r="X86" s="44">
        <v>33124.274510000003</v>
      </c>
      <c r="Y86" s="62">
        <v>23747.02679</v>
      </c>
      <c r="Z86" s="62">
        <v>9377.2477199999994</v>
      </c>
    </row>
    <row r="87" spans="1:26" ht="12" customHeight="1" x14ac:dyDescent="0.25">
      <c r="A87" s="42">
        <v>2010</v>
      </c>
      <c r="B87" s="42" t="s">
        <v>5</v>
      </c>
      <c r="C87" s="43">
        <v>0</v>
      </c>
      <c r="D87" s="43">
        <v>27.2</v>
      </c>
      <c r="E87" s="43">
        <v>0</v>
      </c>
      <c r="F87" s="43">
        <v>1914.46524</v>
      </c>
      <c r="G87" s="43">
        <v>0</v>
      </c>
      <c r="H87" s="43">
        <v>9020.9987500000007</v>
      </c>
      <c r="I87" s="43">
        <v>0</v>
      </c>
      <c r="J87" s="43">
        <v>0</v>
      </c>
      <c r="K87" s="44">
        <v>10962.663990000001</v>
      </c>
      <c r="L87" s="60"/>
      <c r="M87" s="43">
        <v>5921.7294699999993</v>
      </c>
      <c r="N87" s="43">
        <v>3086.70685</v>
      </c>
      <c r="O87" s="43">
        <v>3016.2584999999999</v>
      </c>
      <c r="P87" s="43">
        <v>6148.9289900000012</v>
      </c>
      <c r="Q87" s="43">
        <v>1655.4656400000001</v>
      </c>
      <c r="R87" s="43"/>
      <c r="S87" s="43">
        <v>5340.4489000000003</v>
      </c>
      <c r="T87" s="44">
        <v>25169.538349999999</v>
      </c>
      <c r="U87" s="55"/>
      <c r="V87" s="43">
        <v>0</v>
      </c>
      <c r="W87" s="61"/>
      <c r="X87" s="44">
        <v>36132.202340000003</v>
      </c>
      <c r="Y87" s="62">
        <v>25169.538349999999</v>
      </c>
      <c r="Z87" s="62">
        <v>10962.663990000001</v>
      </c>
    </row>
    <row r="88" spans="1:26" ht="12" customHeight="1" x14ac:dyDescent="0.25">
      <c r="A88" s="42">
        <v>2010</v>
      </c>
      <c r="B88" s="42" t="s">
        <v>6</v>
      </c>
      <c r="C88" s="43">
        <v>0</v>
      </c>
      <c r="D88" s="43">
        <v>1</v>
      </c>
      <c r="E88" s="43">
        <v>0</v>
      </c>
      <c r="F88" s="43">
        <v>1026.9758299999999</v>
      </c>
      <c r="G88" s="43">
        <v>0</v>
      </c>
      <c r="H88" s="43">
        <v>5559.3845799999999</v>
      </c>
      <c r="I88" s="43">
        <v>0</v>
      </c>
      <c r="J88" s="43">
        <v>0</v>
      </c>
      <c r="K88" s="44">
        <v>6587.3604099999993</v>
      </c>
      <c r="L88" s="60"/>
      <c r="M88" s="43">
        <v>6343.5310300000001</v>
      </c>
      <c r="N88" s="43">
        <v>5073.2426899999991</v>
      </c>
      <c r="O88" s="43">
        <v>3657.6238499999999</v>
      </c>
      <c r="P88" s="43">
        <v>4661.6735499999995</v>
      </c>
      <c r="Q88" s="43">
        <v>1718.7552800000001</v>
      </c>
      <c r="R88" s="43"/>
      <c r="S88" s="43">
        <v>3819.6762899999999</v>
      </c>
      <c r="T88" s="44">
        <v>25274.502690000001</v>
      </c>
      <c r="U88" s="55"/>
      <c r="V88" s="43">
        <v>0</v>
      </c>
      <c r="W88" s="61"/>
      <c r="X88" s="44">
        <v>31861.863100000002</v>
      </c>
      <c r="Y88" s="62">
        <v>25274.502690000001</v>
      </c>
      <c r="Z88" s="62">
        <v>6587.3604099999993</v>
      </c>
    </row>
    <row r="89" spans="1:26" ht="12" customHeight="1" x14ac:dyDescent="0.25">
      <c r="A89" s="42">
        <v>2010</v>
      </c>
      <c r="B89" s="42" t="s">
        <v>7</v>
      </c>
      <c r="C89" s="43">
        <v>0</v>
      </c>
      <c r="D89" s="43">
        <v>4</v>
      </c>
      <c r="E89" s="43">
        <v>0</v>
      </c>
      <c r="F89" s="43">
        <v>1381.30846</v>
      </c>
      <c r="G89" s="43">
        <v>0</v>
      </c>
      <c r="H89" s="43">
        <v>6306.76404</v>
      </c>
      <c r="I89" s="43">
        <v>0</v>
      </c>
      <c r="J89" s="43">
        <v>0</v>
      </c>
      <c r="K89" s="44">
        <v>7692.0725000000002</v>
      </c>
      <c r="L89" s="60"/>
      <c r="M89" s="43">
        <v>6068.3296499999997</v>
      </c>
      <c r="N89" s="43">
        <v>3721.2661400000002</v>
      </c>
      <c r="O89" s="43">
        <v>2360.7978399999997</v>
      </c>
      <c r="P89" s="43">
        <v>6596.7037200000004</v>
      </c>
      <c r="Q89" s="43">
        <v>1743.4204099999999</v>
      </c>
      <c r="R89" s="43"/>
      <c r="S89" s="43">
        <v>4543.3475599999992</v>
      </c>
      <c r="T89" s="44">
        <v>25033.865319999997</v>
      </c>
      <c r="U89" s="55"/>
      <c r="V89" s="43">
        <v>0</v>
      </c>
      <c r="W89" s="61"/>
      <c r="X89" s="44">
        <v>32725.937819999999</v>
      </c>
      <c r="Y89" s="62">
        <v>25033.865319999997</v>
      </c>
      <c r="Z89" s="62">
        <v>7692.0725000000002</v>
      </c>
    </row>
    <row r="90" spans="1:26" ht="12" customHeight="1" x14ac:dyDescent="0.25">
      <c r="A90" s="42">
        <v>2010</v>
      </c>
      <c r="B90" s="42" t="s">
        <v>8</v>
      </c>
      <c r="C90" s="43">
        <v>0</v>
      </c>
      <c r="D90" s="43">
        <v>3.4</v>
      </c>
      <c r="E90" s="43">
        <v>0</v>
      </c>
      <c r="F90" s="43">
        <v>1726.9803200000001</v>
      </c>
      <c r="G90" s="43">
        <v>0</v>
      </c>
      <c r="H90" s="43">
        <v>5887.3197799999989</v>
      </c>
      <c r="I90" s="43">
        <v>0</v>
      </c>
      <c r="J90" s="43">
        <v>0</v>
      </c>
      <c r="K90" s="44">
        <v>7617.7000999999991</v>
      </c>
      <c r="L90" s="60"/>
      <c r="M90" s="43">
        <v>5302.1661599999998</v>
      </c>
      <c r="N90" s="43">
        <v>3670.1806699999997</v>
      </c>
      <c r="O90" s="43">
        <v>3540.2904899999999</v>
      </c>
      <c r="P90" s="43">
        <v>7531.017780000001</v>
      </c>
      <c r="Q90" s="43">
        <v>1682.0286299999998</v>
      </c>
      <c r="R90" s="43"/>
      <c r="S90" s="43">
        <v>5081.2894200000001</v>
      </c>
      <c r="T90" s="44">
        <v>26806.973150000002</v>
      </c>
      <c r="U90" s="55"/>
      <c r="V90" s="43">
        <v>0</v>
      </c>
      <c r="W90" s="61"/>
      <c r="X90" s="44">
        <v>34424.67325</v>
      </c>
      <c r="Y90" s="62">
        <v>26806.973150000002</v>
      </c>
      <c r="Z90" s="62">
        <v>7617.7000999999991</v>
      </c>
    </row>
    <row r="91" spans="1:26" ht="12" customHeight="1" x14ac:dyDescent="0.25">
      <c r="A91" s="42">
        <v>2010</v>
      </c>
      <c r="B91" s="42" t="s">
        <v>9</v>
      </c>
      <c r="C91" s="43">
        <v>0</v>
      </c>
      <c r="D91" s="43">
        <v>10.8</v>
      </c>
      <c r="E91" s="43">
        <v>0</v>
      </c>
      <c r="F91" s="43">
        <v>1243.8828000000001</v>
      </c>
      <c r="G91" s="43">
        <v>0</v>
      </c>
      <c r="H91" s="43">
        <v>5608.7500399999999</v>
      </c>
      <c r="I91" s="43">
        <v>0</v>
      </c>
      <c r="J91" s="43">
        <v>0</v>
      </c>
      <c r="K91" s="44">
        <v>6863.4328399999995</v>
      </c>
      <c r="L91" s="60"/>
      <c r="M91" s="43">
        <v>5627.7671700000001</v>
      </c>
      <c r="N91" s="43">
        <v>5550.1206700000002</v>
      </c>
      <c r="O91" s="43">
        <v>4104.1088999999993</v>
      </c>
      <c r="P91" s="43">
        <v>6010.7552299999998</v>
      </c>
      <c r="Q91" s="43">
        <v>1390.8281200000001</v>
      </c>
      <c r="R91" s="43"/>
      <c r="S91" s="43">
        <v>4370.78953</v>
      </c>
      <c r="T91" s="44">
        <v>27054.369619999998</v>
      </c>
      <c r="U91" s="55"/>
      <c r="V91" s="43">
        <v>0</v>
      </c>
      <c r="W91" s="61"/>
      <c r="X91" s="44">
        <v>33917.802459999999</v>
      </c>
      <c r="Y91" s="62">
        <v>27054.369619999998</v>
      </c>
      <c r="Z91" s="62">
        <v>6863.4328399999995</v>
      </c>
    </row>
    <row r="92" spans="1:26" ht="12" customHeight="1" x14ac:dyDescent="0.25">
      <c r="A92" s="42">
        <v>2010</v>
      </c>
      <c r="B92" s="42" t="s">
        <v>10</v>
      </c>
      <c r="C92" s="43">
        <v>0</v>
      </c>
      <c r="D92" s="43">
        <v>244.9</v>
      </c>
      <c r="E92" s="43">
        <v>0</v>
      </c>
      <c r="F92" s="43">
        <v>253.29551000000001</v>
      </c>
      <c r="G92" s="43">
        <v>0</v>
      </c>
      <c r="H92" s="43">
        <v>3954.1158700000001</v>
      </c>
      <c r="I92" s="43">
        <v>0</v>
      </c>
      <c r="J92" s="43">
        <v>0</v>
      </c>
      <c r="K92" s="44">
        <v>4452.3113800000001</v>
      </c>
      <c r="L92" s="60"/>
      <c r="M92" s="43">
        <v>6246.0020799999993</v>
      </c>
      <c r="N92" s="43">
        <v>4460.0437000000002</v>
      </c>
      <c r="O92" s="43">
        <v>3475.3101999999999</v>
      </c>
      <c r="P92" s="43">
        <v>5659.7289199999996</v>
      </c>
      <c r="Q92" s="43">
        <v>1790.8079700000003</v>
      </c>
      <c r="R92" s="43"/>
      <c r="S92" s="43">
        <v>4973.8722900000002</v>
      </c>
      <c r="T92" s="44">
        <v>26605.765160000003</v>
      </c>
      <c r="U92" s="55"/>
      <c r="V92" s="43">
        <v>0</v>
      </c>
      <c r="W92" s="61"/>
      <c r="X92" s="44">
        <v>31058.076540000002</v>
      </c>
      <c r="Y92" s="62">
        <v>26605.765160000003</v>
      </c>
      <c r="Z92" s="62">
        <v>4452.3113800000001</v>
      </c>
    </row>
    <row r="93" spans="1:26" ht="12" customHeight="1" x14ac:dyDescent="0.25">
      <c r="A93" s="42">
        <v>2010</v>
      </c>
      <c r="B93" s="42" t="s">
        <v>11</v>
      </c>
      <c r="C93" s="43">
        <v>0</v>
      </c>
      <c r="D93" s="43">
        <v>274.39999999999998</v>
      </c>
      <c r="E93" s="43">
        <v>0</v>
      </c>
      <c r="F93" s="43">
        <v>1176.9939899999999</v>
      </c>
      <c r="G93" s="43">
        <v>0</v>
      </c>
      <c r="H93" s="43">
        <v>4464.8055100000001</v>
      </c>
      <c r="I93" s="43">
        <v>0</v>
      </c>
      <c r="J93" s="43">
        <v>0</v>
      </c>
      <c r="K93" s="44">
        <v>5916.1995000000006</v>
      </c>
      <c r="L93" s="60"/>
      <c r="M93" s="43">
        <v>5728.4138799999992</v>
      </c>
      <c r="N93" s="43">
        <v>4439.532470000001</v>
      </c>
      <c r="O93" s="43">
        <v>3565.02666</v>
      </c>
      <c r="P93" s="43">
        <v>5220.1423299999997</v>
      </c>
      <c r="Q93" s="43">
        <v>2621.97568</v>
      </c>
      <c r="R93" s="43"/>
      <c r="S93" s="43">
        <v>4309.3660300000001</v>
      </c>
      <c r="T93" s="44">
        <v>25884.457050000001</v>
      </c>
      <c r="U93" s="55"/>
      <c r="V93" s="43">
        <v>0</v>
      </c>
      <c r="W93" s="61"/>
      <c r="X93" s="44">
        <v>31800.65655</v>
      </c>
      <c r="Y93" s="62">
        <v>25884.457050000001</v>
      </c>
      <c r="Z93" s="62">
        <v>5916.1995000000006</v>
      </c>
    </row>
    <row r="94" spans="1:26" ht="12" customHeight="1" x14ac:dyDescent="0.25">
      <c r="A94" s="42">
        <v>2010</v>
      </c>
      <c r="B94" s="42" t="s">
        <v>12</v>
      </c>
      <c r="C94" s="43">
        <v>0</v>
      </c>
      <c r="D94" s="43">
        <v>339.30000999999999</v>
      </c>
      <c r="E94" s="43">
        <v>0</v>
      </c>
      <c r="F94" s="43">
        <v>2124.2170700000001</v>
      </c>
      <c r="G94" s="43">
        <v>0</v>
      </c>
      <c r="H94" s="43">
        <v>6386.1113499999983</v>
      </c>
      <c r="I94" s="43">
        <v>0</v>
      </c>
      <c r="J94" s="43">
        <v>0</v>
      </c>
      <c r="K94" s="44">
        <v>8849.6284299999988</v>
      </c>
      <c r="L94" s="60"/>
      <c r="M94" s="43">
        <v>7937.9117899999992</v>
      </c>
      <c r="N94" s="43">
        <v>3495.4304099999999</v>
      </c>
      <c r="O94" s="43">
        <v>2681.94508</v>
      </c>
      <c r="P94" s="43">
        <v>5679.5823500000006</v>
      </c>
      <c r="Q94" s="43">
        <v>1918.6904199999999</v>
      </c>
      <c r="R94" s="43"/>
      <c r="S94" s="43">
        <v>4524.5857800000003</v>
      </c>
      <c r="T94" s="44">
        <v>26238.145830000001</v>
      </c>
      <c r="U94" s="55"/>
      <c r="V94" s="43">
        <v>0</v>
      </c>
      <c r="W94" s="61"/>
      <c r="X94" s="44">
        <v>35087.774259999998</v>
      </c>
      <c r="Y94" s="62">
        <v>26238.145830000001</v>
      </c>
      <c r="Z94" s="62">
        <v>8849.6284299999988</v>
      </c>
    </row>
    <row r="95" spans="1:26" ht="12" customHeight="1" x14ac:dyDescent="0.25">
      <c r="A95" s="42">
        <v>2010</v>
      </c>
      <c r="B95" s="42" t="s">
        <v>13</v>
      </c>
      <c r="C95" s="43">
        <v>0</v>
      </c>
      <c r="D95" s="43">
        <v>270</v>
      </c>
      <c r="E95" s="43">
        <v>0</v>
      </c>
      <c r="F95" s="43">
        <v>2117.4290099999998</v>
      </c>
      <c r="G95" s="43">
        <v>0</v>
      </c>
      <c r="H95" s="43">
        <v>7126.38</v>
      </c>
      <c r="I95" s="43">
        <v>0</v>
      </c>
      <c r="J95" s="43">
        <v>0</v>
      </c>
      <c r="K95" s="44">
        <v>9513.8090100000009</v>
      </c>
      <c r="L95" s="60"/>
      <c r="M95" s="43">
        <v>10130.084600000002</v>
      </c>
      <c r="N95" s="43">
        <v>1858.5520100000001</v>
      </c>
      <c r="O95" s="43">
        <v>4974.4790700000003</v>
      </c>
      <c r="P95" s="43">
        <v>4271.4008599999997</v>
      </c>
      <c r="Q95" s="43">
        <v>844.43436999999994</v>
      </c>
      <c r="R95" s="43"/>
      <c r="S95" s="43">
        <v>4272.81945</v>
      </c>
      <c r="T95" s="44">
        <v>26351.770360000002</v>
      </c>
      <c r="U95" s="55"/>
      <c r="V95" s="43">
        <v>0</v>
      </c>
      <c r="W95" s="61"/>
      <c r="X95" s="44">
        <v>35865.579370000007</v>
      </c>
      <c r="Y95" s="62">
        <v>26351.770360000002</v>
      </c>
      <c r="Z95" s="62">
        <v>9513.8090100000009</v>
      </c>
    </row>
    <row r="96" spans="1:26" ht="12" customHeight="1" x14ac:dyDescent="0.25">
      <c r="A96" s="42">
        <v>2010</v>
      </c>
      <c r="B96" s="42" t="s">
        <v>14</v>
      </c>
      <c r="C96" s="43">
        <v>0</v>
      </c>
      <c r="D96" s="43">
        <v>544</v>
      </c>
      <c r="E96" s="43">
        <v>0</v>
      </c>
      <c r="F96" s="43">
        <v>2306.94148</v>
      </c>
      <c r="G96" s="43">
        <v>0</v>
      </c>
      <c r="H96" s="43">
        <v>8551.3952299999983</v>
      </c>
      <c r="I96" s="43">
        <v>0</v>
      </c>
      <c r="J96" s="43">
        <v>0</v>
      </c>
      <c r="K96" s="44">
        <v>11402.336709999998</v>
      </c>
      <c r="L96" s="60"/>
      <c r="M96" s="43">
        <v>5820.71983</v>
      </c>
      <c r="N96" s="43">
        <v>3542.1180300000001</v>
      </c>
      <c r="O96" s="43">
        <v>4537.4743899999994</v>
      </c>
      <c r="P96" s="43">
        <v>7099.6891800000003</v>
      </c>
      <c r="Q96" s="43">
        <v>1362.1640500000001</v>
      </c>
      <c r="R96" s="43"/>
      <c r="S96" s="43">
        <v>4133.6845899999998</v>
      </c>
      <c r="T96" s="44">
        <v>26495.85007</v>
      </c>
      <c r="U96" s="55"/>
      <c r="V96" s="43">
        <v>0</v>
      </c>
      <c r="W96" s="61"/>
      <c r="X96" s="44">
        <v>37898.186779999996</v>
      </c>
      <c r="Y96" s="62">
        <v>26495.85007</v>
      </c>
      <c r="Z96" s="62">
        <v>11402.336709999998</v>
      </c>
    </row>
    <row r="97" spans="1:26" ht="12" customHeight="1" x14ac:dyDescent="0.25">
      <c r="A97" s="42">
        <v>2010</v>
      </c>
      <c r="B97" s="42" t="s">
        <v>15</v>
      </c>
      <c r="C97" s="43">
        <v>0</v>
      </c>
      <c r="D97" s="43">
        <v>1816.4000100000001</v>
      </c>
      <c r="E97" s="43">
        <v>0</v>
      </c>
      <c r="F97" s="43">
        <v>18803.596559999998</v>
      </c>
      <c r="G97" s="43">
        <v>0</v>
      </c>
      <c r="H97" s="43">
        <v>79403.074669999987</v>
      </c>
      <c r="I97" s="43">
        <v>0</v>
      </c>
      <c r="J97" s="43">
        <v>0</v>
      </c>
      <c r="K97" s="44">
        <v>100023.07123999999</v>
      </c>
      <c r="L97" s="60"/>
      <c r="M97" s="43">
        <v>79749.580199999997</v>
      </c>
      <c r="N97" s="43">
        <v>48872.642699999997</v>
      </c>
      <c r="O97" s="43">
        <v>41288.063389999996</v>
      </c>
      <c r="P97" s="43">
        <v>69787.813699999999</v>
      </c>
      <c r="Q97" s="43">
        <v>18448.696049999999</v>
      </c>
      <c r="R97" s="43"/>
      <c r="S97" s="43">
        <v>54757.696099999994</v>
      </c>
      <c r="T97" s="44">
        <v>312904.49213999999</v>
      </c>
      <c r="U97" s="55"/>
      <c r="V97" s="43">
        <v>0.29799999999999999</v>
      </c>
      <c r="W97" s="61"/>
      <c r="X97" s="44">
        <v>412927.86138000002</v>
      </c>
      <c r="Y97" s="62">
        <v>312904.79014</v>
      </c>
      <c r="Z97" s="62">
        <v>100023.07123999999</v>
      </c>
    </row>
    <row r="98" spans="1:26" ht="12" customHeight="1" x14ac:dyDescent="0.25">
      <c r="A98" s="42">
        <v>2011</v>
      </c>
      <c r="B98" s="42" t="s">
        <v>3</v>
      </c>
      <c r="C98" s="43">
        <v>0</v>
      </c>
      <c r="D98" s="43">
        <v>343.9</v>
      </c>
      <c r="E98" s="43">
        <v>0</v>
      </c>
      <c r="F98" s="43">
        <v>1942.6142100000002</v>
      </c>
      <c r="G98" s="43">
        <v>0</v>
      </c>
      <c r="H98" s="43">
        <v>9051.7864800000007</v>
      </c>
      <c r="I98" s="43">
        <v>0</v>
      </c>
      <c r="J98" s="43">
        <v>0</v>
      </c>
      <c r="K98" s="44">
        <v>11338.30069</v>
      </c>
      <c r="L98" s="60"/>
      <c r="M98" s="43">
        <v>7165.4788999999992</v>
      </c>
      <c r="N98" s="43">
        <v>2568.1810699999996</v>
      </c>
      <c r="O98" s="43">
        <v>3670.45075</v>
      </c>
      <c r="P98" s="43">
        <v>7869.4579300000014</v>
      </c>
      <c r="Q98" s="43">
        <v>1642.08626</v>
      </c>
      <c r="R98" s="43"/>
      <c r="S98" s="43">
        <v>3340.8909399999998</v>
      </c>
      <c r="T98" s="44">
        <v>26256.545850000002</v>
      </c>
      <c r="U98" s="55"/>
      <c r="V98" s="43">
        <v>0</v>
      </c>
      <c r="W98" s="61"/>
      <c r="X98" s="44">
        <v>37594.846539999999</v>
      </c>
      <c r="Y98" s="62">
        <v>26256.545850000002</v>
      </c>
      <c r="Z98" s="62">
        <v>11338.30069</v>
      </c>
    </row>
    <row r="99" spans="1:26" ht="12" customHeight="1" x14ac:dyDescent="0.25">
      <c r="A99" s="42">
        <v>2011</v>
      </c>
      <c r="B99" s="42" t="s">
        <v>4</v>
      </c>
      <c r="C99" s="43">
        <v>0</v>
      </c>
      <c r="D99" s="43">
        <v>626</v>
      </c>
      <c r="E99" s="43">
        <v>0</v>
      </c>
      <c r="F99" s="43">
        <v>2002.5949500000002</v>
      </c>
      <c r="G99" s="43">
        <v>0</v>
      </c>
      <c r="H99" s="43">
        <v>8272.1583599999994</v>
      </c>
      <c r="I99" s="43">
        <v>0</v>
      </c>
      <c r="J99" s="43">
        <v>0</v>
      </c>
      <c r="K99" s="44">
        <v>10900.75331</v>
      </c>
      <c r="L99" s="60"/>
      <c r="M99" s="43">
        <v>6719.9079599999986</v>
      </c>
      <c r="N99" s="43">
        <v>2737.8206099999998</v>
      </c>
      <c r="O99" s="43">
        <v>2686.8740299999999</v>
      </c>
      <c r="P99" s="43">
        <v>6506.6884600000003</v>
      </c>
      <c r="Q99" s="43">
        <v>1288.8381299999999</v>
      </c>
      <c r="R99" s="43"/>
      <c r="S99" s="43">
        <v>4254.1123900000002</v>
      </c>
      <c r="T99" s="44">
        <v>24194.241580000002</v>
      </c>
      <c r="U99" s="55"/>
      <c r="V99" s="43">
        <v>0</v>
      </c>
      <c r="W99" s="61"/>
      <c r="X99" s="44">
        <v>35094.994890000002</v>
      </c>
      <c r="Y99" s="62">
        <v>24194.241580000002</v>
      </c>
      <c r="Z99" s="62">
        <v>10900.75331</v>
      </c>
    </row>
    <row r="100" spans="1:26" ht="12" customHeight="1" x14ac:dyDescent="0.25">
      <c r="A100" s="42">
        <v>2011</v>
      </c>
      <c r="B100" s="42" t="s">
        <v>5</v>
      </c>
      <c r="C100" s="43">
        <v>405.51792999999998</v>
      </c>
      <c r="D100" s="43">
        <v>818.6</v>
      </c>
      <c r="E100" s="43">
        <v>0</v>
      </c>
      <c r="F100" s="43">
        <v>1766.17136</v>
      </c>
      <c r="G100" s="43">
        <v>0</v>
      </c>
      <c r="H100" s="43">
        <v>9168.7824600000004</v>
      </c>
      <c r="I100" s="43">
        <v>0</v>
      </c>
      <c r="J100" s="43">
        <v>0</v>
      </c>
      <c r="K100" s="44">
        <v>12159.071749999999</v>
      </c>
      <c r="L100" s="60"/>
      <c r="M100" s="43">
        <v>5507.7218899999998</v>
      </c>
      <c r="N100" s="43">
        <v>2600.7343400000004</v>
      </c>
      <c r="O100" s="43">
        <v>4246.4040199999999</v>
      </c>
      <c r="P100" s="43">
        <v>6184.4880299999995</v>
      </c>
      <c r="Q100" s="43">
        <v>1723.68956</v>
      </c>
      <c r="R100" s="43"/>
      <c r="S100" s="43">
        <v>4840.8859699999994</v>
      </c>
      <c r="T100" s="44">
        <v>25103.923809999997</v>
      </c>
      <c r="U100" s="55"/>
      <c r="V100" s="43">
        <v>0</v>
      </c>
      <c r="W100" s="61"/>
      <c r="X100" s="44">
        <v>37262.995559999996</v>
      </c>
      <c r="Y100" s="62">
        <v>25103.923809999997</v>
      </c>
      <c r="Z100" s="62">
        <v>12159.071749999999</v>
      </c>
    </row>
    <row r="101" spans="1:26" ht="12" customHeight="1" x14ac:dyDescent="0.25">
      <c r="A101" s="42">
        <v>2011</v>
      </c>
      <c r="B101" s="42" t="s">
        <v>6</v>
      </c>
      <c r="C101" s="43">
        <v>2473.95795</v>
      </c>
      <c r="D101" s="43">
        <v>411.58640000000003</v>
      </c>
      <c r="E101" s="43">
        <v>0</v>
      </c>
      <c r="F101" s="43">
        <v>1137.19615</v>
      </c>
      <c r="G101" s="43">
        <v>0</v>
      </c>
      <c r="H101" s="43">
        <v>4791.4249399999999</v>
      </c>
      <c r="I101" s="43">
        <v>0</v>
      </c>
      <c r="J101" s="43">
        <v>0</v>
      </c>
      <c r="K101" s="44">
        <v>8814.1654400000007</v>
      </c>
      <c r="L101" s="60"/>
      <c r="M101" s="43">
        <v>5970.7386799999995</v>
      </c>
      <c r="N101" s="43">
        <v>4026.9747800000005</v>
      </c>
      <c r="O101" s="43">
        <v>2526.4284600000001</v>
      </c>
      <c r="P101" s="43">
        <v>5254.897899999999</v>
      </c>
      <c r="Q101" s="43">
        <v>1630.38653</v>
      </c>
      <c r="R101" s="43"/>
      <c r="S101" s="43">
        <v>3662.5372299999999</v>
      </c>
      <c r="T101" s="44">
        <v>23071.963579999996</v>
      </c>
      <c r="U101" s="55"/>
      <c r="V101" s="43">
        <v>0</v>
      </c>
      <c r="W101" s="61"/>
      <c r="X101" s="44">
        <v>31886.129019999997</v>
      </c>
      <c r="Y101" s="62">
        <v>23071.963579999996</v>
      </c>
      <c r="Z101" s="62">
        <v>8814.1654400000007</v>
      </c>
    </row>
    <row r="102" spans="1:26" ht="12" customHeight="1" x14ac:dyDescent="0.25">
      <c r="A102" s="42">
        <v>2011</v>
      </c>
      <c r="B102" s="42" t="s">
        <v>7</v>
      </c>
      <c r="C102" s="43">
        <v>2878.0010600000001</v>
      </c>
      <c r="D102" s="43">
        <v>348.7</v>
      </c>
      <c r="E102" s="43">
        <v>0</v>
      </c>
      <c r="F102" s="43">
        <v>1292.70155</v>
      </c>
      <c r="G102" s="43">
        <v>0</v>
      </c>
      <c r="H102" s="43">
        <v>4667.8539800000008</v>
      </c>
      <c r="I102" s="43">
        <v>0</v>
      </c>
      <c r="J102" s="43">
        <v>0</v>
      </c>
      <c r="K102" s="44">
        <v>9187.2565900000009</v>
      </c>
      <c r="L102" s="60"/>
      <c r="M102" s="43">
        <v>4855.1181500000002</v>
      </c>
      <c r="N102" s="43">
        <v>3475.3501000000001</v>
      </c>
      <c r="O102" s="43">
        <v>3005.8989200000001</v>
      </c>
      <c r="P102" s="43">
        <v>4001.0137499999996</v>
      </c>
      <c r="Q102" s="43">
        <v>2070.7050899999999</v>
      </c>
      <c r="R102" s="43"/>
      <c r="S102" s="43">
        <v>4285.9983700000003</v>
      </c>
      <c r="T102" s="44">
        <v>21694.08438</v>
      </c>
      <c r="U102" s="55"/>
      <c r="V102" s="43">
        <v>1.835</v>
      </c>
      <c r="W102" s="61"/>
      <c r="X102" s="44">
        <v>30883.17597</v>
      </c>
      <c r="Y102" s="62">
        <v>21695.919379999999</v>
      </c>
      <c r="Z102" s="62">
        <v>9187.2565900000009</v>
      </c>
    </row>
    <row r="103" spans="1:26" ht="12" customHeight="1" x14ac:dyDescent="0.25">
      <c r="A103" s="42">
        <v>2011</v>
      </c>
      <c r="B103" s="42" t="s">
        <v>8</v>
      </c>
      <c r="C103" s="43">
        <v>3168.2275099999997</v>
      </c>
      <c r="D103" s="43">
        <v>656.9</v>
      </c>
      <c r="E103" s="43">
        <v>0</v>
      </c>
      <c r="F103" s="43">
        <v>1124.2217900000001</v>
      </c>
      <c r="G103" s="43">
        <v>0</v>
      </c>
      <c r="H103" s="43">
        <v>8314.2982300000003</v>
      </c>
      <c r="I103" s="43">
        <v>0</v>
      </c>
      <c r="J103" s="43">
        <v>0</v>
      </c>
      <c r="K103" s="44">
        <v>13263.64753</v>
      </c>
      <c r="L103" s="60"/>
      <c r="M103" s="43">
        <v>3461.6853499999997</v>
      </c>
      <c r="N103" s="43">
        <v>4528.7484800000002</v>
      </c>
      <c r="O103" s="43">
        <v>2838.64725</v>
      </c>
      <c r="P103" s="43">
        <v>5024.6821799999998</v>
      </c>
      <c r="Q103" s="43">
        <v>873.95258999999999</v>
      </c>
      <c r="R103" s="43"/>
      <c r="S103" s="43">
        <v>3244.0870499999996</v>
      </c>
      <c r="T103" s="44">
        <v>19971.802899999999</v>
      </c>
      <c r="U103" s="55"/>
      <c r="V103" s="43">
        <v>3.7109999999999999</v>
      </c>
      <c r="W103" s="61"/>
      <c r="X103" s="44">
        <v>33239.16143</v>
      </c>
      <c r="Y103" s="62">
        <v>19975.513899999998</v>
      </c>
      <c r="Z103" s="62">
        <v>13263.64753</v>
      </c>
    </row>
    <row r="104" spans="1:26" ht="12" customHeight="1" x14ac:dyDescent="0.25">
      <c r="A104" s="42">
        <v>2011</v>
      </c>
      <c r="B104" s="42" t="s">
        <v>9</v>
      </c>
      <c r="C104" s="43">
        <v>2362.5889400000001</v>
      </c>
      <c r="D104" s="43">
        <v>0</v>
      </c>
      <c r="E104" s="43">
        <v>299.28020000000004</v>
      </c>
      <c r="F104" s="43">
        <v>1915.6116100000002</v>
      </c>
      <c r="G104" s="43">
        <v>0</v>
      </c>
      <c r="H104" s="43">
        <v>6402.1754199999996</v>
      </c>
      <c r="I104" s="43">
        <v>0</v>
      </c>
      <c r="J104" s="43">
        <v>0</v>
      </c>
      <c r="K104" s="44">
        <v>10979.65617</v>
      </c>
      <c r="L104" s="60"/>
      <c r="M104" s="43">
        <v>7019.95453</v>
      </c>
      <c r="N104" s="43">
        <v>2023.51872</v>
      </c>
      <c r="O104" s="43">
        <v>2230.4444800000001</v>
      </c>
      <c r="P104" s="43">
        <v>3183.0685899999999</v>
      </c>
      <c r="Q104" s="43">
        <v>1276.9522199999999</v>
      </c>
      <c r="R104" s="43"/>
      <c r="S104" s="43">
        <v>3626.1275799999999</v>
      </c>
      <c r="T104" s="44">
        <v>19360.06612</v>
      </c>
      <c r="U104" s="55"/>
      <c r="V104" s="43">
        <v>7.0330000000000004</v>
      </c>
      <c r="W104" s="61"/>
      <c r="X104" s="44">
        <v>30346.755290000001</v>
      </c>
      <c r="Y104" s="62">
        <v>19367.099119999999</v>
      </c>
      <c r="Z104" s="62">
        <v>10979.65617</v>
      </c>
    </row>
    <row r="105" spans="1:26" ht="12" customHeight="1" x14ac:dyDescent="0.25">
      <c r="A105" s="42">
        <v>2011</v>
      </c>
      <c r="B105" s="42" t="s">
        <v>10</v>
      </c>
      <c r="C105" s="43">
        <v>1611.67758</v>
      </c>
      <c r="D105" s="43">
        <v>0</v>
      </c>
      <c r="E105" s="43">
        <v>306.78537</v>
      </c>
      <c r="F105" s="43">
        <v>2349.5146800000002</v>
      </c>
      <c r="G105" s="43">
        <v>0</v>
      </c>
      <c r="H105" s="43">
        <v>3668.1049700000003</v>
      </c>
      <c r="I105" s="43">
        <v>0</v>
      </c>
      <c r="J105" s="43">
        <v>0</v>
      </c>
      <c r="K105" s="44">
        <v>7936.0826000000006</v>
      </c>
      <c r="L105" s="60"/>
      <c r="M105" s="43">
        <v>3519.8914799999998</v>
      </c>
      <c r="N105" s="43">
        <v>4148.9974099999999</v>
      </c>
      <c r="O105" s="43">
        <v>3879.1399100000003</v>
      </c>
      <c r="P105" s="43">
        <v>6099.2620600000009</v>
      </c>
      <c r="Q105" s="43">
        <v>1750.7414699999999</v>
      </c>
      <c r="R105" s="43"/>
      <c r="S105" s="43">
        <v>3207.2433700000001</v>
      </c>
      <c r="T105" s="44">
        <v>22605.275700000002</v>
      </c>
      <c r="U105" s="55"/>
      <c r="V105" s="43">
        <v>30.291</v>
      </c>
      <c r="W105" s="61"/>
      <c r="X105" s="44">
        <v>30571.649300000005</v>
      </c>
      <c r="Y105" s="62">
        <v>22635.566700000003</v>
      </c>
      <c r="Z105" s="62">
        <v>7936.0826000000006</v>
      </c>
    </row>
    <row r="106" spans="1:26" ht="12" customHeight="1" x14ac:dyDescent="0.25">
      <c r="A106" s="42">
        <v>2011</v>
      </c>
      <c r="B106" s="42" t="s">
        <v>11</v>
      </c>
      <c r="C106" s="43">
        <v>2257.4849599999998</v>
      </c>
      <c r="D106" s="43">
        <v>129</v>
      </c>
      <c r="E106" s="43">
        <v>257.76261</v>
      </c>
      <c r="F106" s="43">
        <v>1898.19865</v>
      </c>
      <c r="G106" s="43">
        <v>0</v>
      </c>
      <c r="H106" s="43">
        <v>5820.7671399999999</v>
      </c>
      <c r="I106" s="43">
        <v>0</v>
      </c>
      <c r="J106" s="43">
        <v>0</v>
      </c>
      <c r="K106" s="44">
        <v>10363.21336</v>
      </c>
      <c r="L106" s="60"/>
      <c r="M106" s="43">
        <v>4144.9437799999996</v>
      </c>
      <c r="N106" s="43">
        <v>2730.9541899999999</v>
      </c>
      <c r="O106" s="43">
        <v>2962.9080800000002</v>
      </c>
      <c r="P106" s="43">
        <v>3486.3930800000003</v>
      </c>
      <c r="Q106" s="43">
        <v>2853.59204</v>
      </c>
      <c r="R106" s="43"/>
      <c r="S106" s="43">
        <v>3294.9675700000003</v>
      </c>
      <c r="T106" s="44">
        <v>19473.758739999997</v>
      </c>
      <c r="U106" s="55"/>
      <c r="V106" s="43">
        <v>22.169</v>
      </c>
      <c r="W106" s="61"/>
      <c r="X106" s="44">
        <v>29859.141100000001</v>
      </c>
      <c r="Y106" s="62">
        <v>19495.927739999999</v>
      </c>
      <c r="Z106" s="62">
        <v>10363.21336</v>
      </c>
    </row>
    <row r="107" spans="1:26" ht="12" customHeight="1" x14ac:dyDescent="0.25">
      <c r="A107" s="42">
        <v>2011</v>
      </c>
      <c r="B107" s="42" t="s">
        <v>12</v>
      </c>
      <c r="C107" s="43">
        <v>3040.0745899999997</v>
      </c>
      <c r="D107" s="43">
        <v>244.85883000000001</v>
      </c>
      <c r="E107" s="43">
        <v>299.57747999999998</v>
      </c>
      <c r="F107" s="43">
        <v>2773.9441100000004</v>
      </c>
      <c r="G107" s="43">
        <v>0</v>
      </c>
      <c r="H107" s="43">
        <v>6362.9151300000003</v>
      </c>
      <c r="I107" s="43">
        <v>0</v>
      </c>
      <c r="J107" s="43">
        <v>0</v>
      </c>
      <c r="K107" s="44">
        <v>12721.370139999999</v>
      </c>
      <c r="L107" s="60"/>
      <c r="M107" s="43">
        <v>2375.2358399999998</v>
      </c>
      <c r="N107" s="43">
        <v>3903.9907299999995</v>
      </c>
      <c r="O107" s="43">
        <v>2588.8298600000003</v>
      </c>
      <c r="P107" s="43">
        <v>6695.6948100000009</v>
      </c>
      <c r="Q107" s="43">
        <v>1639.6066800000001</v>
      </c>
      <c r="R107" s="43"/>
      <c r="S107" s="43">
        <v>3177.25441</v>
      </c>
      <c r="T107" s="44">
        <v>20380.61233</v>
      </c>
      <c r="U107" s="55"/>
      <c r="V107" s="43">
        <v>7.5220000000000002</v>
      </c>
      <c r="W107" s="61"/>
      <c r="X107" s="44">
        <v>33109.50447</v>
      </c>
      <c r="Y107" s="62">
        <v>20388.134330000001</v>
      </c>
      <c r="Z107" s="62">
        <v>12721.370139999999</v>
      </c>
    </row>
    <row r="108" spans="1:26" ht="12" customHeight="1" x14ac:dyDescent="0.25">
      <c r="A108" s="42">
        <v>2011</v>
      </c>
      <c r="B108" s="42" t="s">
        <v>13</v>
      </c>
      <c r="C108" s="43">
        <v>2880.0604500000004</v>
      </c>
      <c r="D108" s="43">
        <v>446.5</v>
      </c>
      <c r="E108" s="43">
        <v>0</v>
      </c>
      <c r="F108" s="43">
        <v>2984.7393000000002</v>
      </c>
      <c r="G108" s="43">
        <v>0</v>
      </c>
      <c r="H108" s="43">
        <v>6372.1641999999993</v>
      </c>
      <c r="I108" s="43">
        <v>0</v>
      </c>
      <c r="J108" s="43">
        <v>0</v>
      </c>
      <c r="K108" s="44">
        <v>12683.463949999999</v>
      </c>
      <c r="L108" s="60"/>
      <c r="M108" s="43">
        <v>5640.4400500000002</v>
      </c>
      <c r="N108" s="43">
        <v>2622.6789199999998</v>
      </c>
      <c r="O108" s="43">
        <v>4813.664670000001</v>
      </c>
      <c r="P108" s="43">
        <v>3501.6053899999997</v>
      </c>
      <c r="Q108" s="43">
        <v>2020.14858</v>
      </c>
      <c r="R108" s="43"/>
      <c r="S108" s="43">
        <v>3369.5931999999998</v>
      </c>
      <c r="T108" s="44">
        <v>21968.130810000002</v>
      </c>
      <c r="U108" s="55"/>
      <c r="V108" s="43">
        <v>2.9060000000000001</v>
      </c>
      <c r="W108" s="61"/>
      <c r="X108" s="44">
        <v>34654.500760000003</v>
      </c>
      <c r="Y108" s="62">
        <v>21971.036810000001</v>
      </c>
      <c r="Z108" s="62">
        <v>12683.463949999999</v>
      </c>
    </row>
    <row r="109" spans="1:26" ht="12" customHeight="1" x14ac:dyDescent="0.25">
      <c r="A109" s="42">
        <v>2011</v>
      </c>
      <c r="B109" s="42" t="s">
        <v>14</v>
      </c>
      <c r="C109" s="43">
        <v>2496.9171799999999</v>
      </c>
      <c r="D109" s="43">
        <v>458.8</v>
      </c>
      <c r="E109" s="43">
        <v>0</v>
      </c>
      <c r="F109" s="43">
        <v>2880.3650400000001</v>
      </c>
      <c r="G109" s="43">
        <v>0</v>
      </c>
      <c r="H109" s="43">
        <v>7486.7044399999995</v>
      </c>
      <c r="I109" s="43">
        <v>0</v>
      </c>
      <c r="J109" s="43">
        <v>0</v>
      </c>
      <c r="K109" s="44">
        <v>13322.78666</v>
      </c>
      <c r="L109" s="60"/>
      <c r="M109" s="43">
        <v>4201.1178099999997</v>
      </c>
      <c r="N109" s="43">
        <v>2631.1735900000003</v>
      </c>
      <c r="O109" s="43">
        <v>2854.6729799999998</v>
      </c>
      <c r="P109" s="43">
        <v>5219.2203200000004</v>
      </c>
      <c r="Q109" s="43">
        <v>2706.1234000000004</v>
      </c>
      <c r="R109" s="43"/>
      <c r="S109" s="43">
        <v>3661.68813</v>
      </c>
      <c r="T109" s="44">
        <v>21273.996230000001</v>
      </c>
      <c r="U109" s="55"/>
      <c r="V109" s="43">
        <v>0.625</v>
      </c>
      <c r="W109" s="61"/>
      <c r="X109" s="44">
        <v>34597.407890000002</v>
      </c>
      <c r="Y109" s="62">
        <v>21274.621230000001</v>
      </c>
      <c r="Z109" s="62">
        <v>13322.78666</v>
      </c>
    </row>
    <row r="110" spans="1:26" ht="12" customHeight="1" x14ac:dyDescent="0.25">
      <c r="A110" s="42">
        <v>2011</v>
      </c>
      <c r="B110" s="42" t="s">
        <v>15</v>
      </c>
      <c r="C110" s="43">
        <v>23574.508150000001</v>
      </c>
      <c r="D110" s="43">
        <v>4484.8452299999999</v>
      </c>
      <c r="E110" s="43">
        <v>1163.4056599999999</v>
      </c>
      <c r="F110" s="43">
        <v>24067.8734</v>
      </c>
      <c r="G110" s="43">
        <v>0</v>
      </c>
      <c r="H110" s="43">
        <v>80379.135750000001</v>
      </c>
      <c r="I110" s="43">
        <v>0</v>
      </c>
      <c r="J110" s="43">
        <v>0</v>
      </c>
      <c r="K110" s="44">
        <v>133669.76819</v>
      </c>
      <c r="L110" s="60"/>
      <c r="M110" s="43">
        <v>60582.234419999993</v>
      </c>
      <c r="N110" s="43">
        <v>37999.122939999994</v>
      </c>
      <c r="O110" s="43">
        <v>38304.363410000005</v>
      </c>
      <c r="P110" s="43">
        <v>63026.472500000003</v>
      </c>
      <c r="Q110" s="43">
        <v>21476.822550000001</v>
      </c>
      <c r="R110" s="43"/>
      <c r="S110" s="43">
        <v>43965.386210000004</v>
      </c>
      <c r="T110" s="44">
        <v>265354.40203000006</v>
      </c>
      <c r="U110" s="55"/>
      <c r="V110" s="43">
        <v>76.092000000000013</v>
      </c>
      <c r="W110" s="61"/>
      <c r="X110" s="44">
        <v>399100.26222000003</v>
      </c>
      <c r="Y110" s="62">
        <v>265430.49403000006</v>
      </c>
      <c r="Z110" s="62">
        <v>133669.76819</v>
      </c>
    </row>
    <row r="111" spans="1:26" ht="12" customHeight="1" x14ac:dyDescent="0.25">
      <c r="A111" s="42">
        <v>2012</v>
      </c>
      <c r="B111" s="42" t="s">
        <v>3</v>
      </c>
      <c r="C111" s="43">
        <v>3339.1929100000002</v>
      </c>
      <c r="D111" s="43">
        <v>493.2</v>
      </c>
      <c r="E111" s="43">
        <v>0</v>
      </c>
      <c r="F111" s="43">
        <v>2914.1392300000002</v>
      </c>
      <c r="G111" s="43">
        <v>0</v>
      </c>
      <c r="H111" s="43">
        <v>8267.9588899999999</v>
      </c>
      <c r="I111" s="43">
        <v>0</v>
      </c>
      <c r="J111" s="43">
        <v>0</v>
      </c>
      <c r="K111" s="44">
        <v>15014.491030000001</v>
      </c>
      <c r="L111" s="60"/>
      <c r="M111" s="43">
        <v>4995.1246800000008</v>
      </c>
      <c r="N111" s="43">
        <v>3824.6898700000002</v>
      </c>
      <c r="O111" s="43">
        <v>3284.7352100000003</v>
      </c>
      <c r="P111" s="43">
        <v>5591.1125200000015</v>
      </c>
      <c r="Q111" s="43">
        <v>777.31393999999989</v>
      </c>
      <c r="R111" s="43"/>
      <c r="S111" s="43">
        <v>2907.8721499999997</v>
      </c>
      <c r="T111" s="44">
        <v>21380.848370000003</v>
      </c>
      <c r="U111" s="55"/>
      <c r="V111" s="43">
        <v>0</v>
      </c>
      <c r="W111" s="61"/>
      <c r="X111" s="44">
        <v>36395.339400000004</v>
      </c>
      <c r="Y111" s="62">
        <v>21380.848370000003</v>
      </c>
      <c r="Z111" s="62">
        <v>15014.491030000001</v>
      </c>
    </row>
    <row r="112" spans="1:26" ht="12" customHeight="1" x14ac:dyDescent="0.25">
      <c r="A112" s="42">
        <v>2012</v>
      </c>
      <c r="B112" s="42" t="s">
        <v>4</v>
      </c>
      <c r="C112" s="43">
        <v>3776.3131800000001</v>
      </c>
      <c r="D112" s="43">
        <v>507</v>
      </c>
      <c r="E112" s="43">
        <v>0</v>
      </c>
      <c r="F112" s="43">
        <v>2868.8505200000004</v>
      </c>
      <c r="G112" s="43">
        <v>0</v>
      </c>
      <c r="H112" s="43">
        <v>8231.80213</v>
      </c>
      <c r="I112" s="43">
        <v>0</v>
      </c>
      <c r="J112" s="43">
        <v>0</v>
      </c>
      <c r="K112" s="44">
        <v>15383.965830000001</v>
      </c>
      <c r="L112" s="60"/>
      <c r="M112" s="43">
        <v>6371.9940200000001</v>
      </c>
      <c r="N112" s="43">
        <v>2871.37012</v>
      </c>
      <c r="O112" s="43">
        <v>2451.2644799999994</v>
      </c>
      <c r="P112" s="43">
        <v>4808.9367899999997</v>
      </c>
      <c r="Q112" s="43">
        <v>1845.3665800000001</v>
      </c>
      <c r="R112" s="43"/>
      <c r="S112" s="43">
        <v>3752.4722800000004</v>
      </c>
      <c r="T112" s="44">
        <v>22101.404270000003</v>
      </c>
      <c r="U112" s="55"/>
      <c r="V112" s="43">
        <v>0</v>
      </c>
      <c r="W112" s="61"/>
      <c r="X112" s="44">
        <v>37485.3701</v>
      </c>
      <c r="Y112" s="62">
        <v>22101.404270000003</v>
      </c>
      <c r="Z112" s="62">
        <v>15383.965830000001</v>
      </c>
    </row>
    <row r="113" spans="1:26" ht="12" customHeight="1" x14ac:dyDescent="0.25">
      <c r="A113" s="42">
        <v>2012</v>
      </c>
      <c r="B113" s="42" t="s">
        <v>5</v>
      </c>
      <c r="C113" s="43">
        <v>3896.8441000000003</v>
      </c>
      <c r="D113" s="43">
        <v>393.2</v>
      </c>
      <c r="E113" s="43">
        <v>0</v>
      </c>
      <c r="F113" s="43">
        <v>3066.6679399999998</v>
      </c>
      <c r="G113" s="43">
        <v>0</v>
      </c>
      <c r="H113" s="43">
        <v>8004.0302700000002</v>
      </c>
      <c r="I113" s="43">
        <v>0</v>
      </c>
      <c r="J113" s="43">
        <v>0</v>
      </c>
      <c r="K113" s="44">
        <v>15360.742310000001</v>
      </c>
      <c r="L113" s="60"/>
      <c r="M113" s="43">
        <v>4483.6049199999998</v>
      </c>
      <c r="N113" s="43">
        <v>3849.2690900000002</v>
      </c>
      <c r="O113" s="43">
        <v>4474.5300199999992</v>
      </c>
      <c r="P113" s="43">
        <v>3780.5591300000001</v>
      </c>
      <c r="Q113" s="43">
        <v>1611.8226400000001</v>
      </c>
      <c r="R113" s="43"/>
      <c r="S113" s="43">
        <v>935.86827000000005</v>
      </c>
      <c r="T113" s="44">
        <v>19135.654069999997</v>
      </c>
      <c r="U113" s="55"/>
      <c r="V113" s="43">
        <v>0</v>
      </c>
      <c r="W113" s="61"/>
      <c r="X113" s="44">
        <v>34496.396379999998</v>
      </c>
      <c r="Y113" s="62">
        <v>19135.654069999997</v>
      </c>
      <c r="Z113" s="62">
        <v>15360.742310000001</v>
      </c>
    </row>
    <row r="114" spans="1:26" ht="12" customHeight="1" x14ac:dyDescent="0.25">
      <c r="A114" s="42">
        <v>2012</v>
      </c>
      <c r="B114" s="42" t="s">
        <v>6</v>
      </c>
      <c r="C114" s="43">
        <v>2668.5648600000004</v>
      </c>
      <c r="D114" s="43">
        <v>266.10000000000002</v>
      </c>
      <c r="E114" s="43">
        <v>293.60000000000002</v>
      </c>
      <c r="F114" s="43">
        <v>2800.8203199999998</v>
      </c>
      <c r="G114" s="43">
        <v>0</v>
      </c>
      <c r="H114" s="43">
        <v>5152.8128299999998</v>
      </c>
      <c r="I114" s="43">
        <v>0</v>
      </c>
      <c r="J114" s="43">
        <v>0</v>
      </c>
      <c r="K114" s="44">
        <v>11181.898010000001</v>
      </c>
      <c r="L114" s="60"/>
      <c r="M114" s="43">
        <v>6656.9780100000007</v>
      </c>
      <c r="N114" s="43">
        <v>2873.16966</v>
      </c>
      <c r="O114" s="43">
        <v>2603.7315400000002</v>
      </c>
      <c r="P114" s="43">
        <v>3459.3078400000004</v>
      </c>
      <c r="Q114" s="43">
        <v>2757.5142600000004</v>
      </c>
      <c r="R114" s="43"/>
      <c r="S114" s="43">
        <v>3193.0106499999997</v>
      </c>
      <c r="T114" s="44">
        <v>21543.711960000001</v>
      </c>
      <c r="U114" s="55"/>
      <c r="V114" s="43">
        <v>0</v>
      </c>
      <c r="W114" s="61"/>
      <c r="X114" s="44">
        <v>32725.609970000001</v>
      </c>
      <c r="Y114" s="62">
        <v>21543.711960000001</v>
      </c>
      <c r="Z114" s="62">
        <v>11181.898010000001</v>
      </c>
    </row>
    <row r="115" spans="1:26" ht="12" customHeight="1" x14ac:dyDescent="0.25">
      <c r="A115" s="42">
        <v>2012</v>
      </c>
      <c r="B115" s="42" t="s">
        <v>7</v>
      </c>
      <c r="C115" s="43">
        <v>3240.3434200000006</v>
      </c>
      <c r="D115" s="43">
        <v>164.2</v>
      </c>
      <c r="E115" s="43">
        <v>310</v>
      </c>
      <c r="F115" s="43">
        <v>2972.4806799999997</v>
      </c>
      <c r="G115" s="43">
        <v>0</v>
      </c>
      <c r="H115" s="43">
        <v>7653.6574500000006</v>
      </c>
      <c r="I115" s="43">
        <v>0</v>
      </c>
      <c r="J115" s="43">
        <v>0</v>
      </c>
      <c r="K115" s="44">
        <v>14340.681550000001</v>
      </c>
      <c r="L115" s="60"/>
      <c r="M115" s="43">
        <v>4247.2801099999997</v>
      </c>
      <c r="N115" s="43">
        <v>3318.67317</v>
      </c>
      <c r="O115" s="43">
        <v>3862.1385499999997</v>
      </c>
      <c r="P115" s="43">
        <v>4312.2425700000003</v>
      </c>
      <c r="Q115" s="43">
        <v>1645.1714099999999</v>
      </c>
      <c r="R115" s="43"/>
      <c r="S115" s="43">
        <v>1836.4950800000001</v>
      </c>
      <c r="T115" s="44">
        <v>19222.000889999999</v>
      </c>
      <c r="U115" s="55"/>
      <c r="V115" s="43">
        <v>0</v>
      </c>
      <c r="W115" s="61"/>
      <c r="X115" s="44">
        <v>33562.682440000004</v>
      </c>
      <c r="Y115" s="62">
        <v>19222.000889999999</v>
      </c>
      <c r="Z115" s="62">
        <v>14340.681550000001</v>
      </c>
    </row>
    <row r="116" spans="1:26" ht="12" customHeight="1" x14ac:dyDescent="0.25">
      <c r="A116" s="42">
        <v>2012</v>
      </c>
      <c r="B116" s="42" t="s">
        <v>8</v>
      </c>
      <c r="C116" s="43">
        <v>2851.93336</v>
      </c>
      <c r="D116" s="43">
        <v>126</v>
      </c>
      <c r="E116" s="43">
        <v>284.81397999999996</v>
      </c>
      <c r="F116" s="43">
        <v>2888.7821300000001</v>
      </c>
      <c r="G116" s="43">
        <v>0</v>
      </c>
      <c r="H116" s="43">
        <v>8001.0871099999995</v>
      </c>
      <c r="I116" s="43">
        <v>0</v>
      </c>
      <c r="J116" s="43">
        <v>0</v>
      </c>
      <c r="K116" s="44">
        <v>14152.616579999998</v>
      </c>
      <c r="L116" s="60"/>
      <c r="M116" s="43">
        <v>3896.04891</v>
      </c>
      <c r="N116" s="43">
        <v>2639.9464600000001</v>
      </c>
      <c r="O116" s="43">
        <v>1767.0582399999998</v>
      </c>
      <c r="P116" s="43">
        <v>3668.7957099999999</v>
      </c>
      <c r="Q116" s="43">
        <v>2048.1775100000004</v>
      </c>
      <c r="R116" s="43"/>
      <c r="S116" s="43">
        <v>1938.88923</v>
      </c>
      <c r="T116" s="44">
        <v>15958.916060000003</v>
      </c>
      <c r="U116" s="55"/>
      <c r="V116" s="43">
        <v>0</v>
      </c>
      <c r="W116" s="61"/>
      <c r="X116" s="44">
        <v>30111.532640000001</v>
      </c>
      <c r="Y116" s="62">
        <v>15958.916060000003</v>
      </c>
      <c r="Z116" s="62">
        <v>14152.616579999998</v>
      </c>
    </row>
    <row r="117" spans="1:26" ht="12" customHeight="1" x14ac:dyDescent="0.25">
      <c r="A117" s="42">
        <v>2012</v>
      </c>
      <c r="B117" s="42" t="s">
        <v>9</v>
      </c>
      <c r="C117" s="43">
        <v>2184.0027</v>
      </c>
      <c r="D117" s="43">
        <v>92.8</v>
      </c>
      <c r="E117" s="43">
        <v>269.13484999999997</v>
      </c>
      <c r="F117" s="43">
        <v>2888.5092499999996</v>
      </c>
      <c r="G117" s="43">
        <v>0</v>
      </c>
      <c r="H117" s="43">
        <v>4610.1824900000001</v>
      </c>
      <c r="I117" s="43">
        <v>0</v>
      </c>
      <c r="J117" s="43">
        <v>0</v>
      </c>
      <c r="K117" s="44">
        <v>10044.629290000001</v>
      </c>
      <c r="L117" s="60"/>
      <c r="M117" s="43">
        <v>4108.4217699999999</v>
      </c>
      <c r="N117" s="43">
        <v>3728.5779700000003</v>
      </c>
      <c r="O117" s="43">
        <v>4047.0869099999995</v>
      </c>
      <c r="P117" s="43">
        <v>3968.4750400000003</v>
      </c>
      <c r="Q117" s="43">
        <v>979.89031999999997</v>
      </c>
      <c r="R117" s="43"/>
      <c r="S117" s="43">
        <v>2420.8820099999998</v>
      </c>
      <c r="T117" s="44">
        <v>19253.334019999998</v>
      </c>
      <c r="U117" s="55"/>
      <c r="V117" s="43">
        <v>0</v>
      </c>
      <c r="W117" s="61"/>
      <c r="X117" s="44">
        <v>29297.963309999999</v>
      </c>
      <c r="Y117" s="62">
        <v>19253.334019999998</v>
      </c>
      <c r="Z117" s="62">
        <v>10044.629290000001</v>
      </c>
    </row>
    <row r="118" spans="1:26" ht="12" customHeight="1" x14ac:dyDescent="0.25">
      <c r="A118" s="42">
        <v>2012</v>
      </c>
      <c r="B118" s="42" t="s">
        <v>10</v>
      </c>
      <c r="C118" s="43">
        <v>1932.2737099999999</v>
      </c>
      <c r="D118" s="43">
        <v>84</v>
      </c>
      <c r="E118" s="43">
        <v>162.33000000000001</v>
      </c>
      <c r="F118" s="43">
        <v>2399.8950800000002</v>
      </c>
      <c r="G118" s="43">
        <v>0</v>
      </c>
      <c r="H118" s="43">
        <v>3328.5471600000001</v>
      </c>
      <c r="I118" s="43">
        <v>0</v>
      </c>
      <c r="J118" s="43">
        <v>0</v>
      </c>
      <c r="K118" s="44">
        <v>7907.0459499999997</v>
      </c>
      <c r="L118" s="60"/>
      <c r="M118" s="43">
        <v>6146.1406099999995</v>
      </c>
      <c r="N118" s="43">
        <v>4632.8186100000003</v>
      </c>
      <c r="O118" s="43">
        <v>2920.1639100000002</v>
      </c>
      <c r="P118" s="43">
        <v>3625.3247500000002</v>
      </c>
      <c r="Q118" s="43">
        <v>2660.9378900000002</v>
      </c>
      <c r="R118" s="43"/>
      <c r="S118" s="43">
        <v>3228.1201900000001</v>
      </c>
      <c r="T118" s="44">
        <v>23213.505960000002</v>
      </c>
      <c r="U118" s="55"/>
      <c r="V118" s="43">
        <v>0</v>
      </c>
      <c r="W118" s="61"/>
      <c r="X118" s="44">
        <v>31120.551910000002</v>
      </c>
      <c r="Y118" s="62">
        <v>23213.505960000002</v>
      </c>
      <c r="Z118" s="62">
        <v>7907.0459499999997</v>
      </c>
    </row>
    <row r="119" spans="1:26" ht="12" customHeight="1" x14ac:dyDescent="0.25">
      <c r="A119" s="42">
        <v>2012</v>
      </c>
      <c r="B119" s="42" t="s">
        <v>11</v>
      </c>
      <c r="C119" s="43">
        <v>2500.0540799999999</v>
      </c>
      <c r="D119" s="43">
        <v>73.5</v>
      </c>
      <c r="E119" s="43">
        <v>131.26021000000003</v>
      </c>
      <c r="F119" s="43">
        <v>2647.69499</v>
      </c>
      <c r="G119" s="43">
        <v>0</v>
      </c>
      <c r="H119" s="43">
        <v>3500.81817</v>
      </c>
      <c r="I119" s="43">
        <v>0</v>
      </c>
      <c r="J119" s="43">
        <v>0</v>
      </c>
      <c r="K119" s="44">
        <v>8853.3274500000007</v>
      </c>
      <c r="L119" s="60"/>
      <c r="M119" s="43">
        <v>5145.5370500000008</v>
      </c>
      <c r="N119" s="43">
        <v>3718.1675700000005</v>
      </c>
      <c r="O119" s="43">
        <v>3098.7027200000002</v>
      </c>
      <c r="P119" s="43">
        <v>5273.195819999999</v>
      </c>
      <c r="Q119" s="43">
        <v>866.82851000000005</v>
      </c>
      <c r="R119" s="43"/>
      <c r="S119" s="43">
        <v>1310.7717</v>
      </c>
      <c r="T119" s="44">
        <v>19413.203369999999</v>
      </c>
      <c r="U119" s="55"/>
      <c r="V119" s="43">
        <v>0</v>
      </c>
      <c r="W119" s="61"/>
      <c r="X119" s="44">
        <v>28266.53082</v>
      </c>
      <c r="Y119" s="62">
        <v>19413.203369999999</v>
      </c>
      <c r="Z119" s="62">
        <v>8853.3274500000007</v>
      </c>
    </row>
    <row r="120" spans="1:26" ht="12" customHeight="1" x14ac:dyDescent="0.25">
      <c r="A120" s="42">
        <v>2012</v>
      </c>
      <c r="B120" s="42" t="s">
        <v>12</v>
      </c>
      <c r="C120" s="43">
        <v>3917.23045</v>
      </c>
      <c r="D120" s="43">
        <v>190.5</v>
      </c>
      <c r="E120" s="43">
        <v>81.099999999999994</v>
      </c>
      <c r="F120" s="43">
        <v>2598.2113799999997</v>
      </c>
      <c r="G120" s="43">
        <v>0</v>
      </c>
      <c r="H120" s="43">
        <v>7688.9249300000001</v>
      </c>
      <c r="I120" s="43">
        <v>0</v>
      </c>
      <c r="J120" s="43">
        <v>0</v>
      </c>
      <c r="K120" s="44">
        <v>14475.966759999999</v>
      </c>
      <c r="L120" s="60"/>
      <c r="M120" s="43">
        <v>4217.5585999999994</v>
      </c>
      <c r="N120" s="43">
        <v>1722.22927</v>
      </c>
      <c r="O120" s="43">
        <v>3712.98135</v>
      </c>
      <c r="P120" s="43">
        <v>3055.3895000000002</v>
      </c>
      <c r="Q120" s="43">
        <v>2396.3999199999998</v>
      </c>
      <c r="R120" s="43"/>
      <c r="S120" s="43">
        <v>3682.9119500000002</v>
      </c>
      <c r="T120" s="44">
        <v>18787.470590000001</v>
      </c>
      <c r="U120" s="55"/>
      <c r="V120" s="43">
        <v>0</v>
      </c>
      <c r="W120" s="61"/>
      <c r="X120" s="44">
        <v>33263.43735</v>
      </c>
      <c r="Y120" s="62">
        <v>18787.470590000001</v>
      </c>
      <c r="Z120" s="62">
        <v>14475.966759999999</v>
      </c>
    </row>
    <row r="121" spans="1:26" ht="12" customHeight="1" x14ac:dyDescent="0.25">
      <c r="A121" s="42">
        <v>2012</v>
      </c>
      <c r="B121" s="42" t="s">
        <v>13</v>
      </c>
      <c r="C121" s="43">
        <v>4067.4404599999998</v>
      </c>
      <c r="D121" s="43">
        <v>387</v>
      </c>
      <c r="E121" s="43">
        <v>0</v>
      </c>
      <c r="F121" s="43">
        <v>2649.0661299999997</v>
      </c>
      <c r="G121" s="43">
        <v>0</v>
      </c>
      <c r="H121" s="43">
        <v>7176.7791099999995</v>
      </c>
      <c r="I121" s="43">
        <v>0</v>
      </c>
      <c r="J121" s="43">
        <v>0</v>
      </c>
      <c r="K121" s="44">
        <v>14280.285699999999</v>
      </c>
      <c r="L121" s="60"/>
      <c r="M121" s="43">
        <v>4035.6546400000002</v>
      </c>
      <c r="N121" s="43">
        <v>4039.2579400000004</v>
      </c>
      <c r="O121" s="43">
        <v>2257.7311500000001</v>
      </c>
      <c r="P121" s="43">
        <v>2624.7846800000002</v>
      </c>
      <c r="Q121" s="43">
        <v>2023.80133</v>
      </c>
      <c r="R121" s="43"/>
      <c r="S121" s="43">
        <v>2555.7316000000001</v>
      </c>
      <c r="T121" s="44">
        <v>17536.961340000002</v>
      </c>
      <c r="U121" s="55"/>
      <c r="V121" s="43">
        <v>0</v>
      </c>
      <c r="W121" s="61"/>
      <c r="X121" s="44">
        <v>31817.247040000002</v>
      </c>
      <c r="Y121" s="62">
        <v>17536.961340000002</v>
      </c>
      <c r="Z121" s="62">
        <v>14280.285699999999</v>
      </c>
    </row>
    <row r="122" spans="1:26" ht="12" customHeight="1" x14ac:dyDescent="0.25">
      <c r="A122" s="42">
        <v>2012</v>
      </c>
      <c r="B122" s="42" t="s">
        <v>14</v>
      </c>
      <c r="C122" s="43">
        <v>4429.7041799999997</v>
      </c>
      <c r="D122" s="43">
        <v>442.7</v>
      </c>
      <c r="E122" s="43">
        <v>0</v>
      </c>
      <c r="F122" s="43">
        <v>3050.3380999999995</v>
      </c>
      <c r="G122" s="43">
        <v>0</v>
      </c>
      <c r="H122" s="43">
        <v>8147.7872900000002</v>
      </c>
      <c r="I122" s="43">
        <v>0</v>
      </c>
      <c r="J122" s="43">
        <v>0</v>
      </c>
      <c r="K122" s="44">
        <v>16070.529569999999</v>
      </c>
      <c r="L122" s="60"/>
      <c r="M122" s="43">
        <v>6437.9361400000007</v>
      </c>
      <c r="N122" s="43">
        <v>2874.0560100000002</v>
      </c>
      <c r="O122" s="43">
        <v>3238.5058100000001</v>
      </c>
      <c r="P122" s="43">
        <v>4050.1670099999997</v>
      </c>
      <c r="Q122" s="43">
        <v>873.80118000000004</v>
      </c>
      <c r="R122" s="43"/>
      <c r="S122" s="43">
        <v>2707.0367900000001</v>
      </c>
      <c r="T122" s="44">
        <v>20181.502939999998</v>
      </c>
      <c r="U122" s="55"/>
      <c r="V122" s="43">
        <v>0</v>
      </c>
      <c r="W122" s="61"/>
      <c r="X122" s="44">
        <v>36252.032509999997</v>
      </c>
      <c r="Y122" s="62">
        <v>20181.502939999998</v>
      </c>
      <c r="Z122" s="62">
        <v>16070.529569999999</v>
      </c>
    </row>
    <row r="123" spans="1:26" ht="12" customHeight="1" x14ac:dyDescent="0.25">
      <c r="A123" s="42">
        <v>2012</v>
      </c>
      <c r="B123" s="42" t="s">
        <v>15</v>
      </c>
      <c r="C123" s="43">
        <v>38803.897410000005</v>
      </c>
      <c r="D123" s="43">
        <v>3220.2</v>
      </c>
      <c r="E123" s="43">
        <v>1532.2390399999999</v>
      </c>
      <c r="F123" s="43">
        <v>33745.455749999994</v>
      </c>
      <c r="G123" s="43">
        <v>0</v>
      </c>
      <c r="H123" s="43">
        <v>79764.387829999992</v>
      </c>
      <c r="I123" s="43">
        <v>0</v>
      </c>
      <c r="J123" s="43">
        <v>0</v>
      </c>
      <c r="K123" s="44">
        <v>157066.18002999999</v>
      </c>
      <c r="L123" s="60"/>
      <c r="M123" s="43">
        <v>60742.279459999998</v>
      </c>
      <c r="N123" s="43">
        <v>40092.225740000002</v>
      </c>
      <c r="O123" s="43">
        <v>37718.629889999997</v>
      </c>
      <c r="P123" s="43">
        <v>48218.291359999996</v>
      </c>
      <c r="Q123" s="43">
        <v>20487.025489999996</v>
      </c>
      <c r="R123" s="43"/>
      <c r="S123" s="43">
        <v>30470.061900000008</v>
      </c>
      <c r="T123" s="44">
        <v>237728.51384</v>
      </c>
      <c r="U123" s="55"/>
      <c r="V123" s="43">
        <v>0</v>
      </c>
      <c r="W123" s="61"/>
      <c r="X123" s="44">
        <v>394794.69386999996</v>
      </c>
      <c r="Y123" s="62">
        <v>237728.51384</v>
      </c>
      <c r="Z123" s="62">
        <v>157066.18002999999</v>
      </c>
    </row>
    <row r="124" spans="1:26" ht="12" customHeight="1" x14ac:dyDescent="0.25">
      <c r="A124" s="42">
        <v>2013</v>
      </c>
      <c r="B124" s="42" t="s">
        <v>3</v>
      </c>
      <c r="C124" s="43">
        <v>5065.4639700000007</v>
      </c>
      <c r="D124" s="43">
        <v>117.5</v>
      </c>
      <c r="E124" s="43">
        <v>0</v>
      </c>
      <c r="F124" s="43">
        <v>3083.4278699999995</v>
      </c>
      <c r="G124" s="43">
        <v>0</v>
      </c>
      <c r="H124" s="43">
        <v>8573.7878499999988</v>
      </c>
      <c r="I124" s="43">
        <v>0</v>
      </c>
      <c r="J124" s="43"/>
      <c r="K124" s="44">
        <v>16840.179689999997</v>
      </c>
      <c r="L124" s="60"/>
      <c r="M124" s="43">
        <v>6049.1903700000003</v>
      </c>
      <c r="N124" s="43">
        <v>2635.5460200000002</v>
      </c>
      <c r="O124" s="43">
        <v>1601.3955899999999</v>
      </c>
      <c r="P124" s="43">
        <v>3627.4863100000002</v>
      </c>
      <c r="Q124" s="43">
        <v>1672.3426000000002</v>
      </c>
      <c r="R124" s="43"/>
      <c r="S124" s="43">
        <v>1759.8540499999999</v>
      </c>
      <c r="T124" s="44">
        <v>17345.81494</v>
      </c>
      <c r="U124" s="55"/>
      <c r="V124" s="43">
        <v>0</v>
      </c>
      <c r="W124" s="61"/>
      <c r="X124" s="44">
        <v>34185.994630000001</v>
      </c>
      <c r="Y124" s="62">
        <v>17345.81494</v>
      </c>
      <c r="Z124" s="62">
        <v>16840.179689999997</v>
      </c>
    </row>
    <row r="125" spans="1:26" ht="12" customHeight="1" x14ac:dyDescent="0.25">
      <c r="A125" s="42">
        <v>2013</v>
      </c>
      <c r="B125" s="42" t="s">
        <v>4</v>
      </c>
      <c r="C125" s="43">
        <v>5444.16374</v>
      </c>
      <c r="D125" s="43">
        <v>209.65100000000001</v>
      </c>
      <c r="E125" s="43">
        <v>0</v>
      </c>
      <c r="F125" s="43">
        <v>2791.0157799999993</v>
      </c>
      <c r="G125" s="43">
        <v>0</v>
      </c>
      <c r="H125" s="43">
        <v>7370.0845399999998</v>
      </c>
      <c r="I125" s="43">
        <v>0</v>
      </c>
      <c r="J125" s="43"/>
      <c r="K125" s="44">
        <v>15814.915059999999</v>
      </c>
      <c r="L125" s="60"/>
      <c r="M125" s="43">
        <v>3351.4343699999999</v>
      </c>
      <c r="N125" s="43">
        <v>2649.6715099999997</v>
      </c>
      <c r="O125" s="43">
        <v>1390.4081899999999</v>
      </c>
      <c r="P125" s="43">
        <v>3850.4810600000001</v>
      </c>
      <c r="Q125" s="43">
        <v>1480.9656299999999</v>
      </c>
      <c r="R125" s="43"/>
      <c r="S125" s="43">
        <v>2151.84238</v>
      </c>
      <c r="T125" s="44">
        <v>14874.80314</v>
      </c>
      <c r="U125" s="55"/>
      <c r="V125" s="43">
        <v>0</v>
      </c>
      <c r="W125" s="61"/>
      <c r="X125" s="44">
        <v>30689.718199999999</v>
      </c>
      <c r="Y125" s="62">
        <v>14874.80314</v>
      </c>
      <c r="Z125" s="62">
        <v>15814.915059999999</v>
      </c>
    </row>
    <row r="126" spans="1:26" ht="12" customHeight="1" x14ac:dyDescent="0.25">
      <c r="A126" s="42">
        <v>2013</v>
      </c>
      <c r="B126" s="42" t="s">
        <v>5</v>
      </c>
      <c r="C126" s="43">
        <v>6417.2594600000002</v>
      </c>
      <c r="D126" s="43">
        <v>362.4</v>
      </c>
      <c r="E126" s="43">
        <v>0</v>
      </c>
      <c r="F126" s="43">
        <v>3054.2709499999996</v>
      </c>
      <c r="G126" s="43">
        <v>0</v>
      </c>
      <c r="H126" s="43">
        <v>8583.6229699999985</v>
      </c>
      <c r="I126" s="43">
        <v>181.25003000000001</v>
      </c>
      <c r="J126" s="43"/>
      <c r="K126" s="44">
        <v>18598.803409999997</v>
      </c>
      <c r="L126" s="60"/>
      <c r="M126" s="43">
        <v>2341.1771100000001</v>
      </c>
      <c r="N126" s="43">
        <v>2674.85113</v>
      </c>
      <c r="O126" s="43">
        <v>1644.6720599999999</v>
      </c>
      <c r="P126" s="43">
        <v>3530.8336300000001</v>
      </c>
      <c r="Q126" s="43">
        <v>1858.22119</v>
      </c>
      <c r="R126" s="43"/>
      <c r="S126" s="43">
        <v>2325.6390900000001</v>
      </c>
      <c r="T126" s="44">
        <v>14375.39421</v>
      </c>
      <c r="U126" s="55"/>
      <c r="V126" s="43">
        <v>0</v>
      </c>
      <c r="W126" s="61"/>
      <c r="X126" s="44">
        <v>32974.197619999999</v>
      </c>
      <c r="Y126" s="62">
        <v>14375.39421</v>
      </c>
      <c r="Z126" s="62">
        <v>18598.803409999997</v>
      </c>
    </row>
    <row r="127" spans="1:26" ht="12" customHeight="1" x14ac:dyDescent="0.25">
      <c r="A127" s="42">
        <v>2013</v>
      </c>
      <c r="B127" s="42" t="s">
        <v>6</v>
      </c>
      <c r="C127" s="43">
        <v>6566.2500200000004</v>
      </c>
      <c r="D127" s="43">
        <v>180.20732000000001</v>
      </c>
      <c r="E127" s="43">
        <v>238.66012000000003</v>
      </c>
      <c r="F127" s="43">
        <v>3304.9261900000001</v>
      </c>
      <c r="G127" s="43">
        <v>0</v>
      </c>
      <c r="H127" s="43">
        <v>8049.5581400000001</v>
      </c>
      <c r="I127" s="43">
        <v>0</v>
      </c>
      <c r="J127" s="43"/>
      <c r="K127" s="44">
        <v>18339.601790000001</v>
      </c>
      <c r="L127" s="60"/>
      <c r="M127" s="43">
        <v>2295.9286099999999</v>
      </c>
      <c r="N127" s="43">
        <v>2510.8612699999999</v>
      </c>
      <c r="O127" s="43">
        <v>2333.1585099999998</v>
      </c>
      <c r="P127" s="43">
        <v>2380.9906299999998</v>
      </c>
      <c r="Q127" s="43">
        <v>2228.0683799999997</v>
      </c>
      <c r="R127" s="43"/>
      <c r="S127" s="43">
        <v>1742.75737</v>
      </c>
      <c r="T127" s="44">
        <v>13491.764769999998</v>
      </c>
      <c r="U127" s="55"/>
      <c r="V127" s="43">
        <v>0</v>
      </c>
      <c r="W127" s="61"/>
      <c r="X127" s="44">
        <v>31831.366559999999</v>
      </c>
      <c r="Y127" s="62">
        <v>13491.764769999998</v>
      </c>
      <c r="Z127" s="62">
        <v>18339.601790000001</v>
      </c>
    </row>
    <row r="128" spans="1:26" ht="12" customHeight="1" x14ac:dyDescent="0.25">
      <c r="A128" s="42">
        <v>2013</v>
      </c>
      <c r="B128" s="42" t="s">
        <v>7</v>
      </c>
      <c r="C128" s="43">
        <v>5969.3570399999999</v>
      </c>
      <c r="D128" s="43">
        <v>187.78698</v>
      </c>
      <c r="E128" s="43">
        <v>183.0352</v>
      </c>
      <c r="F128" s="43">
        <v>3787.98218</v>
      </c>
      <c r="G128" s="43">
        <v>0</v>
      </c>
      <c r="H128" s="43">
        <v>7271.4338099999995</v>
      </c>
      <c r="I128" s="43">
        <v>0</v>
      </c>
      <c r="J128" s="43"/>
      <c r="K128" s="44">
        <v>17399.595209999999</v>
      </c>
      <c r="L128" s="60"/>
      <c r="M128" s="43">
        <v>3201.7874100000004</v>
      </c>
      <c r="N128" s="43">
        <v>2663.6062099999999</v>
      </c>
      <c r="O128" s="43">
        <v>919.28849000000002</v>
      </c>
      <c r="P128" s="43">
        <v>1740.3987299999999</v>
      </c>
      <c r="Q128" s="43">
        <v>923.45040000000006</v>
      </c>
      <c r="R128" s="43"/>
      <c r="S128" s="43">
        <v>2657.0044900000003</v>
      </c>
      <c r="T128" s="44">
        <v>12105.53573</v>
      </c>
      <c r="U128" s="55"/>
      <c r="V128" s="43">
        <v>0</v>
      </c>
      <c r="W128" s="61"/>
      <c r="X128" s="44">
        <v>29505.130939999999</v>
      </c>
      <c r="Y128" s="62">
        <v>12105.53573</v>
      </c>
      <c r="Z128" s="62">
        <v>17399.595209999999</v>
      </c>
    </row>
    <row r="129" spans="1:26" ht="12" customHeight="1" x14ac:dyDescent="0.25">
      <c r="A129" s="42">
        <v>2013</v>
      </c>
      <c r="B129" s="42" t="s">
        <v>8</v>
      </c>
      <c r="C129" s="43">
        <v>5433.9352600000002</v>
      </c>
      <c r="D129" s="43">
        <v>119.14897999999999</v>
      </c>
      <c r="E129" s="43">
        <v>256.51767000000007</v>
      </c>
      <c r="F129" s="43">
        <v>3148.5616199999999</v>
      </c>
      <c r="G129" s="43">
        <v>0</v>
      </c>
      <c r="H129" s="43">
        <v>6889.4782799999994</v>
      </c>
      <c r="I129" s="43">
        <v>0</v>
      </c>
      <c r="J129" s="43"/>
      <c r="K129" s="44">
        <v>15847.641809999999</v>
      </c>
      <c r="L129" s="60"/>
      <c r="M129" s="43">
        <v>3180.7073300000002</v>
      </c>
      <c r="N129" s="43">
        <v>2829.2953399999997</v>
      </c>
      <c r="O129" s="43">
        <v>913.29106999999999</v>
      </c>
      <c r="P129" s="43">
        <v>4045.23792</v>
      </c>
      <c r="Q129" s="43">
        <v>821.75807999999995</v>
      </c>
      <c r="R129" s="43"/>
      <c r="S129" s="43">
        <v>2244.1208700000002</v>
      </c>
      <c r="T129" s="44">
        <v>14034.410610000001</v>
      </c>
      <c r="U129" s="55"/>
      <c r="V129" s="43">
        <v>0</v>
      </c>
      <c r="W129" s="61"/>
      <c r="X129" s="44">
        <v>29882.05242</v>
      </c>
      <c r="Y129" s="62">
        <v>14034.410610000001</v>
      </c>
      <c r="Z129" s="62">
        <v>15847.641809999999</v>
      </c>
    </row>
    <row r="130" spans="1:26" ht="12" customHeight="1" x14ac:dyDescent="0.25">
      <c r="A130" s="42">
        <v>2013</v>
      </c>
      <c r="B130" s="42" t="s">
        <v>9</v>
      </c>
      <c r="C130" s="43">
        <v>5734.5526600000003</v>
      </c>
      <c r="D130" s="43">
        <v>0</v>
      </c>
      <c r="E130" s="43">
        <v>288.85384000000005</v>
      </c>
      <c r="F130" s="43">
        <v>3560.5386200000003</v>
      </c>
      <c r="G130" s="43">
        <v>0</v>
      </c>
      <c r="H130" s="43">
        <v>6215.8401599999997</v>
      </c>
      <c r="I130" s="43">
        <v>125.31417</v>
      </c>
      <c r="J130" s="43"/>
      <c r="K130" s="44">
        <v>15925.09945</v>
      </c>
      <c r="L130" s="60"/>
      <c r="M130" s="43">
        <v>2755.9240999999997</v>
      </c>
      <c r="N130" s="43">
        <v>3946.5297800000003</v>
      </c>
      <c r="O130" s="43">
        <v>916.23589000000004</v>
      </c>
      <c r="P130" s="43">
        <v>1645.3835200000001</v>
      </c>
      <c r="Q130" s="43">
        <v>1824.8493999999998</v>
      </c>
      <c r="R130" s="43"/>
      <c r="S130" s="43">
        <v>3034.9423000000002</v>
      </c>
      <c r="T130" s="44">
        <v>14123.86499</v>
      </c>
      <c r="U130" s="55"/>
      <c r="V130" s="43">
        <v>0</v>
      </c>
      <c r="W130" s="61"/>
      <c r="X130" s="44">
        <v>30048.96444</v>
      </c>
      <c r="Y130" s="62">
        <v>14123.86499</v>
      </c>
      <c r="Z130" s="62">
        <v>15925.09945</v>
      </c>
    </row>
    <row r="131" spans="1:26" ht="12" customHeight="1" x14ac:dyDescent="0.25">
      <c r="A131" s="42">
        <v>2013</v>
      </c>
      <c r="B131" s="42" t="s">
        <v>10</v>
      </c>
      <c r="C131" s="43">
        <v>3635.2799799999993</v>
      </c>
      <c r="D131" s="43">
        <v>0</v>
      </c>
      <c r="E131" s="43">
        <v>310.32779999999997</v>
      </c>
      <c r="F131" s="43">
        <v>4118.6093300000002</v>
      </c>
      <c r="G131" s="43">
        <v>0</v>
      </c>
      <c r="H131" s="43">
        <v>5900.5203199999996</v>
      </c>
      <c r="I131" s="43">
        <v>147.42832000000001</v>
      </c>
      <c r="J131" s="43"/>
      <c r="K131" s="44">
        <v>14112.16575</v>
      </c>
      <c r="L131" s="60"/>
      <c r="M131" s="43">
        <v>3586.1925899999997</v>
      </c>
      <c r="N131" s="43">
        <v>1949.3406499999999</v>
      </c>
      <c r="O131" s="43">
        <v>2688.5906500000001</v>
      </c>
      <c r="P131" s="43">
        <v>2533.6445799999997</v>
      </c>
      <c r="Q131" s="43">
        <v>1766.6309899999999</v>
      </c>
      <c r="R131" s="43"/>
      <c r="S131" s="43">
        <v>2302.7995100000003</v>
      </c>
      <c r="T131" s="44">
        <v>14827.198969999999</v>
      </c>
      <c r="U131" s="55"/>
      <c r="V131" s="43">
        <v>0</v>
      </c>
      <c r="W131" s="61"/>
      <c r="X131" s="44">
        <v>28939.364719999998</v>
      </c>
      <c r="Y131" s="62">
        <v>14827.198969999999</v>
      </c>
      <c r="Z131" s="62">
        <v>14112.16575</v>
      </c>
    </row>
    <row r="132" spans="1:26" ht="12" customHeight="1" x14ac:dyDescent="0.25">
      <c r="A132" s="42">
        <v>2013</v>
      </c>
      <c r="B132" s="42" t="s">
        <v>11</v>
      </c>
      <c r="C132" s="43">
        <v>5401.0484500000002</v>
      </c>
      <c r="D132" s="43">
        <v>229.80329</v>
      </c>
      <c r="E132" s="43">
        <v>295.34484999999995</v>
      </c>
      <c r="F132" s="43">
        <v>3736.3269400000004</v>
      </c>
      <c r="G132" s="43">
        <v>0</v>
      </c>
      <c r="H132" s="43">
        <v>4524.6772899999996</v>
      </c>
      <c r="I132" s="43">
        <v>0</v>
      </c>
      <c r="J132" s="43"/>
      <c r="K132" s="44">
        <v>14187.20082</v>
      </c>
      <c r="L132" s="60"/>
      <c r="M132" s="43">
        <v>2311.3784900000001</v>
      </c>
      <c r="N132" s="43">
        <v>1819.2607499999999</v>
      </c>
      <c r="O132" s="43">
        <v>2776.7679500000004</v>
      </c>
      <c r="P132" s="43">
        <v>5304.8789799999995</v>
      </c>
      <c r="Q132" s="43">
        <v>1915.6118200000001</v>
      </c>
      <c r="R132" s="43"/>
      <c r="S132" s="43">
        <v>3984.6413899999998</v>
      </c>
      <c r="T132" s="44">
        <v>18112.539379999998</v>
      </c>
      <c r="U132" s="55"/>
      <c r="V132" s="43">
        <v>0</v>
      </c>
      <c r="W132" s="61"/>
      <c r="X132" s="44">
        <v>32299.7402</v>
      </c>
      <c r="Y132" s="62">
        <v>18112.539379999998</v>
      </c>
      <c r="Z132" s="62">
        <v>14187.20082</v>
      </c>
    </row>
    <row r="133" spans="1:26" ht="12" customHeight="1" x14ac:dyDescent="0.25">
      <c r="A133" s="42">
        <v>2013</v>
      </c>
      <c r="B133" s="42" t="s">
        <v>12</v>
      </c>
      <c r="C133" s="43">
        <v>6856.2396800000006</v>
      </c>
      <c r="D133" s="43">
        <v>31.331250000000001</v>
      </c>
      <c r="E133" s="43">
        <v>283.90414999999996</v>
      </c>
      <c r="F133" s="43">
        <v>3084.0318600000001</v>
      </c>
      <c r="G133" s="43">
        <v>0</v>
      </c>
      <c r="H133" s="43">
        <v>6388.2536700000001</v>
      </c>
      <c r="I133" s="43">
        <v>0</v>
      </c>
      <c r="J133" s="43"/>
      <c r="K133" s="44">
        <v>16643.760610000001</v>
      </c>
      <c r="L133" s="60"/>
      <c r="M133" s="43">
        <v>1780.3470300000001</v>
      </c>
      <c r="N133" s="43">
        <v>1704.1610000000001</v>
      </c>
      <c r="O133" s="43">
        <v>1823.0004899999999</v>
      </c>
      <c r="P133" s="43">
        <v>2511.2919499999998</v>
      </c>
      <c r="Q133" s="43">
        <v>1102.1791799999999</v>
      </c>
      <c r="R133" s="43"/>
      <c r="S133" s="43">
        <v>2009.1505099999997</v>
      </c>
      <c r="T133" s="44">
        <v>10930.130159999999</v>
      </c>
      <c r="U133" s="55"/>
      <c r="V133" s="43">
        <v>0</v>
      </c>
      <c r="W133" s="61"/>
      <c r="X133" s="44">
        <v>27573.890769999998</v>
      </c>
      <c r="Y133" s="62">
        <v>10930.130159999999</v>
      </c>
      <c r="Z133" s="62">
        <v>16643.760610000001</v>
      </c>
    </row>
    <row r="134" spans="1:26" ht="12" customHeight="1" x14ac:dyDescent="0.25">
      <c r="A134" s="42">
        <v>2013</v>
      </c>
      <c r="B134" s="42" t="s">
        <v>13</v>
      </c>
      <c r="C134" s="43">
        <v>6820.83014</v>
      </c>
      <c r="D134" s="43">
        <v>0</v>
      </c>
      <c r="E134" s="43">
        <v>0</v>
      </c>
      <c r="F134" s="43">
        <v>4084.9781200000007</v>
      </c>
      <c r="G134" s="43">
        <v>0</v>
      </c>
      <c r="H134" s="43">
        <v>7658.9774600000001</v>
      </c>
      <c r="I134" s="43">
        <v>0</v>
      </c>
      <c r="J134" s="43"/>
      <c r="K134" s="44">
        <v>18564.78572</v>
      </c>
      <c r="L134" s="60"/>
      <c r="M134" s="43">
        <v>4720.3775400000004</v>
      </c>
      <c r="N134" s="43">
        <v>1828.9203599999998</v>
      </c>
      <c r="O134" s="43">
        <v>894.33843999999999</v>
      </c>
      <c r="P134" s="43">
        <v>4205.0655500000003</v>
      </c>
      <c r="Q134" s="43">
        <v>1930.1290800000002</v>
      </c>
      <c r="R134" s="43"/>
      <c r="S134" s="43">
        <v>2691.1781799999999</v>
      </c>
      <c r="T134" s="44">
        <v>16270.009150000002</v>
      </c>
      <c r="U134" s="55"/>
      <c r="V134" s="43">
        <v>0</v>
      </c>
      <c r="W134" s="61"/>
      <c r="X134" s="44">
        <v>34834.794869999998</v>
      </c>
      <c r="Y134" s="62">
        <v>16270.009150000002</v>
      </c>
      <c r="Z134" s="62">
        <v>18564.78572</v>
      </c>
    </row>
    <row r="135" spans="1:26" ht="12" customHeight="1" x14ac:dyDescent="0.25">
      <c r="A135" s="42">
        <v>2013</v>
      </c>
      <c r="B135" s="42" t="s">
        <v>14</v>
      </c>
      <c r="C135" s="43">
        <v>6829.6229999999996</v>
      </c>
      <c r="D135" s="43">
        <v>0</v>
      </c>
      <c r="E135" s="43">
        <v>0</v>
      </c>
      <c r="F135" s="43">
        <v>4691.4189999999999</v>
      </c>
      <c r="G135" s="43">
        <v>0</v>
      </c>
      <c r="H135" s="43">
        <v>7763.7070000000003</v>
      </c>
      <c r="I135" s="43">
        <v>24.646249999999998</v>
      </c>
      <c r="J135" s="43"/>
      <c r="K135" s="44">
        <v>19309.395250000001</v>
      </c>
      <c r="L135" s="60"/>
      <c r="M135" s="43">
        <v>1805.8819300000002</v>
      </c>
      <c r="N135" s="43">
        <v>3053.2195899999997</v>
      </c>
      <c r="O135" s="43">
        <v>2733.5540499999997</v>
      </c>
      <c r="P135" s="43">
        <v>2059.8205899999998</v>
      </c>
      <c r="Q135" s="43">
        <v>871.52357999999992</v>
      </c>
      <c r="R135" s="43"/>
      <c r="S135" s="43">
        <v>2926.84094</v>
      </c>
      <c r="T135" s="44">
        <v>13450.840679999999</v>
      </c>
      <c r="U135" s="55"/>
      <c r="V135" s="43">
        <v>0</v>
      </c>
      <c r="W135" s="61"/>
      <c r="X135" s="44">
        <v>32760.235930000003</v>
      </c>
      <c r="Y135" s="62">
        <v>13450.840679999999</v>
      </c>
      <c r="Z135" s="62">
        <v>19309.395250000001</v>
      </c>
    </row>
    <row r="136" spans="1:26" ht="12" customHeight="1" x14ac:dyDescent="0.25">
      <c r="A136" s="42">
        <v>2013</v>
      </c>
      <c r="B136" s="42" t="s">
        <v>15</v>
      </c>
      <c r="C136" s="43">
        <v>70174.003400000001</v>
      </c>
      <c r="D136" s="43">
        <v>1437.82882</v>
      </c>
      <c r="E136" s="43">
        <v>1856.64363</v>
      </c>
      <c r="F136" s="43">
        <v>42446.088459999999</v>
      </c>
      <c r="G136" s="43">
        <v>0</v>
      </c>
      <c r="H136" s="43">
        <v>85189.941489999983</v>
      </c>
      <c r="I136" s="43">
        <v>478.63877000000002</v>
      </c>
      <c r="J136" s="43">
        <v>0</v>
      </c>
      <c r="K136" s="44">
        <v>201583.14457</v>
      </c>
      <c r="L136" s="60"/>
      <c r="M136" s="43">
        <v>37380.326880000001</v>
      </c>
      <c r="N136" s="43">
        <v>30265.263610000002</v>
      </c>
      <c r="O136" s="43">
        <v>20634.701379999995</v>
      </c>
      <c r="P136" s="43">
        <v>37435.513449999999</v>
      </c>
      <c r="Q136" s="43">
        <v>18395.730329999999</v>
      </c>
      <c r="R136" s="43"/>
      <c r="S136" s="43">
        <v>29830.771079999999</v>
      </c>
      <c r="T136" s="44">
        <v>173942.30673000001</v>
      </c>
      <c r="U136" s="55"/>
      <c r="V136" s="43">
        <v>0</v>
      </c>
      <c r="W136" s="61"/>
      <c r="X136" s="44">
        <v>375525.28862999997</v>
      </c>
      <c r="Y136" s="62">
        <v>173942.30673000001</v>
      </c>
      <c r="Z136" s="62">
        <v>201583.14457</v>
      </c>
    </row>
    <row r="137" spans="1:26" ht="12" customHeight="1" x14ac:dyDescent="0.25">
      <c r="A137" s="42">
        <v>2014</v>
      </c>
      <c r="B137" s="42" t="s">
        <v>3</v>
      </c>
      <c r="C137" s="43">
        <v>6976.1964499999995</v>
      </c>
      <c r="D137" s="43">
        <v>0</v>
      </c>
      <c r="E137" s="43">
        <v>0</v>
      </c>
      <c r="F137" s="43">
        <v>3546.9199800000006</v>
      </c>
      <c r="G137" s="43">
        <v>0</v>
      </c>
      <c r="H137" s="43">
        <v>7759.2386200000001</v>
      </c>
      <c r="I137" s="43">
        <v>157.34804</v>
      </c>
      <c r="J137" s="43">
        <v>0</v>
      </c>
      <c r="K137" s="44">
        <v>18439.703089999999</v>
      </c>
      <c r="L137" s="60"/>
      <c r="M137" s="43">
        <v>6181.9962500000001</v>
      </c>
      <c r="N137" s="43">
        <v>2131.3669100000002</v>
      </c>
      <c r="O137" s="43">
        <v>1776.47333</v>
      </c>
      <c r="P137" s="43">
        <v>3674.68183</v>
      </c>
      <c r="Q137" s="43">
        <v>1398.0413999999998</v>
      </c>
      <c r="R137" s="43"/>
      <c r="S137" s="43">
        <v>3360.0505300000004</v>
      </c>
      <c r="T137" s="44">
        <v>18522.610250000002</v>
      </c>
      <c r="U137" s="55"/>
      <c r="V137" s="43">
        <v>0</v>
      </c>
      <c r="W137" s="61"/>
      <c r="X137" s="44">
        <v>36962.313340000001</v>
      </c>
      <c r="Y137" s="62">
        <v>18522.610250000002</v>
      </c>
      <c r="Z137" s="62">
        <v>18439.703089999999</v>
      </c>
    </row>
    <row r="138" spans="1:26" ht="12" customHeight="1" x14ac:dyDescent="0.25">
      <c r="A138" s="42">
        <v>2014</v>
      </c>
      <c r="B138" s="42" t="s">
        <v>4</v>
      </c>
      <c r="C138" s="43">
        <v>6480.3884800000005</v>
      </c>
      <c r="D138" s="43">
        <v>0</v>
      </c>
      <c r="E138" s="43">
        <v>0</v>
      </c>
      <c r="F138" s="43">
        <v>4179.5658899999999</v>
      </c>
      <c r="G138" s="43">
        <v>0</v>
      </c>
      <c r="H138" s="43">
        <v>7495.2864099999997</v>
      </c>
      <c r="I138" s="43">
        <v>0</v>
      </c>
      <c r="J138" s="43">
        <v>0</v>
      </c>
      <c r="K138" s="44">
        <v>18155.24078</v>
      </c>
      <c r="L138" s="60"/>
      <c r="M138" s="43">
        <v>5489.8150900000001</v>
      </c>
      <c r="N138" s="43">
        <v>835.71417000000008</v>
      </c>
      <c r="O138" s="43">
        <v>2738.9209599999999</v>
      </c>
      <c r="P138" s="43">
        <v>2298.1527500000002</v>
      </c>
      <c r="Q138" s="43">
        <v>1805.5142599999999</v>
      </c>
      <c r="R138" s="43"/>
      <c r="S138" s="43">
        <v>1782.8976800000003</v>
      </c>
      <c r="T138" s="44">
        <v>14951.01491</v>
      </c>
      <c r="U138" s="55"/>
      <c r="V138" s="43">
        <v>0</v>
      </c>
      <c r="W138" s="61"/>
      <c r="X138" s="44">
        <v>33106.255689999998</v>
      </c>
      <c r="Y138" s="62">
        <v>14951.01491</v>
      </c>
      <c r="Z138" s="62">
        <v>18155.24078</v>
      </c>
    </row>
    <row r="139" spans="1:26" ht="12" customHeight="1" x14ac:dyDescent="0.25">
      <c r="A139" s="42">
        <v>2014</v>
      </c>
      <c r="B139" s="42" t="s">
        <v>5</v>
      </c>
      <c r="C139" s="43">
        <v>6885.6756899999991</v>
      </c>
      <c r="D139" s="43">
        <v>0</v>
      </c>
      <c r="E139" s="43">
        <v>0</v>
      </c>
      <c r="F139" s="43">
        <v>3811.2181299999997</v>
      </c>
      <c r="G139" s="43">
        <v>0</v>
      </c>
      <c r="H139" s="43">
        <v>7678.7891500000005</v>
      </c>
      <c r="I139" s="43">
        <v>0</v>
      </c>
      <c r="J139" s="43">
        <v>0</v>
      </c>
      <c r="K139" s="44">
        <v>18375.682970000002</v>
      </c>
      <c r="L139" s="60"/>
      <c r="M139" s="43">
        <v>1342.0134499999999</v>
      </c>
      <c r="N139" s="43">
        <v>2766.1185699999996</v>
      </c>
      <c r="O139" s="43">
        <v>2303.6240700000003</v>
      </c>
      <c r="P139" s="43">
        <v>4350.7960700000003</v>
      </c>
      <c r="Q139" s="43">
        <v>2824.7162999999996</v>
      </c>
      <c r="R139" s="43"/>
      <c r="S139" s="43">
        <v>1777.4426000000001</v>
      </c>
      <c r="T139" s="44">
        <v>15364.71106</v>
      </c>
      <c r="U139" s="55"/>
      <c r="V139" s="43">
        <v>0</v>
      </c>
      <c r="W139" s="61"/>
      <c r="X139" s="44">
        <v>33740.394030000003</v>
      </c>
      <c r="Y139" s="62">
        <v>15364.71106</v>
      </c>
      <c r="Z139" s="62">
        <v>18375.682970000002</v>
      </c>
    </row>
    <row r="140" spans="1:26" ht="12" customHeight="1" x14ac:dyDescent="0.25">
      <c r="A140" s="42">
        <v>2014</v>
      </c>
      <c r="B140" s="42" t="s">
        <v>6</v>
      </c>
      <c r="C140" s="43">
        <v>6105.5317300000006</v>
      </c>
      <c r="D140" s="43">
        <v>0</v>
      </c>
      <c r="E140" s="43">
        <v>299.70069000000001</v>
      </c>
      <c r="F140" s="43">
        <v>3187.50668</v>
      </c>
      <c r="G140" s="43">
        <v>0</v>
      </c>
      <c r="H140" s="43">
        <v>6021.1013300000004</v>
      </c>
      <c r="I140" s="43">
        <v>0</v>
      </c>
      <c r="J140" s="43">
        <v>0</v>
      </c>
      <c r="K140" s="44">
        <v>15613.84043</v>
      </c>
      <c r="L140" s="60"/>
      <c r="M140" s="43">
        <v>3119.5448700000002</v>
      </c>
      <c r="N140" s="43">
        <v>846.21530000000007</v>
      </c>
      <c r="O140" s="43">
        <v>3692.8086600000001</v>
      </c>
      <c r="P140" s="43">
        <v>4123.5908400000008</v>
      </c>
      <c r="Q140" s="43">
        <v>1804.5530200000001</v>
      </c>
      <c r="R140" s="43"/>
      <c r="S140" s="43">
        <v>3831.4618299999997</v>
      </c>
      <c r="T140" s="44">
        <v>17418.17452</v>
      </c>
      <c r="U140" s="55"/>
      <c r="V140" s="43">
        <v>0</v>
      </c>
      <c r="W140" s="61"/>
      <c r="X140" s="44">
        <v>33032.014949999997</v>
      </c>
      <c r="Y140" s="62">
        <v>17418.17452</v>
      </c>
      <c r="Z140" s="62">
        <v>15613.84043</v>
      </c>
    </row>
    <row r="141" spans="1:26" ht="12" customHeight="1" x14ac:dyDescent="0.25">
      <c r="A141" s="42">
        <v>2014</v>
      </c>
      <c r="B141" s="42" t="s">
        <v>7</v>
      </c>
      <c r="C141" s="43">
        <v>5861.7961099999993</v>
      </c>
      <c r="D141" s="43">
        <v>0</v>
      </c>
      <c r="E141" s="43">
        <v>303.14808999999997</v>
      </c>
      <c r="F141" s="43">
        <v>3737.70993</v>
      </c>
      <c r="G141" s="43">
        <v>0</v>
      </c>
      <c r="H141" s="43">
        <v>6341.1697699999995</v>
      </c>
      <c r="I141" s="43">
        <v>0</v>
      </c>
      <c r="J141" s="43">
        <v>0</v>
      </c>
      <c r="K141" s="44">
        <v>16243.823899999999</v>
      </c>
      <c r="L141" s="60"/>
      <c r="M141" s="43">
        <v>1812.0340800000001</v>
      </c>
      <c r="N141" s="43">
        <v>854.49618000000009</v>
      </c>
      <c r="O141" s="43">
        <v>2312.7434600000001</v>
      </c>
      <c r="P141" s="43">
        <v>3781.5564100000001</v>
      </c>
      <c r="Q141" s="43">
        <v>859.60533999999996</v>
      </c>
      <c r="R141" s="43"/>
      <c r="S141" s="43">
        <v>2683.0751799999998</v>
      </c>
      <c r="T141" s="44">
        <v>12303.510650000002</v>
      </c>
      <c r="U141" s="55"/>
      <c r="V141" s="43">
        <v>0</v>
      </c>
      <c r="W141" s="61"/>
      <c r="X141" s="44">
        <v>28547.33455</v>
      </c>
      <c r="Y141" s="62">
        <v>12303.510650000002</v>
      </c>
      <c r="Z141" s="62">
        <v>16243.823899999999</v>
      </c>
    </row>
    <row r="142" spans="1:26" ht="12" customHeight="1" x14ac:dyDescent="0.25">
      <c r="A142" s="42">
        <v>2014</v>
      </c>
      <c r="B142" s="42" t="s">
        <v>8</v>
      </c>
      <c r="C142" s="43">
        <v>6132.9499699999997</v>
      </c>
      <c r="D142" s="43">
        <v>0</v>
      </c>
      <c r="E142" s="43">
        <v>298.19903000000005</v>
      </c>
      <c r="F142" s="43">
        <v>3080.2519600000001</v>
      </c>
      <c r="G142" s="43">
        <v>0</v>
      </c>
      <c r="H142" s="43">
        <v>7010.5871500000003</v>
      </c>
      <c r="I142" s="43">
        <v>0</v>
      </c>
      <c r="J142" s="43">
        <v>0</v>
      </c>
      <c r="K142" s="44">
        <v>16521.988109999998</v>
      </c>
      <c r="L142" s="60"/>
      <c r="M142" s="43">
        <v>1717.9571599999999</v>
      </c>
      <c r="N142" s="43">
        <v>1911.90184</v>
      </c>
      <c r="O142" s="43">
        <v>891.22424000000001</v>
      </c>
      <c r="P142" s="43">
        <v>1704.73207</v>
      </c>
      <c r="Q142" s="43">
        <v>1376.86472</v>
      </c>
      <c r="R142" s="43"/>
      <c r="S142" s="43">
        <v>3743.2388100000007</v>
      </c>
      <c r="T142" s="44">
        <v>11345.91884</v>
      </c>
      <c r="U142" s="55"/>
      <c r="V142" s="43">
        <v>0</v>
      </c>
      <c r="W142" s="61"/>
      <c r="X142" s="44">
        <v>27867.906949999997</v>
      </c>
      <c r="Y142" s="62">
        <v>11345.91884</v>
      </c>
      <c r="Z142" s="62">
        <v>16521.988109999998</v>
      </c>
    </row>
    <row r="143" spans="1:26" ht="12" customHeight="1" x14ac:dyDescent="0.25">
      <c r="A143" s="42">
        <v>2014</v>
      </c>
      <c r="B143" s="42" t="s">
        <v>9</v>
      </c>
      <c r="C143" s="43">
        <v>4622.0045399999999</v>
      </c>
      <c r="D143" s="43">
        <v>0</v>
      </c>
      <c r="E143" s="43">
        <v>300.92250000000001</v>
      </c>
      <c r="F143" s="43">
        <v>3945.8858700000001</v>
      </c>
      <c r="G143" s="43">
        <v>0</v>
      </c>
      <c r="H143" s="43">
        <v>7694.4964300000001</v>
      </c>
      <c r="I143" s="43">
        <v>0</v>
      </c>
      <c r="J143" s="43">
        <v>0</v>
      </c>
      <c r="K143" s="44">
        <v>16563.30934</v>
      </c>
      <c r="L143" s="60"/>
      <c r="M143" s="43">
        <v>3535.5725899999998</v>
      </c>
      <c r="N143" s="43">
        <v>1712.32628</v>
      </c>
      <c r="O143" s="43">
        <v>1927.05178</v>
      </c>
      <c r="P143" s="43">
        <v>2672.0636400000003</v>
      </c>
      <c r="Q143" s="43">
        <v>1060.9943899999998</v>
      </c>
      <c r="R143" s="43"/>
      <c r="S143" s="43">
        <v>3533.05</v>
      </c>
      <c r="T143" s="44">
        <v>14441.058679999998</v>
      </c>
      <c r="U143" s="55"/>
      <c r="V143" s="43">
        <v>0</v>
      </c>
      <c r="W143" s="61"/>
      <c r="X143" s="44">
        <v>31004.368019999998</v>
      </c>
      <c r="Y143" s="62">
        <v>14441.058679999998</v>
      </c>
      <c r="Z143" s="62">
        <v>16563.30934</v>
      </c>
    </row>
    <row r="144" spans="1:26" ht="12" customHeight="1" x14ac:dyDescent="0.25">
      <c r="A144" s="42">
        <v>2014</v>
      </c>
      <c r="B144" s="42" t="s">
        <v>10</v>
      </c>
      <c r="C144" s="43">
        <v>4428.04468</v>
      </c>
      <c r="D144" s="43">
        <v>0</v>
      </c>
      <c r="E144" s="43">
        <v>310.00001000000003</v>
      </c>
      <c r="F144" s="43">
        <v>4123.1274100000001</v>
      </c>
      <c r="G144" s="43">
        <v>0</v>
      </c>
      <c r="H144" s="43">
        <v>5580.4076799999993</v>
      </c>
      <c r="I144" s="43">
        <v>0</v>
      </c>
      <c r="J144" s="43">
        <v>0</v>
      </c>
      <c r="K144" s="44">
        <v>14441.57978</v>
      </c>
      <c r="L144" s="60"/>
      <c r="M144" s="43">
        <v>3908.0386200000007</v>
      </c>
      <c r="N144" s="43">
        <v>1069.4405899999999</v>
      </c>
      <c r="O144" s="43">
        <v>2088.8790400000003</v>
      </c>
      <c r="P144" s="43">
        <v>2278.18685</v>
      </c>
      <c r="Q144" s="43">
        <v>2524.3562099999999</v>
      </c>
      <c r="R144" s="43"/>
      <c r="S144" s="43">
        <v>1934.7306299999998</v>
      </c>
      <c r="T144" s="44">
        <v>13803.631940000001</v>
      </c>
      <c r="U144" s="55"/>
      <c r="V144" s="43">
        <v>0</v>
      </c>
      <c r="W144" s="61"/>
      <c r="X144" s="44">
        <v>28245.211719999999</v>
      </c>
      <c r="Y144" s="62">
        <v>13803.631940000001</v>
      </c>
      <c r="Z144" s="62">
        <v>14441.57978</v>
      </c>
    </row>
    <row r="145" spans="1:26" ht="12" customHeight="1" x14ac:dyDescent="0.25">
      <c r="A145" s="42">
        <v>2014</v>
      </c>
      <c r="B145" s="42" t="s">
        <v>11</v>
      </c>
      <c r="C145" s="43">
        <v>5991.8244199999999</v>
      </c>
      <c r="D145" s="43">
        <v>0</v>
      </c>
      <c r="E145" s="43">
        <v>297.08839</v>
      </c>
      <c r="F145" s="43">
        <v>3852.64239</v>
      </c>
      <c r="G145" s="43">
        <v>0</v>
      </c>
      <c r="H145" s="43">
        <v>6621.9341299999987</v>
      </c>
      <c r="I145" s="43">
        <v>0</v>
      </c>
      <c r="J145" s="43">
        <v>0</v>
      </c>
      <c r="K145" s="44">
        <v>16763.489329999997</v>
      </c>
      <c r="L145" s="60"/>
      <c r="M145" s="43">
        <v>892.88165000000004</v>
      </c>
      <c r="N145" s="43">
        <v>1779.1801799999998</v>
      </c>
      <c r="O145" s="43">
        <v>2811.0832299999997</v>
      </c>
      <c r="P145" s="43">
        <v>4368.6482400000004</v>
      </c>
      <c r="Q145" s="43">
        <v>2405.6235999999994</v>
      </c>
      <c r="R145" s="43"/>
      <c r="S145" s="43">
        <v>3340.4920299999999</v>
      </c>
      <c r="T145" s="44">
        <v>15597.908929999998</v>
      </c>
      <c r="U145" s="55"/>
      <c r="V145" s="43">
        <v>0</v>
      </c>
      <c r="W145" s="61"/>
      <c r="X145" s="44">
        <v>32361.398259999994</v>
      </c>
      <c r="Y145" s="62">
        <v>15597.908929999998</v>
      </c>
      <c r="Z145" s="62">
        <v>16763.489329999997</v>
      </c>
    </row>
    <row r="146" spans="1:26" ht="12" customHeight="1" x14ac:dyDescent="0.25">
      <c r="A146" s="42">
        <v>2014</v>
      </c>
      <c r="B146" s="42" t="s">
        <v>12</v>
      </c>
      <c r="C146" s="43">
        <v>6752.8634300000003</v>
      </c>
      <c r="D146" s="43">
        <v>0</v>
      </c>
      <c r="E146" s="43">
        <v>0</v>
      </c>
      <c r="F146" s="43">
        <v>0</v>
      </c>
      <c r="G146" s="43">
        <v>0</v>
      </c>
      <c r="H146" s="43">
        <v>7043.3578799999996</v>
      </c>
      <c r="I146" s="43">
        <v>0</v>
      </c>
      <c r="J146" s="43">
        <v>4522.2619099999993</v>
      </c>
      <c r="K146" s="44">
        <v>18318.483220000002</v>
      </c>
      <c r="L146" s="60"/>
      <c r="M146" s="43">
        <v>4447.7584999999999</v>
      </c>
      <c r="N146" s="43">
        <v>922.01743999999997</v>
      </c>
      <c r="O146" s="43">
        <v>2720.23963</v>
      </c>
      <c r="P146" s="43">
        <v>3965.8989500000002</v>
      </c>
      <c r="Q146" s="43">
        <v>1658.3493500000002</v>
      </c>
      <c r="R146" s="43"/>
      <c r="S146" s="43">
        <v>4014.0421900000001</v>
      </c>
      <c r="T146" s="44">
        <v>17728.306060000003</v>
      </c>
      <c r="U146" s="55"/>
      <c r="V146" s="43">
        <v>1.3025899999999999</v>
      </c>
      <c r="W146" s="61"/>
      <c r="X146" s="44">
        <v>36048.091870000004</v>
      </c>
      <c r="Y146" s="62">
        <v>17729.608650000002</v>
      </c>
      <c r="Z146" s="62">
        <v>18318.483220000002</v>
      </c>
    </row>
    <row r="147" spans="1:26" ht="12" customHeight="1" x14ac:dyDescent="0.25">
      <c r="A147" s="42">
        <v>2014</v>
      </c>
      <c r="B147" s="42" t="s">
        <v>13</v>
      </c>
      <c r="C147" s="43">
        <v>6240.5614700000006</v>
      </c>
      <c r="D147" s="43">
        <v>0</v>
      </c>
      <c r="E147" s="43">
        <v>0</v>
      </c>
      <c r="F147" s="43">
        <v>0</v>
      </c>
      <c r="G147" s="43">
        <v>0</v>
      </c>
      <c r="H147" s="43">
        <v>7299.4047099999998</v>
      </c>
      <c r="I147" s="43">
        <v>0</v>
      </c>
      <c r="J147" s="43">
        <v>4584.7275799999998</v>
      </c>
      <c r="K147" s="44">
        <v>18124.693760000002</v>
      </c>
      <c r="L147" s="60"/>
      <c r="M147" s="43">
        <v>2612.70984</v>
      </c>
      <c r="N147" s="43">
        <v>1798.6029799999999</v>
      </c>
      <c r="O147" s="43">
        <v>1831.8992700000001</v>
      </c>
      <c r="P147" s="43">
        <v>2910.35988</v>
      </c>
      <c r="Q147" s="43">
        <v>1704.0567900000001</v>
      </c>
      <c r="R147" s="43"/>
      <c r="S147" s="43">
        <v>4033.2314500000002</v>
      </c>
      <c r="T147" s="44">
        <v>14890.860210000003</v>
      </c>
      <c r="U147" s="55"/>
      <c r="V147" s="43">
        <v>0</v>
      </c>
      <c r="W147" s="61"/>
      <c r="X147" s="44">
        <v>33015.553970000008</v>
      </c>
      <c r="Y147" s="62">
        <v>14890.860210000003</v>
      </c>
      <c r="Z147" s="62">
        <v>18124.693760000002</v>
      </c>
    </row>
    <row r="148" spans="1:26" ht="12" customHeight="1" x14ac:dyDescent="0.25">
      <c r="A148" s="42">
        <v>2014</v>
      </c>
      <c r="B148" s="42" t="s">
        <v>14</v>
      </c>
      <c r="C148" s="43">
        <v>6301.76235</v>
      </c>
      <c r="D148" s="43">
        <v>0</v>
      </c>
      <c r="E148" s="43">
        <v>0</v>
      </c>
      <c r="F148" s="43">
        <v>0</v>
      </c>
      <c r="G148" s="43">
        <v>0</v>
      </c>
      <c r="H148" s="43">
        <v>5230.7806200000005</v>
      </c>
      <c r="I148" s="43">
        <v>0</v>
      </c>
      <c r="J148" s="43">
        <v>4785.5989600000003</v>
      </c>
      <c r="K148" s="44">
        <v>16318.141930000002</v>
      </c>
      <c r="L148" s="60"/>
      <c r="M148" s="43">
        <v>2284.3865000000001</v>
      </c>
      <c r="N148" s="43">
        <v>1798.0010899999997</v>
      </c>
      <c r="O148" s="43">
        <v>3481.7092099999995</v>
      </c>
      <c r="P148" s="43">
        <v>1995.7807000000003</v>
      </c>
      <c r="Q148" s="43">
        <v>1627.8715300000001</v>
      </c>
      <c r="R148" s="43"/>
      <c r="S148" s="43">
        <v>2536.3901000000001</v>
      </c>
      <c r="T148" s="44">
        <v>13724.13913</v>
      </c>
      <c r="U148" s="55"/>
      <c r="V148" s="43">
        <v>0</v>
      </c>
      <c r="W148" s="61"/>
      <c r="X148" s="44">
        <v>30042.281060000001</v>
      </c>
      <c r="Y148" s="62">
        <v>13724.13913</v>
      </c>
      <c r="Z148" s="62">
        <v>16318.141930000002</v>
      </c>
    </row>
    <row r="149" spans="1:26" ht="12" customHeight="1" x14ac:dyDescent="0.25">
      <c r="A149" s="42">
        <v>2014</v>
      </c>
      <c r="B149" s="42" t="s">
        <v>15</v>
      </c>
      <c r="C149" s="43">
        <v>72779.599320000008</v>
      </c>
      <c r="D149" s="43">
        <v>0</v>
      </c>
      <c r="E149" s="43">
        <v>1809.0587100000002</v>
      </c>
      <c r="F149" s="43">
        <v>33464.828240000003</v>
      </c>
      <c r="G149" s="43">
        <v>0</v>
      </c>
      <c r="H149" s="43">
        <v>81776.553880000007</v>
      </c>
      <c r="I149" s="43">
        <v>157.34804</v>
      </c>
      <c r="J149" s="43">
        <v>13892.588449999999</v>
      </c>
      <c r="K149" s="44">
        <v>203879.97664000004</v>
      </c>
      <c r="L149" s="60"/>
      <c r="M149" s="43">
        <v>37344.708599999998</v>
      </c>
      <c r="N149" s="43">
        <v>18425.381529999999</v>
      </c>
      <c r="O149" s="43">
        <v>28576.656880000002</v>
      </c>
      <c r="P149" s="43">
        <v>38124.448230000009</v>
      </c>
      <c r="Q149" s="43">
        <v>21050.546909999997</v>
      </c>
      <c r="R149" s="43"/>
      <c r="S149" s="43">
        <v>36570.103029999998</v>
      </c>
      <c r="T149" s="44">
        <v>180091.84518</v>
      </c>
      <c r="U149" s="55"/>
      <c r="V149" s="43">
        <v>1.3025899999999999</v>
      </c>
      <c r="W149" s="61"/>
      <c r="X149" s="44">
        <v>383973.12441000005</v>
      </c>
      <c r="Y149" s="62">
        <v>180093.14777000001</v>
      </c>
      <c r="Z149" s="62">
        <v>203879.97664000004</v>
      </c>
    </row>
    <row r="150" spans="1:26" ht="12" customHeight="1" x14ac:dyDescent="0.25">
      <c r="A150" s="42">
        <v>2015</v>
      </c>
      <c r="B150" s="42" t="s">
        <v>3</v>
      </c>
      <c r="C150" s="43">
        <v>6203.4619699999994</v>
      </c>
      <c r="D150" s="43">
        <v>0</v>
      </c>
      <c r="E150" s="43">
        <v>0</v>
      </c>
      <c r="F150" s="43">
        <v>0</v>
      </c>
      <c r="G150" s="43">
        <v>0</v>
      </c>
      <c r="H150" s="43">
        <v>10041.452719999999</v>
      </c>
      <c r="I150" s="43">
        <v>0</v>
      </c>
      <c r="J150" s="43">
        <v>4148.0210799999995</v>
      </c>
      <c r="K150" s="44">
        <v>20392.93577</v>
      </c>
      <c r="L150" s="60"/>
      <c r="M150" s="43">
        <v>2145.0205899999996</v>
      </c>
      <c r="N150" s="43">
        <v>854.52820999999994</v>
      </c>
      <c r="O150" s="43">
        <v>1765.0473900000002</v>
      </c>
      <c r="P150" s="43">
        <v>3611.5797399999992</v>
      </c>
      <c r="Q150" s="43">
        <v>1399.0816</v>
      </c>
      <c r="R150" s="43"/>
      <c r="S150" s="43">
        <v>1935.7033900000001</v>
      </c>
      <c r="T150" s="44">
        <v>11710.96092</v>
      </c>
      <c r="U150" s="55"/>
      <c r="V150" s="43">
        <v>0</v>
      </c>
      <c r="W150" s="61"/>
      <c r="X150" s="44">
        <v>32103.896690000001</v>
      </c>
      <c r="Y150" s="62">
        <v>11710.96092</v>
      </c>
      <c r="Z150" s="62">
        <v>20392.93577</v>
      </c>
    </row>
    <row r="151" spans="1:26" ht="12" customHeight="1" x14ac:dyDescent="0.25">
      <c r="A151" s="42">
        <v>2015</v>
      </c>
      <c r="B151" s="42" t="s">
        <v>4</v>
      </c>
      <c r="C151" s="43">
        <v>4889.6241</v>
      </c>
      <c r="D151" s="43">
        <v>0</v>
      </c>
      <c r="E151" s="43">
        <v>0</v>
      </c>
      <c r="F151" s="43">
        <v>0</v>
      </c>
      <c r="G151" s="43">
        <v>0</v>
      </c>
      <c r="H151" s="43">
        <v>6236.6940799999993</v>
      </c>
      <c r="I151" s="43">
        <v>0</v>
      </c>
      <c r="J151" s="43">
        <v>3740.9842699999995</v>
      </c>
      <c r="K151" s="44">
        <v>14867.302449999997</v>
      </c>
      <c r="L151" s="60"/>
      <c r="M151" s="43">
        <v>3234.5876699999999</v>
      </c>
      <c r="N151" s="43">
        <v>1786.5821600000002</v>
      </c>
      <c r="O151" s="43">
        <v>844.85848999999996</v>
      </c>
      <c r="P151" s="43">
        <v>3393.8249599999999</v>
      </c>
      <c r="Q151" s="43">
        <v>1759.3943999999999</v>
      </c>
      <c r="R151" s="43"/>
      <c r="S151" s="43">
        <v>1454.24954</v>
      </c>
      <c r="T151" s="44">
        <v>12473.497219999999</v>
      </c>
      <c r="U151" s="55"/>
      <c r="V151" s="43">
        <v>0</v>
      </c>
      <c r="W151" s="61"/>
      <c r="X151" s="44">
        <v>27340.799669999997</v>
      </c>
      <c r="Y151" s="62">
        <v>12473.497219999999</v>
      </c>
      <c r="Z151" s="62">
        <v>14867.302449999997</v>
      </c>
    </row>
    <row r="152" spans="1:26" ht="12" customHeight="1" x14ac:dyDescent="0.25">
      <c r="A152" s="42">
        <v>2015</v>
      </c>
      <c r="B152" s="42" t="s">
        <v>5</v>
      </c>
      <c r="C152" s="43">
        <v>4534.9210400000002</v>
      </c>
      <c r="D152" s="43">
        <v>0</v>
      </c>
      <c r="E152" s="43">
        <v>0</v>
      </c>
      <c r="F152" s="43">
        <v>0</v>
      </c>
      <c r="G152" s="43">
        <v>0</v>
      </c>
      <c r="H152" s="43">
        <v>4567.5333000000001</v>
      </c>
      <c r="I152" s="43">
        <v>0</v>
      </c>
      <c r="J152" s="43">
        <v>3583.6126300000001</v>
      </c>
      <c r="K152" s="44">
        <v>12686.06697</v>
      </c>
      <c r="L152" s="60"/>
      <c r="M152" s="43">
        <v>4199.2607099999996</v>
      </c>
      <c r="N152" s="43">
        <v>1917.6292100000001</v>
      </c>
      <c r="O152" s="43">
        <v>1839.0627600000003</v>
      </c>
      <c r="P152" s="43">
        <v>2377.1506799999997</v>
      </c>
      <c r="Q152" s="43">
        <v>1785.2213599999998</v>
      </c>
      <c r="R152" s="43"/>
      <c r="S152" s="43">
        <v>1310.1781099999998</v>
      </c>
      <c r="T152" s="44">
        <v>13428.502830000001</v>
      </c>
      <c r="U152" s="55"/>
      <c r="V152" s="43">
        <v>0</v>
      </c>
      <c r="W152" s="61"/>
      <c r="X152" s="44">
        <v>26114.569800000001</v>
      </c>
      <c r="Y152" s="62">
        <v>13428.502830000001</v>
      </c>
      <c r="Z152" s="62">
        <v>12686.06697</v>
      </c>
    </row>
    <row r="153" spans="1:26" ht="12" customHeight="1" x14ac:dyDescent="0.25">
      <c r="A153" s="42">
        <v>2015</v>
      </c>
      <c r="B153" s="42" t="s">
        <v>6</v>
      </c>
      <c r="C153" s="43">
        <v>6389.1112800000001</v>
      </c>
      <c r="D153" s="43">
        <v>0</v>
      </c>
      <c r="E153" s="43">
        <v>0</v>
      </c>
      <c r="F153" s="43">
        <v>0</v>
      </c>
      <c r="G153" s="43">
        <v>0</v>
      </c>
      <c r="H153" s="43">
        <v>9551.31423</v>
      </c>
      <c r="I153" s="43">
        <v>0</v>
      </c>
      <c r="J153" s="43">
        <v>2290.9767200000001</v>
      </c>
      <c r="K153" s="44">
        <v>18231.40223</v>
      </c>
      <c r="L153" s="60"/>
      <c r="M153" s="43">
        <v>3696.74134</v>
      </c>
      <c r="N153" s="43">
        <v>947.05084999999997</v>
      </c>
      <c r="O153" s="43">
        <v>906.47931000000005</v>
      </c>
      <c r="P153" s="43">
        <v>2257.5106600000004</v>
      </c>
      <c r="Q153" s="43">
        <v>1781.66137</v>
      </c>
      <c r="R153" s="43"/>
      <c r="S153" s="43">
        <v>2260.62736</v>
      </c>
      <c r="T153" s="44">
        <v>11850.070890000001</v>
      </c>
      <c r="U153" s="55"/>
      <c r="V153" s="43">
        <v>0</v>
      </c>
      <c r="W153" s="61"/>
      <c r="X153" s="44">
        <v>30081.473120000002</v>
      </c>
      <c r="Y153" s="62">
        <v>11850.070890000001</v>
      </c>
      <c r="Z153" s="62">
        <v>18231.40223</v>
      </c>
    </row>
    <row r="154" spans="1:26" ht="12" customHeight="1" x14ac:dyDescent="0.25">
      <c r="A154" s="42">
        <v>2015</v>
      </c>
      <c r="B154" s="42" t="s">
        <v>7</v>
      </c>
      <c r="C154" s="43">
        <v>5797.6095599999999</v>
      </c>
      <c r="D154" s="43">
        <v>0</v>
      </c>
      <c r="E154" s="43">
        <v>0</v>
      </c>
      <c r="F154" s="43">
        <v>0</v>
      </c>
      <c r="G154" s="43">
        <v>0</v>
      </c>
      <c r="H154" s="43">
        <v>7533.0543900000002</v>
      </c>
      <c r="I154" s="43">
        <v>0</v>
      </c>
      <c r="J154" s="43">
        <v>2774.0759799999996</v>
      </c>
      <c r="K154" s="44">
        <v>16104.73993</v>
      </c>
      <c r="L154" s="60"/>
      <c r="M154" s="43">
        <v>2735.6298400000005</v>
      </c>
      <c r="N154" s="43">
        <v>3545.9757300000001</v>
      </c>
      <c r="O154" s="43">
        <v>831.79067000000009</v>
      </c>
      <c r="P154" s="43">
        <v>2297.5635300000004</v>
      </c>
      <c r="Q154" s="43">
        <v>908.51846</v>
      </c>
      <c r="R154" s="43"/>
      <c r="S154" s="43">
        <v>3952.6593300000004</v>
      </c>
      <c r="T154" s="44">
        <v>14272.137560000001</v>
      </c>
      <c r="U154" s="55"/>
      <c r="V154" s="43">
        <v>0</v>
      </c>
      <c r="W154" s="61"/>
      <c r="X154" s="44">
        <v>30376.877489999999</v>
      </c>
      <c r="Y154" s="62">
        <v>14272.137560000001</v>
      </c>
      <c r="Z154" s="62">
        <v>16104.73993</v>
      </c>
    </row>
    <row r="155" spans="1:26" ht="12" customHeight="1" x14ac:dyDescent="0.25">
      <c r="A155" s="42">
        <v>2015</v>
      </c>
      <c r="B155" s="42" t="s">
        <v>8</v>
      </c>
      <c r="C155" s="43">
        <v>5960.2507800000003</v>
      </c>
      <c r="D155" s="43">
        <v>0</v>
      </c>
      <c r="E155" s="43">
        <v>0</v>
      </c>
      <c r="F155" s="43">
        <v>0</v>
      </c>
      <c r="G155" s="43">
        <v>0</v>
      </c>
      <c r="H155" s="43">
        <v>6580.8459400000002</v>
      </c>
      <c r="I155" s="43">
        <v>0</v>
      </c>
      <c r="J155" s="43">
        <v>2211.2033799999999</v>
      </c>
      <c r="K155" s="44">
        <v>14752.300099999999</v>
      </c>
      <c r="L155" s="60"/>
      <c r="M155" s="43">
        <v>2587.46623</v>
      </c>
      <c r="N155" s="43">
        <v>1840.9461200000001</v>
      </c>
      <c r="O155" s="43">
        <v>849.27710999999999</v>
      </c>
      <c r="P155" s="43">
        <v>2738.40418</v>
      </c>
      <c r="Q155" s="43">
        <v>1718.4788500000002</v>
      </c>
      <c r="R155" s="43"/>
      <c r="S155" s="43">
        <v>2577.18878</v>
      </c>
      <c r="T155" s="44">
        <v>12311.761270000001</v>
      </c>
      <c r="U155" s="55"/>
      <c r="V155" s="43">
        <v>0</v>
      </c>
      <c r="W155" s="61"/>
      <c r="X155" s="44">
        <v>27064.061369999999</v>
      </c>
      <c r="Y155" s="62">
        <v>12311.761270000001</v>
      </c>
      <c r="Z155" s="62">
        <v>14752.300099999999</v>
      </c>
    </row>
    <row r="156" spans="1:26" ht="12" customHeight="1" x14ac:dyDescent="0.25">
      <c r="A156" s="42">
        <v>2015</v>
      </c>
      <c r="B156" s="42" t="s">
        <v>9</v>
      </c>
      <c r="C156" s="43">
        <v>6590.7867999999999</v>
      </c>
      <c r="D156" s="43">
        <v>0</v>
      </c>
      <c r="E156" s="43">
        <v>0</v>
      </c>
      <c r="F156" s="43">
        <v>0</v>
      </c>
      <c r="G156" s="43">
        <v>0</v>
      </c>
      <c r="H156" s="43">
        <v>9683.2775200000015</v>
      </c>
      <c r="I156" s="43">
        <v>0</v>
      </c>
      <c r="J156" s="43">
        <v>2727.0776500000002</v>
      </c>
      <c r="K156" s="44">
        <v>19001.141970000001</v>
      </c>
      <c r="L156" s="60"/>
      <c r="M156" s="43">
        <v>3374.4556600000001</v>
      </c>
      <c r="N156" s="43">
        <v>2901.6074800000001</v>
      </c>
      <c r="O156" s="43">
        <v>848.90979000000004</v>
      </c>
      <c r="P156" s="43">
        <v>2234.4006199999999</v>
      </c>
      <c r="Q156" s="43">
        <v>782.48954000000003</v>
      </c>
      <c r="R156" s="43"/>
      <c r="S156" s="43">
        <v>2677.12986</v>
      </c>
      <c r="T156" s="44">
        <v>12818.99295</v>
      </c>
      <c r="U156" s="55"/>
      <c r="V156" s="43">
        <v>0</v>
      </c>
      <c r="W156" s="61"/>
      <c r="X156" s="44">
        <v>31820.13492</v>
      </c>
      <c r="Y156" s="62">
        <v>12818.99295</v>
      </c>
      <c r="Z156" s="62">
        <v>19001.141970000001</v>
      </c>
    </row>
    <row r="157" spans="1:26" ht="12" customHeight="1" x14ac:dyDescent="0.25">
      <c r="A157" s="42">
        <v>2015</v>
      </c>
      <c r="B157" s="42" t="s">
        <v>10</v>
      </c>
      <c r="C157" s="43">
        <v>6928.1671500000002</v>
      </c>
      <c r="D157" s="43">
        <v>0</v>
      </c>
      <c r="E157" s="43">
        <v>0</v>
      </c>
      <c r="F157" s="43">
        <v>0</v>
      </c>
      <c r="G157" s="43">
        <v>0</v>
      </c>
      <c r="H157" s="43">
        <v>9520.1652600000016</v>
      </c>
      <c r="I157" s="43">
        <v>0</v>
      </c>
      <c r="J157" s="43">
        <v>2893.9222200000004</v>
      </c>
      <c r="K157" s="44">
        <v>19342.254630000003</v>
      </c>
      <c r="L157" s="60"/>
      <c r="M157" s="43">
        <v>926.30283999999995</v>
      </c>
      <c r="N157" s="43">
        <v>2760.2729599999998</v>
      </c>
      <c r="O157" s="43">
        <v>1809.4904700000002</v>
      </c>
      <c r="P157" s="43">
        <v>1733.7348100000002</v>
      </c>
      <c r="Q157" s="43">
        <v>880.57523000000003</v>
      </c>
      <c r="R157" s="43"/>
      <c r="S157" s="43">
        <v>3518.4842200000003</v>
      </c>
      <c r="T157" s="44">
        <v>11628.86053</v>
      </c>
      <c r="U157" s="55"/>
      <c r="V157" s="43">
        <v>0</v>
      </c>
      <c r="W157" s="61"/>
      <c r="X157" s="44">
        <v>30971.115160000001</v>
      </c>
      <c r="Y157" s="62">
        <v>11628.86053</v>
      </c>
      <c r="Z157" s="62">
        <v>19342.254630000003</v>
      </c>
    </row>
    <row r="158" spans="1:26" ht="12" customHeight="1" x14ac:dyDescent="0.25">
      <c r="A158" s="42">
        <v>2015</v>
      </c>
      <c r="B158" s="42" t="s">
        <v>11</v>
      </c>
      <c r="C158" s="43">
        <v>6400.0582300000005</v>
      </c>
      <c r="D158" s="43">
        <v>0</v>
      </c>
      <c r="E158" s="43">
        <v>0</v>
      </c>
      <c r="F158" s="43">
        <v>0</v>
      </c>
      <c r="G158" s="43">
        <v>0</v>
      </c>
      <c r="H158" s="43">
        <v>8352.5316500000008</v>
      </c>
      <c r="I158" s="43">
        <v>0</v>
      </c>
      <c r="J158" s="43">
        <v>2802.8237599999998</v>
      </c>
      <c r="K158" s="44">
        <v>17555.413640000002</v>
      </c>
      <c r="L158" s="60"/>
      <c r="M158" s="43">
        <v>3756.3946599999999</v>
      </c>
      <c r="N158" s="43">
        <v>1774.5231999999999</v>
      </c>
      <c r="O158" s="43">
        <v>898.97937000000002</v>
      </c>
      <c r="P158" s="43">
        <v>2675.7497100000001</v>
      </c>
      <c r="Q158" s="43">
        <v>1897.8124700000003</v>
      </c>
      <c r="R158" s="43"/>
      <c r="S158" s="43">
        <v>1912.1035900000002</v>
      </c>
      <c r="T158" s="44">
        <v>12915.563</v>
      </c>
      <c r="U158" s="55"/>
      <c r="V158" s="43">
        <v>0</v>
      </c>
      <c r="W158" s="61"/>
      <c r="X158" s="44">
        <v>30470.976640000001</v>
      </c>
      <c r="Y158" s="62">
        <v>12915.563</v>
      </c>
      <c r="Z158" s="62">
        <v>17555.413640000002</v>
      </c>
    </row>
    <row r="159" spans="1:26" ht="12" customHeight="1" x14ac:dyDescent="0.25">
      <c r="A159" s="42">
        <v>2015</v>
      </c>
      <c r="B159" s="42" t="s">
        <v>12</v>
      </c>
      <c r="C159" s="43">
        <v>7132.8995400000003</v>
      </c>
      <c r="D159" s="43">
        <v>0</v>
      </c>
      <c r="E159" s="43">
        <v>0</v>
      </c>
      <c r="F159" s="43">
        <v>0</v>
      </c>
      <c r="G159" s="43">
        <v>0</v>
      </c>
      <c r="H159" s="43">
        <v>9437.293459999999</v>
      </c>
      <c r="I159" s="43">
        <v>4.8509700000000002</v>
      </c>
      <c r="J159" s="43">
        <v>2252.1643199999999</v>
      </c>
      <c r="K159" s="44">
        <v>18827.208289999999</v>
      </c>
      <c r="L159" s="60"/>
      <c r="M159" s="43">
        <v>3344.3439900000003</v>
      </c>
      <c r="N159" s="43">
        <v>1912.7991299999999</v>
      </c>
      <c r="O159" s="43">
        <v>1742.2145700000001</v>
      </c>
      <c r="P159" s="43">
        <v>2314.1820500000003</v>
      </c>
      <c r="Q159" s="43">
        <v>927.10056000000009</v>
      </c>
      <c r="R159" s="43"/>
      <c r="S159" s="43">
        <v>793.60694999999998</v>
      </c>
      <c r="T159" s="44">
        <v>11034.24725</v>
      </c>
      <c r="U159" s="55"/>
      <c r="V159" s="43">
        <v>0</v>
      </c>
      <c r="W159" s="61"/>
      <c r="X159" s="44">
        <v>29861.455539999999</v>
      </c>
      <c r="Y159" s="62">
        <v>11034.24725</v>
      </c>
      <c r="Z159" s="62">
        <v>18827.208289999999</v>
      </c>
    </row>
    <row r="160" spans="1:26" ht="12" customHeight="1" x14ac:dyDescent="0.25">
      <c r="A160" s="42">
        <v>2015</v>
      </c>
      <c r="B160" s="42" t="s">
        <v>13</v>
      </c>
      <c r="C160" s="43">
        <v>7241.0875899999992</v>
      </c>
      <c r="D160" s="43">
        <v>0</v>
      </c>
      <c r="E160" s="43">
        <v>0</v>
      </c>
      <c r="F160" s="43">
        <v>0</v>
      </c>
      <c r="G160" s="43">
        <v>0</v>
      </c>
      <c r="H160" s="43">
        <v>8924.5278500000004</v>
      </c>
      <c r="I160" s="43">
        <v>0</v>
      </c>
      <c r="J160" s="43">
        <v>3381.9452200000001</v>
      </c>
      <c r="K160" s="44">
        <v>19547.560659999999</v>
      </c>
      <c r="L160" s="60"/>
      <c r="M160" s="43">
        <v>3626.6204799999996</v>
      </c>
      <c r="N160" s="43">
        <v>1817.3461800000002</v>
      </c>
      <c r="O160" s="43">
        <v>905.05903000000001</v>
      </c>
      <c r="P160" s="43">
        <v>3390.4578799999999</v>
      </c>
      <c r="Q160" s="43">
        <v>1774.48181</v>
      </c>
      <c r="R160" s="43"/>
      <c r="S160" s="43">
        <v>3486.4080899999999</v>
      </c>
      <c r="T160" s="44">
        <v>15000.373469999999</v>
      </c>
      <c r="U160" s="55"/>
      <c r="V160" s="43">
        <v>0</v>
      </c>
      <c r="W160" s="61"/>
      <c r="X160" s="44">
        <v>34547.934129999994</v>
      </c>
      <c r="Y160" s="62">
        <v>15000.373469999999</v>
      </c>
      <c r="Z160" s="62">
        <v>19547.560659999999</v>
      </c>
    </row>
    <row r="161" spans="1:26" ht="12" customHeight="1" x14ac:dyDescent="0.25">
      <c r="A161" s="42">
        <v>2015</v>
      </c>
      <c r="B161" s="42" t="s">
        <v>14</v>
      </c>
      <c r="C161" s="43">
        <v>8000.165579999999</v>
      </c>
      <c r="D161" s="43">
        <v>0</v>
      </c>
      <c r="E161" s="43">
        <v>0</v>
      </c>
      <c r="F161" s="43">
        <v>0</v>
      </c>
      <c r="G161" s="43">
        <v>0</v>
      </c>
      <c r="H161" s="43">
        <v>8849.1675500000001</v>
      </c>
      <c r="I161" s="43">
        <v>0</v>
      </c>
      <c r="J161" s="43">
        <v>4091.2787499999999</v>
      </c>
      <c r="K161" s="44">
        <v>20940.61188</v>
      </c>
      <c r="L161" s="60"/>
      <c r="M161" s="43">
        <v>4232.9038699999992</v>
      </c>
      <c r="N161" s="43">
        <v>854.82944999999995</v>
      </c>
      <c r="O161" s="43">
        <v>868.49284</v>
      </c>
      <c r="P161" s="43">
        <v>4118.0706499999997</v>
      </c>
      <c r="Q161" s="43">
        <v>904.76032999999995</v>
      </c>
      <c r="R161" s="43"/>
      <c r="S161" s="43">
        <v>1499.16723</v>
      </c>
      <c r="T161" s="44">
        <v>12478.22437</v>
      </c>
      <c r="U161" s="55"/>
      <c r="V161" s="43">
        <v>0</v>
      </c>
      <c r="W161" s="61"/>
      <c r="X161" s="44">
        <v>33418.83625</v>
      </c>
      <c r="Y161" s="62">
        <v>12478.22437</v>
      </c>
      <c r="Z161" s="62">
        <v>20940.61188</v>
      </c>
    </row>
    <row r="162" spans="1:26" ht="12" customHeight="1" x14ac:dyDescent="0.25">
      <c r="A162" s="42">
        <v>2015</v>
      </c>
      <c r="B162" s="42" t="s">
        <v>15</v>
      </c>
      <c r="C162" s="43">
        <v>76068.143620000003</v>
      </c>
      <c r="D162" s="43">
        <v>0</v>
      </c>
      <c r="E162" s="43">
        <v>0</v>
      </c>
      <c r="F162" s="43">
        <v>0</v>
      </c>
      <c r="G162" s="43">
        <v>0</v>
      </c>
      <c r="H162" s="43">
        <v>99277.857950000005</v>
      </c>
      <c r="I162" s="43">
        <v>4.8509700000000002</v>
      </c>
      <c r="J162" s="43">
        <v>36898.085979999996</v>
      </c>
      <c r="K162" s="44">
        <v>212248.93852</v>
      </c>
      <c r="L162" s="60"/>
      <c r="M162" s="43">
        <v>37859.727880000006</v>
      </c>
      <c r="N162" s="43">
        <v>22914.090680000001</v>
      </c>
      <c r="O162" s="43">
        <v>14109.661800000003</v>
      </c>
      <c r="P162" s="43">
        <v>33142.62947</v>
      </c>
      <c r="Q162" s="43">
        <v>16519.575980000001</v>
      </c>
      <c r="R162" s="43"/>
      <c r="S162" s="43">
        <v>27377.506450000004</v>
      </c>
      <c r="T162" s="44">
        <v>151923.19226000001</v>
      </c>
      <c r="U162" s="55"/>
      <c r="V162" s="43">
        <v>0</v>
      </c>
      <c r="W162" s="61"/>
      <c r="X162" s="44">
        <v>364172.13078000001</v>
      </c>
      <c r="Y162" s="62">
        <v>151923.19226000001</v>
      </c>
      <c r="Z162" s="62">
        <v>212248.93852</v>
      </c>
    </row>
    <row r="163" spans="1:26" ht="12" customHeight="1" x14ac:dyDescent="0.25">
      <c r="A163" s="42">
        <v>2016</v>
      </c>
      <c r="B163" s="42" t="s">
        <v>3</v>
      </c>
      <c r="C163" s="43">
        <v>6859.4012400000001</v>
      </c>
      <c r="D163" s="43">
        <v>0</v>
      </c>
      <c r="E163" s="43">
        <v>0</v>
      </c>
      <c r="F163" s="43">
        <v>0</v>
      </c>
      <c r="G163" s="43">
        <v>0</v>
      </c>
      <c r="H163" s="43">
        <v>8891.2592299999997</v>
      </c>
      <c r="I163" s="43">
        <v>0</v>
      </c>
      <c r="J163" s="43">
        <v>4382.0396800000008</v>
      </c>
      <c r="K163" s="44">
        <v>20132.700150000001</v>
      </c>
      <c r="L163" s="60"/>
      <c r="M163" s="43">
        <v>4238.3690699999997</v>
      </c>
      <c r="N163" s="43">
        <v>2197.2667900000001</v>
      </c>
      <c r="O163" s="43">
        <v>848.01792</v>
      </c>
      <c r="P163" s="43">
        <v>4301.8716399999994</v>
      </c>
      <c r="Q163" s="43">
        <v>1038.7305799999999</v>
      </c>
      <c r="R163" s="43"/>
      <c r="S163" s="43">
        <v>2558.42067</v>
      </c>
      <c r="T163" s="44">
        <v>15182.676669999999</v>
      </c>
      <c r="U163" s="55"/>
      <c r="V163" s="43">
        <v>0</v>
      </c>
      <c r="W163" s="61"/>
      <c r="X163" s="44">
        <v>35315.376819999998</v>
      </c>
      <c r="Y163" s="62">
        <v>15182.676669999999</v>
      </c>
      <c r="Z163" s="62">
        <v>20132.700150000001</v>
      </c>
    </row>
    <row r="164" spans="1:26" ht="12" customHeight="1" x14ac:dyDescent="0.25">
      <c r="A164" s="42">
        <v>2016</v>
      </c>
      <c r="B164" s="42" t="s">
        <v>4</v>
      </c>
      <c r="C164" s="43">
        <v>4946.3020500000011</v>
      </c>
      <c r="D164" s="43">
        <v>0</v>
      </c>
      <c r="E164" s="43">
        <v>0</v>
      </c>
      <c r="F164" s="43">
        <v>0</v>
      </c>
      <c r="G164" s="43">
        <v>0</v>
      </c>
      <c r="H164" s="43">
        <v>6713.1275400000004</v>
      </c>
      <c r="I164" s="43">
        <v>0</v>
      </c>
      <c r="J164" s="43">
        <v>3241.0898199999997</v>
      </c>
      <c r="K164" s="44">
        <v>14900.519410000001</v>
      </c>
      <c r="L164" s="60"/>
      <c r="M164" s="43">
        <v>2642.9149199999997</v>
      </c>
      <c r="N164" s="43">
        <v>841.20303000000001</v>
      </c>
      <c r="O164" s="43">
        <v>857.19308999999998</v>
      </c>
      <c r="P164" s="43">
        <v>2755.9547699999998</v>
      </c>
      <c r="Q164" s="43">
        <v>895.17466999999999</v>
      </c>
      <c r="R164" s="43"/>
      <c r="S164" s="43">
        <v>1892.40778</v>
      </c>
      <c r="T164" s="44">
        <v>9884.8482599999988</v>
      </c>
      <c r="U164" s="55"/>
      <c r="V164" s="43">
        <v>0.27785000000000004</v>
      </c>
      <c r="W164" s="61"/>
      <c r="X164" s="44">
        <v>24785.645519999998</v>
      </c>
      <c r="Y164" s="62">
        <v>9885.1261099999992</v>
      </c>
      <c r="Z164" s="62">
        <v>14900.519410000001</v>
      </c>
    </row>
    <row r="165" spans="1:26" ht="12" customHeight="1" x14ac:dyDescent="0.25">
      <c r="A165" s="42">
        <v>2016</v>
      </c>
      <c r="B165" s="42" t="s">
        <v>5</v>
      </c>
      <c r="C165" s="43">
        <v>4734.6964600000001</v>
      </c>
      <c r="D165" s="43">
        <v>0</v>
      </c>
      <c r="E165" s="43">
        <v>0</v>
      </c>
      <c r="F165" s="43">
        <v>0</v>
      </c>
      <c r="G165" s="43">
        <v>0</v>
      </c>
      <c r="H165" s="43">
        <v>5241.3685600000008</v>
      </c>
      <c r="I165" s="43">
        <v>0</v>
      </c>
      <c r="J165" s="43">
        <v>4161.0820000000003</v>
      </c>
      <c r="K165" s="44">
        <v>14137.147020000002</v>
      </c>
      <c r="L165" s="60"/>
      <c r="M165" s="43">
        <v>3212.0023699999997</v>
      </c>
      <c r="N165" s="43">
        <v>1786.6449399999999</v>
      </c>
      <c r="O165" s="43">
        <v>1102.1364100000001</v>
      </c>
      <c r="P165" s="43">
        <v>3606.2864900000004</v>
      </c>
      <c r="Q165" s="43">
        <v>1832.8895400000001</v>
      </c>
      <c r="R165" s="43"/>
      <c r="S165" s="43">
        <v>4164.5272300000006</v>
      </c>
      <c r="T165" s="44">
        <v>15704.486980000001</v>
      </c>
      <c r="U165" s="55"/>
      <c r="V165" s="43">
        <v>0.29424</v>
      </c>
      <c r="W165" s="61"/>
      <c r="X165" s="44">
        <v>29841.928240000005</v>
      </c>
      <c r="Y165" s="62">
        <v>15704.781220000001</v>
      </c>
      <c r="Z165" s="62">
        <v>14137.147020000002</v>
      </c>
    </row>
    <row r="166" spans="1:26" ht="12" customHeight="1" x14ac:dyDescent="0.25">
      <c r="A166" s="42">
        <v>2016</v>
      </c>
      <c r="B166" s="42" t="s">
        <v>6</v>
      </c>
      <c r="C166" s="43">
        <v>6508.8551400000006</v>
      </c>
      <c r="D166" s="43">
        <v>0</v>
      </c>
      <c r="E166" s="43">
        <v>0</v>
      </c>
      <c r="F166" s="43">
        <v>0</v>
      </c>
      <c r="G166" s="43">
        <v>0</v>
      </c>
      <c r="H166" s="43">
        <v>7625.56333</v>
      </c>
      <c r="I166" s="43">
        <v>0</v>
      </c>
      <c r="J166" s="43">
        <v>2721.3835900000004</v>
      </c>
      <c r="K166" s="44">
        <v>16855.802060000002</v>
      </c>
      <c r="L166" s="60"/>
      <c r="M166" s="43">
        <v>2704.8983200000002</v>
      </c>
      <c r="N166" s="43">
        <v>2043.4371899999999</v>
      </c>
      <c r="O166" s="43">
        <v>831.47786999999994</v>
      </c>
      <c r="P166" s="43">
        <v>1854.21774</v>
      </c>
      <c r="Q166" s="43">
        <v>898.39114000000006</v>
      </c>
      <c r="R166" s="43"/>
      <c r="S166" s="43">
        <v>3740.5013000000004</v>
      </c>
      <c r="T166" s="44">
        <v>12072.923559999999</v>
      </c>
      <c r="U166" s="55"/>
      <c r="V166" s="43">
        <v>0</v>
      </c>
      <c r="W166" s="61"/>
      <c r="X166" s="44">
        <v>28928.725620000001</v>
      </c>
      <c r="Y166" s="62">
        <v>12072.923559999999</v>
      </c>
      <c r="Z166" s="62">
        <v>16855.802060000002</v>
      </c>
    </row>
    <row r="167" spans="1:26" ht="12" customHeight="1" x14ac:dyDescent="0.25">
      <c r="A167" s="42">
        <v>2016</v>
      </c>
      <c r="B167" s="42" t="s">
        <v>7</v>
      </c>
      <c r="C167" s="43">
        <v>6304.1907299999993</v>
      </c>
      <c r="D167" s="43">
        <v>0</v>
      </c>
      <c r="E167" s="43">
        <v>0</v>
      </c>
      <c r="F167" s="43">
        <v>0</v>
      </c>
      <c r="G167" s="43">
        <v>0</v>
      </c>
      <c r="H167" s="43">
        <v>8108.4868100000003</v>
      </c>
      <c r="I167" s="43">
        <v>0</v>
      </c>
      <c r="J167" s="43">
        <v>2124.2887599999999</v>
      </c>
      <c r="K167" s="44">
        <v>16536.9663</v>
      </c>
      <c r="L167" s="60"/>
      <c r="M167" s="43">
        <v>3076.3321599999999</v>
      </c>
      <c r="N167" s="43">
        <v>908.01922999999999</v>
      </c>
      <c r="O167" s="43">
        <v>1150.8833999999999</v>
      </c>
      <c r="P167" s="43">
        <v>3817.2523300000003</v>
      </c>
      <c r="Q167" s="43">
        <v>929.34559000000002</v>
      </c>
      <c r="R167" s="43"/>
      <c r="S167" s="43">
        <v>1487.0300300000001</v>
      </c>
      <c r="T167" s="44">
        <v>11368.86274</v>
      </c>
      <c r="U167" s="55"/>
      <c r="V167" s="43">
        <v>0</v>
      </c>
      <c r="W167" s="61"/>
      <c r="X167" s="44">
        <v>27905.829040000001</v>
      </c>
      <c r="Y167" s="62">
        <v>11368.86274</v>
      </c>
      <c r="Z167" s="62">
        <v>16536.9663</v>
      </c>
    </row>
    <row r="168" spans="1:26" ht="12" customHeight="1" x14ac:dyDescent="0.25">
      <c r="A168" s="42">
        <v>2016</v>
      </c>
      <c r="B168" s="42" t="s">
        <v>8</v>
      </c>
      <c r="C168" s="43">
        <v>6510.26037</v>
      </c>
      <c r="D168" s="43">
        <v>0</v>
      </c>
      <c r="E168" s="43">
        <v>0</v>
      </c>
      <c r="F168" s="43">
        <v>0</v>
      </c>
      <c r="G168" s="43">
        <v>0</v>
      </c>
      <c r="H168" s="43">
        <v>8944.0403299999998</v>
      </c>
      <c r="I168" s="43">
        <v>0</v>
      </c>
      <c r="J168" s="43">
        <v>1902.4825099999998</v>
      </c>
      <c r="K168" s="44">
        <v>17356.783209999998</v>
      </c>
      <c r="L168" s="60"/>
      <c r="M168" s="43">
        <v>2815.18833</v>
      </c>
      <c r="N168" s="43">
        <v>944.65755000000001</v>
      </c>
      <c r="O168" s="43">
        <v>1991.1416399999998</v>
      </c>
      <c r="P168" s="43">
        <v>2806.6077</v>
      </c>
      <c r="Q168" s="43">
        <v>1763.3729900000001</v>
      </c>
      <c r="R168" s="43"/>
      <c r="S168" s="43">
        <v>2840.17875</v>
      </c>
      <c r="T168" s="44">
        <v>13161.146959999998</v>
      </c>
      <c r="U168" s="55"/>
      <c r="V168" s="43">
        <v>0</v>
      </c>
      <c r="W168" s="61"/>
      <c r="X168" s="44">
        <v>30517.930169999996</v>
      </c>
      <c r="Y168" s="62">
        <v>13161.146959999998</v>
      </c>
      <c r="Z168" s="62">
        <v>17356.783209999998</v>
      </c>
    </row>
    <row r="169" spans="1:26" ht="12" customHeight="1" x14ac:dyDescent="0.25">
      <c r="A169" s="42">
        <v>2016</v>
      </c>
      <c r="B169" s="42" t="s">
        <v>9</v>
      </c>
      <c r="C169" s="43">
        <v>6752.8236799999995</v>
      </c>
      <c r="D169" s="43">
        <v>0</v>
      </c>
      <c r="E169" s="43">
        <v>0</v>
      </c>
      <c r="F169" s="43">
        <v>0</v>
      </c>
      <c r="G169" s="43">
        <v>0</v>
      </c>
      <c r="H169" s="43">
        <v>9113.4638400000003</v>
      </c>
      <c r="I169" s="43">
        <v>0</v>
      </c>
      <c r="J169" s="43">
        <v>2251.35392</v>
      </c>
      <c r="K169" s="44">
        <v>18117.641439999999</v>
      </c>
      <c r="L169" s="60"/>
      <c r="M169" s="43">
        <v>4655.6548499999999</v>
      </c>
      <c r="N169" s="43">
        <v>1019.9600899999999</v>
      </c>
      <c r="O169" s="43">
        <v>0</v>
      </c>
      <c r="P169" s="43">
        <v>2785.4868799999999</v>
      </c>
      <c r="Q169" s="43">
        <v>845.54129</v>
      </c>
      <c r="R169" s="43"/>
      <c r="S169" s="43">
        <v>1874.5951200000002</v>
      </c>
      <c r="T169" s="44">
        <v>11181.238229999999</v>
      </c>
      <c r="U169" s="55"/>
      <c r="V169" s="43">
        <v>0</v>
      </c>
      <c r="W169" s="61"/>
      <c r="X169" s="44">
        <v>29298.879669999998</v>
      </c>
      <c r="Y169" s="62">
        <v>11181.238229999999</v>
      </c>
      <c r="Z169" s="62">
        <v>18117.641439999999</v>
      </c>
    </row>
    <row r="170" spans="1:26" ht="12" customHeight="1" x14ac:dyDescent="0.25">
      <c r="A170" s="42">
        <v>2016</v>
      </c>
      <c r="B170" s="42" t="s">
        <v>10</v>
      </c>
      <c r="C170" s="43">
        <v>6946.4675300000008</v>
      </c>
      <c r="D170" s="43">
        <v>0</v>
      </c>
      <c r="E170" s="43">
        <v>0</v>
      </c>
      <c r="F170" s="43">
        <v>0</v>
      </c>
      <c r="G170" s="43">
        <v>0</v>
      </c>
      <c r="H170" s="43">
        <v>9293.4226200000012</v>
      </c>
      <c r="I170" s="43">
        <v>0</v>
      </c>
      <c r="J170" s="43">
        <v>2600.2562699999994</v>
      </c>
      <c r="K170" s="44">
        <v>18840.146420000001</v>
      </c>
      <c r="L170" s="60"/>
      <c r="M170" s="43">
        <v>0</v>
      </c>
      <c r="N170" s="43">
        <v>1037.09789</v>
      </c>
      <c r="O170" s="43">
        <v>0</v>
      </c>
      <c r="P170" s="43">
        <v>3138.8776000000003</v>
      </c>
      <c r="Q170" s="43">
        <v>944.40714000000003</v>
      </c>
      <c r="R170" s="43"/>
      <c r="S170" s="43">
        <v>2353.82249</v>
      </c>
      <c r="T170" s="44">
        <v>7474.2051200000005</v>
      </c>
      <c r="U170" s="55"/>
      <c r="V170" s="43">
        <v>0</v>
      </c>
      <c r="W170" s="61"/>
      <c r="X170" s="44">
        <v>26314.351540000003</v>
      </c>
      <c r="Y170" s="62">
        <v>7474.2051200000005</v>
      </c>
      <c r="Z170" s="62">
        <v>18840.146420000001</v>
      </c>
    </row>
    <row r="171" spans="1:26" ht="12" customHeight="1" x14ac:dyDescent="0.25">
      <c r="A171" s="42">
        <v>2016</v>
      </c>
      <c r="B171" s="42" t="s">
        <v>11</v>
      </c>
      <c r="C171" s="43">
        <v>5039.3468000000012</v>
      </c>
      <c r="D171" s="43">
        <v>0</v>
      </c>
      <c r="E171" s="43">
        <v>0</v>
      </c>
      <c r="F171" s="43">
        <v>0</v>
      </c>
      <c r="G171" s="43">
        <v>0</v>
      </c>
      <c r="H171" s="43">
        <v>9000.3244600000016</v>
      </c>
      <c r="I171" s="43">
        <v>0</v>
      </c>
      <c r="J171" s="43">
        <v>3305.4574900000002</v>
      </c>
      <c r="K171" s="44">
        <v>17345.128750000003</v>
      </c>
      <c r="L171" s="60"/>
      <c r="M171" s="43">
        <v>2788.92202</v>
      </c>
      <c r="N171" s="43">
        <v>1580.81549</v>
      </c>
      <c r="O171" s="43">
        <v>877.98595999999998</v>
      </c>
      <c r="P171" s="43">
        <v>2963.7398700000003</v>
      </c>
      <c r="Q171" s="43">
        <v>878.66539999999998</v>
      </c>
      <c r="R171" s="43"/>
      <c r="S171" s="43">
        <v>2338.5528999999997</v>
      </c>
      <c r="T171" s="44">
        <v>11428.681639999999</v>
      </c>
      <c r="U171" s="55"/>
      <c r="V171" s="43">
        <v>0</v>
      </c>
      <c r="W171" s="61"/>
      <c r="X171" s="44">
        <v>28773.810390000002</v>
      </c>
      <c r="Y171" s="62">
        <v>11428.681639999999</v>
      </c>
      <c r="Z171" s="62">
        <v>17345.128750000003</v>
      </c>
    </row>
    <row r="172" spans="1:26" ht="12" customHeight="1" x14ac:dyDescent="0.25">
      <c r="A172" s="42">
        <v>2016</v>
      </c>
      <c r="B172" s="42" t="s">
        <v>12</v>
      </c>
      <c r="C172" s="43">
        <v>6779.3415999999997</v>
      </c>
      <c r="D172" s="43">
        <v>0</v>
      </c>
      <c r="E172" s="43">
        <v>0</v>
      </c>
      <c r="F172" s="43">
        <v>0</v>
      </c>
      <c r="G172" s="43">
        <v>0</v>
      </c>
      <c r="H172" s="43">
        <v>7214.2997200000009</v>
      </c>
      <c r="I172" s="43">
        <v>0</v>
      </c>
      <c r="J172" s="43">
        <v>3503.4820100000002</v>
      </c>
      <c r="K172" s="44">
        <v>17497.123330000002</v>
      </c>
      <c r="L172" s="60"/>
      <c r="M172" s="43">
        <v>2803.9808199999998</v>
      </c>
      <c r="N172" s="43">
        <v>906.88668999999993</v>
      </c>
      <c r="O172" s="43">
        <v>0</v>
      </c>
      <c r="P172" s="43">
        <v>3714.9169999999999</v>
      </c>
      <c r="Q172" s="43">
        <v>961.38075000000003</v>
      </c>
      <c r="R172" s="43"/>
      <c r="S172" s="43">
        <v>3355.4122000000002</v>
      </c>
      <c r="T172" s="44">
        <v>11742.57746</v>
      </c>
      <c r="U172" s="55"/>
      <c r="V172" s="43">
        <v>0</v>
      </c>
      <c r="W172" s="61"/>
      <c r="X172" s="44">
        <v>29239.700790000003</v>
      </c>
      <c r="Y172" s="62">
        <v>11742.57746</v>
      </c>
      <c r="Z172" s="62">
        <v>17497.123330000002</v>
      </c>
    </row>
    <row r="173" spans="1:26" ht="12" customHeight="1" x14ac:dyDescent="0.25">
      <c r="A173" s="42">
        <v>2016</v>
      </c>
      <c r="B173" s="42" t="s">
        <v>13</v>
      </c>
      <c r="C173" s="43">
        <v>7145.5742099999998</v>
      </c>
      <c r="D173" s="43">
        <v>0</v>
      </c>
      <c r="E173" s="43">
        <v>0</v>
      </c>
      <c r="F173" s="43">
        <v>0</v>
      </c>
      <c r="G173" s="43">
        <v>0</v>
      </c>
      <c r="H173" s="43">
        <v>9138.224259999999</v>
      </c>
      <c r="I173" s="43">
        <v>0</v>
      </c>
      <c r="J173" s="43">
        <v>3244.2225099999996</v>
      </c>
      <c r="K173" s="44">
        <v>19528.020979999998</v>
      </c>
      <c r="L173" s="60"/>
      <c r="M173" s="43">
        <v>3868.5825199999999</v>
      </c>
      <c r="N173" s="43">
        <v>1985.35023</v>
      </c>
      <c r="O173" s="43">
        <v>924.15582999999992</v>
      </c>
      <c r="P173" s="43">
        <v>3365.7350699999993</v>
      </c>
      <c r="Q173" s="43">
        <v>840.32745</v>
      </c>
      <c r="R173" s="43"/>
      <c r="S173" s="43">
        <v>2865.5201500000003</v>
      </c>
      <c r="T173" s="44">
        <v>13849.671249999999</v>
      </c>
      <c r="U173" s="55"/>
      <c r="V173" s="43">
        <v>0</v>
      </c>
      <c r="W173" s="61"/>
      <c r="X173" s="44">
        <v>33377.692230000001</v>
      </c>
      <c r="Y173" s="62">
        <v>13849.671249999999</v>
      </c>
      <c r="Z173" s="62">
        <v>19528.020979999998</v>
      </c>
    </row>
    <row r="174" spans="1:26" ht="12" customHeight="1" x14ac:dyDescent="0.25">
      <c r="A174" s="42">
        <v>2016</v>
      </c>
      <c r="B174" s="42" t="s">
        <v>14</v>
      </c>
      <c r="C174" s="43">
        <v>7092.8700400000007</v>
      </c>
      <c r="D174" s="43">
        <v>0</v>
      </c>
      <c r="E174" s="43">
        <v>0</v>
      </c>
      <c r="F174" s="43">
        <v>0</v>
      </c>
      <c r="G174" s="43">
        <v>0</v>
      </c>
      <c r="H174" s="43">
        <v>8634.9704099999999</v>
      </c>
      <c r="I174" s="43">
        <v>8</v>
      </c>
      <c r="J174" s="43">
        <v>4128.3248199999998</v>
      </c>
      <c r="K174" s="44">
        <v>19864.165270000001</v>
      </c>
      <c r="L174" s="60"/>
      <c r="M174" s="43">
        <v>3215.1308300000001</v>
      </c>
      <c r="N174" s="43">
        <v>2754.35088</v>
      </c>
      <c r="O174" s="43">
        <v>2545.8337499999998</v>
      </c>
      <c r="P174" s="43">
        <v>4609.1714599999996</v>
      </c>
      <c r="Q174" s="43">
        <v>1835.4814300000003</v>
      </c>
      <c r="R174" s="43"/>
      <c r="S174" s="43">
        <v>5201.1451900000002</v>
      </c>
      <c r="T174" s="44">
        <v>20161.113539999998</v>
      </c>
      <c r="U174" s="55"/>
      <c r="V174" s="43">
        <v>0</v>
      </c>
      <c r="W174" s="61"/>
      <c r="X174" s="44">
        <v>40025.278810000003</v>
      </c>
      <c r="Y174" s="62">
        <v>20161.113539999998</v>
      </c>
      <c r="Z174" s="62">
        <v>19864.165270000001</v>
      </c>
    </row>
    <row r="175" spans="1:26" ht="12" customHeight="1" x14ac:dyDescent="0.25">
      <c r="A175" s="42">
        <v>2016</v>
      </c>
      <c r="B175" s="42" t="s">
        <v>15</v>
      </c>
      <c r="C175" s="43">
        <v>75620.129849999998</v>
      </c>
      <c r="D175" s="43">
        <v>0</v>
      </c>
      <c r="E175" s="43">
        <v>0</v>
      </c>
      <c r="F175" s="43">
        <v>0</v>
      </c>
      <c r="G175" s="43">
        <v>0</v>
      </c>
      <c r="H175" s="43">
        <v>97918.551109999986</v>
      </c>
      <c r="I175" s="43">
        <v>8</v>
      </c>
      <c r="J175" s="43">
        <v>37565.463380000001</v>
      </c>
      <c r="K175" s="44">
        <v>211112.14434</v>
      </c>
      <c r="L175" s="60"/>
      <c r="M175" s="43">
        <v>36021.976210000001</v>
      </c>
      <c r="N175" s="43">
        <v>18005.690000000002</v>
      </c>
      <c r="O175" s="43">
        <v>11128.825869999999</v>
      </c>
      <c r="P175" s="43">
        <v>39720.118549999999</v>
      </c>
      <c r="Q175" s="43">
        <v>13663.707969999999</v>
      </c>
      <c r="R175" s="43"/>
      <c r="S175" s="43">
        <v>34672.113810000003</v>
      </c>
      <c r="T175" s="44">
        <v>153212.43240999998</v>
      </c>
      <c r="U175" s="55"/>
      <c r="V175" s="43">
        <v>0.57208999999999999</v>
      </c>
      <c r="W175" s="61"/>
      <c r="X175" s="44">
        <v>364325.14883999998</v>
      </c>
      <c r="Y175" s="62">
        <v>153213.00449999998</v>
      </c>
      <c r="Z175" s="62">
        <v>211112.14434</v>
      </c>
    </row>
    <row r="176" spans="1:26" ht="12" customHeight="1" x14ac:dyDescent="0.25">
      <c r="A176" s="42">
        <v>2017</v>
      </c>
      <c r="B176" s="42" t="s">
        <v>3</v>
      </c>
      <c r="C176" s="43">
        <v>8044.6455599999999</v>
      </c>
      <c r="D176" s="43">
        <v>0</v>
      </c>
      <c r="E176" s="43">
        <v>0</v>
      </c>
      <c r="F176" s="43">
        <v>0</v>
      </c>
      <c r="G176" s="43">
        <v>0</v>
      </c>
      <c r="H176" s="43">
        <v>8763.6995299999999</v>
      </c>
      <c r="I176" s="43">
        <v>0</v>
      </c>
      <c r="J176" s="43">
        <v>4598.1381199999987</v>
      </c>
      <c r="K176" s="44">
        <v>21406.483209999999</v>
      </c>
      <c r="L176" s="60"/>
      <c r="M176" s="43">
        <v>2337.2712300000003</v>
      </c>
      <c r="N176" s="43">
        <v>2673.3841999999995</v>
      </c>
      <c r="O176" s="43">
        <v>1072.7826100000002</v>
      </c>
      <c r="P176" s="43">
        <v>4663.11654</v>
      </c>
      <c r="Q176" s="43">
        <v>930.76652000000001</v>
      </c>
      <c r="R176" s="43"/>
      <c r="S176" s="43">
        <v>2773.5365299999999</v>
      </c>
      <c r="T176" s="44">
        <v>14450.857629999999</v>
      </c>
      <c r="U176" s="55"/>
      <c r="V176" s="43">
        <v>4.9801000000000002</v>
      </c>
      <c r="W176" s="61"/>
      <c r="X176" s="44">
        <v>35862.320939999998</v>
      </c>
      <c r="Y176" s="62">
        <v>14455.837729999999</v>
      </c>
      <c r="Z176" s="62">
        <v>21406.483209999999</v>
      </c>
    </row>
    <row r="177" spans="1:26" ht="12" customHeight="1" x14ac:dyDescent="0.25">
      <c r="A177" s="42">
        <v>2017</v>
      </c>
      <c r="B177" s="42" t="s">
        <v>4</v>
      </c>
      <c r="C177" s="43">
        <v>7192.9177300000001</v>
      </c>
      <c r="D177" s="43">
        <v>0</v>
      </c>
      <c r="E177" s="43">
        <v>0</v>
      </c>
      <c r="F177" s="43">
        <v>0</v>
      </c>
      <c r="G177" s="43">
        <v>0</v>
      </c>
      <c r="H177" s="43">
        <v>8519.9371599999995</v>
      </c>
      <c r="I177" s="43">
        <v>14.858690000000001</v>
      </c>
      <c r="J177" s="43">
        <v>2962.3812399999997</v>
      </c>
      <c r="K177" s="44">
        <v>18690.094819999998</v>
      </c>
      <c r="L177" s="60"/>
      <c r="M177" s="43">
        <v>5650.0558200000005</v>
      </c>
      <c r="N177" s="43">
        <v>2793.1916900000001</v>
      </c>
      <c r="O177" s="43">
        <v>1383.8891699999999</v>
      </c>
      <c r="P177" s="43">
        <v>5006.7253600000004</v>
      </c>
      <c r="Q177" s="43">
        <v>885.60917000000006</v>
      </c>
      <c r="R177" s="43"/>
      <c r="S177" s="43">
        <v>5226.8382000000001</v>
      </c>
      <c r="T177" s="44">
        <v>20946.309410000002</v>
      </c>
      <c r="U177" s="55"/>
      <c r="V177" s="43">
        <v>0.63037999999999994</v>
      </c>
      <c r="W177" s="61"/>
      <c r="X177" s="44">
        <v>39637.034610000002</v>
      </c>
      <c r="Y177" s="62">
        <v>20946.93979</v>
      </c>
      <c r="Z177" s="62">
        <v>18690.094819999998</v>
      </c>
    </row>
    <row r="178" spans="1:26" ht="12" customHeight="1" x14ac:dyDescent="0.25">
      <c r="A178" s="42">
        <v>2017</v>
      </c>
      <c r="B178" s="42" t="s">
        <v>5</v>
      </c>
      <c r="C178" s="43">
        <v>7639.4591800000007</v>
      </c>
      <c r="D178" s="43">
        <v>0</v>
      </c>
      <c r="E178" s="43">
        <v>0</v>
      </c>
      <c r="F178" s="43">
        <v>0</v>
      </c>
      <c r="G178" s="43">
        <v>0</v>
      </c>
      <c r="H178" s="43">
        <v>7846.0306100000007</v>
      </c>
      <c r="I178" s="43">
        <v>0</v>
      </c>
      <c r="J178" s="43">
        <v>1989.3430099999998</v>
      </c>
      <c r="K178" s="44">
        <v>17474.832800000004</v>
      </c>
      <c r="L178" s="60"/>
      <c r="M178" s="43">
        <v>3723.1443599999998</v>
      </c>
      <c r="N178" s="43">
        <v>909.65368000000001</v>
      </c>
      <c r="O178" s="43">
        <v>0</v>
      </c>
      <c r="P178" s="43">
        <v>2766.4113700000003</v>
      </c>
      <c r="Q178" s="43">
        <v>1151.05096</v>
      </c>
      <c r="R178" s="43"/>
      <c r="S178" s="43">
        <v>1921.77044</v>
      </c>
      <c r="T178" s="44">
        <v>10472.03081</v>
      </c>
      <c r="U178" s="55"/>
      <c r="V178" s="43">
        <v>0</v>
      </c>
      <c r="W178" s="61"/>
      <c r="X178" s="44">
        <v>27946.863610000004</v>
      </c>
      <c r="Y178" s="62">
        <v>10472.03081</v>
      </c>
      <c r="Z178" s="62">
        <v>17474.832800000004</v>
      </c>
    </row>
    <row r="179" spans="1:26" ht="12" customHeight="1" x14ac:dyDescent="0.25">
      <c r="A179" s="42">
        <v>2017</v>
      </c>
      <c r="B179" s="42" t="s">
        <v>6</v>
      </c>
      <c r="C179" s="43">
        <v>6130.6818700000003</v>
      </c>
      <c r="D179" s="43">
        <v>0</v>
      </c>
      <c r="E179" s="43">
        <v>0</v>
      </c>
      <c r="F179" s="43">
        <v>0</v>
      </c>
      <c r="G179" s="43">
        <v>0</v>
      </c>
      <c r="H179" s="43">
        <v>6136.5772000000006</v>
      </c>
      <c r="I179" s="43">
        <v>0</v>
      </c>
      <c r="J179" s="43">
        <v>3194.5603900000001</v>
      </c>
      <c r="K179" s="44">
        <v>15461.819460000001</v>
      </c>
      <c r="L179" s="60"/>
      <c r="M179" s="43">
        <v>4808.0199199999997</v>
      </c>
      <c r="N179" s="43">
        <v>2664.0588700000003</v>
      </c>
      <c r="O179" s="43">
        <v>0</v>
      </c>
      <c r="P179" s="43">
        <v>1447.1799900000001</v>
      </c>
      <c r="Q179" s="43">
        <v>967.85844999999995</v>
      </c>
      <c r="R179" s="43"/>
      <c r="S179" s="43">
        <v>495.71151000000003</v>
      </c>
      <c r="T179" s="44">
        <v>10382.828739999999</v>
      </c>
      <c r="U179" s="55"/>
      <c r="V179" s="43">
        <v>0</v>
      </c>
      <c r="W179" s="61"/>
      <c r="X179" s="44">
        <v>25844.6482</v>
      </c>
      <c r="Y179" s="62">
        <v>10382.828739999999</v>
      </c>
      <c r="Z179" s="62">
        <v>15461.819460000001</v>
      </c>
    </row>
    <row r="180" spans="1:26" ht="12" customHeight="1" x14ac:dyDescent="0.25">
      <c r="A180" s="42">
        <v>2017</v>
      </c>
      <c r="B180" s="42" t="s">
        <v>7</v>
      </c>
      <c r="C180" s="43">
        <v>5867.4054599999999</v>
      </c>
      <c r="D180" s="43">
        <v>0</v>
      </c>
      <c r="E180" s="43">
        <v>0</v>
      </c>
      <c r="F180" s="43">
        <v>0</v>
      </c>
      <c r="G180" s="43">
        <v>0</v>
      </c>
      <c r="H180" s="43">
        <v>6523.53514</v>
      </c>
      <c r="I180" s="43">
        <v>0</v>
      </c>
      <c r="J180" s="43">
        <v>3903.8740900000003</v>
      </c>
      <c r="K180" s="44">
        <v>16294.814690000001</v>
      </c>
      <c r="L180" s="60"/>
      <c r="M180" s="43">
        <v>5236.5885799999996</v>
      </c>
      <c r="N180" s="43">
        <v>1863.8981800000001</v>
      </c>
      <c r="O180" s="43">
        <v>858.82704000000001</v>
      </c>
      <c r="P180" s="43">
        <v>3692.5131300000003</v>
      </c>
      <c r="Q180" s="43">
        <v>0</v>
      </c>
      <c r="R180" s="43"/>
      <c r="S180" s="43">
        <v>1442.5215000000001</v>
      </c>
      <c r="T180" s="44">
        <v>13094.34843</v>
      </c>
      <c r="U180" s="55"/>
      <c r="V180" s="43">
        <v>0</v>
      </c>
      <c r="W180" s="61"/>
      <c r="X180" s="44">
        <v>29389.163120000001</v>
      </c>
      <c r="Y180" s="62">
        <v>13094.34843</v>
      </c>
      <c r="Z180" s="62">
        <v>16294.814690000001</v>
      </c>
    </row>
    <row r="181" spans="1:26" ht="12" customHeight="1" x14ac:dyDescent="0.25">
      <c r="A181" s="42">
        <v>2017</v>
      </c>
      <c r="B181" s="42" t="s">
        <v>8</v>
      </c>
      <c r="C181" s="43">
        <v>5460.6459299999997</v>
      </c>
      <c r="D181" s="43">
        <v>0</v>
      </c>
      <c r="E181" s="43">
        <v>0</v>
      </c>
      <c r="F181" s="43">
        <v>0</v>
      </c>
      <c r="G181" s="43">
        <v>0</v>
      </c>
      <c r="H181" s="43">
        <v>4728.3644599999998</v>
      </c>
      <c r="I181" s="43">
        <v>0</v>
      </c>
      <c r="J181" s="43">
        <v>4122.8991900000001</v>
      </c>
      <c r="K181" s="44">
        <v>14311.909580000001</v>
      </c>
      <c r="L181" s="60"/>
      <c r="M181" s="43">
        <v>4376.75893</v>
      </c>
      <c r="N181" s="43">
        <v>1797.1569999999999</v>
      </c>
      <c r="O181" s="43">
        <v>955.51567</v>
      </c>
      <c r="P181" s="43">
        <v>4223.9919700000009</v>
      </c>
      <c r="Q181" s="43">
        <v>1873.8041799999999</v>
      </c>
      <c r="R181" s="43"/>
      <c r="S181" s="43">
        <v>1830.29485</v>
      </c>
      <c r="T181" s="44">
        <v>15057.5226</v>
      </c>
      <c r="U181" s="55"/>
      <c r="V181" s="43">
        <v>0</v>
      </c>
      <c r="W181" s="61"/>
      <c r="X181" s="44">
        <v>29369.432180000003</v>
      </c>
      <c r="Y181" s="62">
        <v>15057.5226</v>
      </c>
      <c r="Z181" s="62">
        <v>14311.909580000001</v>
      </c>
    </row>
    <row r="182" spans="1:26" ht="12" customHeight="1" x14ac:dyDescent="0.25">
      <c r="A182" s="42">
        <v>2017</v>
      </c>
      <c r="B182" s="42" t="s">
        <v>9</v>
      </c>
      <c r="C182" s="43">
        <v>4776.1754900000005</v>
      </c>
      <c r="D182" s="43">
        <v>0</v>
      </c>
      <c r="E182" s="43">
        <v>0</v>
      </c>
      <c r="F182" s="43">
        <v>0</v>
      </c>
      <c r="G182" s="43">
        <v>0</v>
      </c>
      <c r="H182" s="43">
        <v>4827.0322400000005</v>
      </c>
      <c r="I182" s="43">
        <v>0</v>
      </c>
      <c r="J182" s="43">
        <v>4437.1844599999995</v>
      </c>
      <c r="K182" s="44">
        <v>14040.39219</v>
      </c>
      <c r="L182" s="60"/>
      <c r="M182" s="43">
        <v>6535.8707999999997</v>
      </c>
      <c r="N182" s="43">
        <v>3747.88589</v>
      </c>
      <c r="O182" s="43">
        <v>66.264020000000002</v>
      </c>
      <c r="P182" s="43">
        <v>3465.4744299999998</v>
      </c>
      <c r="Q182" s="43">
        <v>0</v>
      </c>
      <c r="R182" s="43"/>
      <c r="S182" s="43">
        <v>1808.5449500000002</v>
      </c>
      <c r="T182" s="44">
        <v>15624.04009</v>
      </c>
      <c r="U182" s="55"/>
      <c r="V182" s="43">
        <v>0</v>
      </c>
      <c r="W182" s="61"/>
      <c r="X182" s="44">
        <v>29664.432280000001</v>
      </c>
      <c r="Y182" s="62">
        <v>15624.04009</v>
      </c>
      <c r="Z182" s="62">
        <v>14040.39219</v>
      </c>
    </row>
    <row r="183" spans="1:26" ht="12" customHeight="1" x14ac:dyDescent="0.25">
      <c r="A183" s="42">
        <v>2017</v>
      </c>
      <c r="B183" s="42" t="s">
        <v>10</v>
      </c>
      <c r="C183" s="43">
        <v>4278.2321300000003</v>
      </c>
      <c r="D183" s="43">
        <v>0</v>
      </c>
      <c r="E183" s="43">
        <v>0</v>
      </c>
      <c r="F183" s="43">
        <v>0</v>
      </c>
      <c r="G183" s="43">
        <v>0</v>
      </c>
      <c r="H183" s="43">
        <v>3719.8407000000002</v>
      </c>
      <c r="I183" s="43">
        <v>0</v>
      </c>
      <c r="J183" s="43">
        <v>4417.3236699999998</v>
      </c>
      <c r="K183" s="44">
        <v>12415.396499999999</v>
      </c>
      <c r="L183" s="60"/>
      <c r="M183" s="43">
        <v>7346.7107100000003</v>
      </c>
      <c r="N183" s="43">
        <v>3759.3076199999996</v>
      </c>
      <c r="O183" s="43">
        <v>940.71460000000002</v>
      </c>
      <c r="P183" s="43">
        <v>3864.9580599999999</v>
      </c>
      <c r="Q183" s="43">
        <v>862.10222999999996</v>
      </c>
      <c r="R183" s="43"/>
      <c r="S183" s="43">
        <v>2382.4772599999997</v>
      </c>
      <c r="T183" s="44">
        <v>19156.270479999999</v>
      </c>
      <c r="U183" s="55"/>
      <c r="V183" s="43">
        <v>0</v>
      </c>
      <c r="W183" s="61"/>
      <c r="X183" s="44">
        <v>31571.666979999998</v>
      </c>
      <c r="Y183" s="62">
        <v>19156.270479999999</v>
      </c>
      <c r="Z183" s="62">
        <v>12415.396499999999</v>
      </c>
    </row>
    <row r="184" spans="1:26" ht="12" customHeight="1" x14ac:dyDescent="0.25">
      <c r="A184" s="42">
        <v>2017</v>
      </c>
      <c r="B184" s="42" t="s">
        <v>11</v>
      </c>
      <c r="C184" s="43">
        <v>4695.28766</v>
      </c>
      <c r="D184" s="43">
        <v>0</v>
      </c>
      <c r="E184" s="43">
        <v>0</v>
      </c>
      <c r="F184" s="43">
        <v>0</v>
      </c>
      <c r="G184" s="43">
        <v>0</v>
      </c>
      <c r="H184" s="43">
        <v>6725.2757000000001</v>
      </c>
      <c r="I184" s="43">
        <v>0</v>
      </c>
      <c r="J184" s="43">
        <v>3574.7778999999996</v>
      </c>
      <c r="K184" s="44">
        <v>14995.341260000001</v>
      </c>
      <c r="L184" s="60"/>
      <c r="M184" s="43">
        <v>3815.4798800000003</v>
      </c>
      <c r="N184" s="43">
        <v>976.44100000000003</v>
      </c>
      <c r="O184" s="43">
        <v>867.66813000000002</v>
      </c>
      <c r="P184" s="43">
        <v>4367.6947900000005</v>
      </c>
      <c r="Q184" s="43">
        <v>1091.9657099999999</v>
      </c>
      <c r="R184" s="43"/>
      <c r="S184" s="43">
        <v>877.77522999999997</v>
      </c>
      <c r="T184" s="44">
        <v>11997.024740000001</v>
      </c>
      <c r="U184" s="55"/>
      <c r="V184" s="43">
        <v>0</v>
      </c>
      <c r="W184" s="61"/>
      <c r="X184" s="44">
        <v>26992.366000000002</v>
      </c>
      <c r="Y184" s="62">
        <v>11997.024740000001</v>
      </c>
      <c r="Z184" s="62">
        <v>14995.341260000001</v>
      </c>
    </row>
    <row r="185" spans="1:26" ht="12" customHeight="1" x14ac:dyDescent="0.25">
      <c r="A185" s="42">
        <v>2017</v>
      </c>
      <c r="B185" s="42" t="s">
        <v>12</v>
      </c>
      <c r="C185" s="43">
        <v>6818.2913099999996</v>
      </c>
      <c r="D185" s="43">
        <v>0</v>
      </c>
      <c r="E185" s="43">
        <v>0</v>
      </c>
      <c r="F185" s="43">
        <v>0</v>
      </c>
      <c r="G185" s="43">
        <v>0</v>
      </c>
      <c r="H185" s="43">
        <v>9662.3072400000001</v>
      </c>
      <c r="I185" s="43">
        <v>0</v>
      </c>
      <c r="J185" s="43">
        <v>4210.3667799999994</v>
      </c>
      <c r="K185" s="44">
        <v>20690.965330000003</v>
      </c>
      <c r="L185" s="60"/>
      <c r="M185" s="43">
        <v>5562.5307100000009</v>
      </c>
      <c r="N185" s="43">
        <v>3704.79313</v>
      </c>
      <c r="O185" s="43">
        <v>1819.4702000000002</v>
      </c>
      <c r="P185" s="43">
        <v>5059.7137899999998</v>
      </c>
      <c r="Q185" s="43">
        <v>937.52124000000003</v>
      </c>
      <c r="R185" s="43"/>
      <c r="S185" s="43">
        <v>0</v>
      </c>
      <c r="T185" s="44">
        <v>17084.029070000001</v>
      </c>
      <c r="U185" s="55"/>
      <c r="V185" s="43">
        <v>0</v>
      </c>
      <c r="W185" s="61"/>
      <c r="X185" s="44">
        <v>37774.994400000003</v>
      </c>
      <c r="Y185" s="62">
        <v>17084.029070000001</v>
      </c>
      <c r="Z185" s="62">
        <v>20690.965330000003</v>
      </c>
    </row>
    <row r="186" spans="1:26" ht="12" customHeight="1" x14ac:dyDescent="0.25">
      <c r="A186" s="42">
        <v>2017</v>
      </c>
      <c r="B186" s="42" t="s">
        <v>13</v>
      </c>
      <c r="C186" s="43">
        <v>6805.6892199999993</v>
      </c>
      <c r="D186" s="43">
        <v>0</v>
      </c>
      <c r="E186" s="43">
        <v>0</v>
      </c>
      <c r="F186" s="43">
        <v>0</v>
      </c>
      <c r="G186" s="43">
        <v>0</v>
      </c>
      <c r="H186" s="43">
        <v>9355.2985100000005</v>
      </c>
      <c r="I186" s="43">
        <v>0</v>
      </c>
      <c r="J186" s="43">
        <v>2978.9736899999998</v>
      </c>
      <c r="K186" s="44">
        <v>19139.96142</v>
      </c>
      <c r="L186" s="60"/>
      <c r="M186" s="43">
        <v>5498.6813800000009</v>
      </c>
      <c r="N186" s="43">
        <v>2574.4598799999999</v>
      </c>
      <c r="O186" s="43">
        <v>1413.4082100000001</v>
      </c>
      <c r="P186" s="43">
        <v>6128.9732699999995</v>
      </c>
      <c r="Q186" s="43">
        <v>1815.79665</v>
      </c>
      <c r="R186" s="43"/>
      <c r="S186" s="43">
        <v>1430.6033799999998</v>
      </c>
      <c r="T186" s="44">
        <v>18861.922770000001</v>
      </c>
      <c r="U186" s="55"/>
      <c r="V186" s="43">
        <v>0</v>
      </c>
      <c r="W186" s="61"/>
      <c r="X186" s="44">
        <v>38001.884189999997</v>
      </c>
      <c r="Y186" s="62">
        <v>18861.922770000001</v>
      </c>
      <c r="Z186" s="62">
        <v>19139.96142</v>
      </c>
    </row>
    <row r="187" spans="1:26" ht="12" customHeight="1" x14ac:dyDescent="0.25">
      <c r="A187" s="42">
        <v>2017</v>
      </c>
      <c r="B187" s="42" t="s">
        <v>14</v>
      </c>
      <c r="C187" s="43">
        <v>7036.0185099999999</v>
      </c>
      <c r="D187" s="43">
        <v>0</v>
      </c>
      <c r="E187" s="43">
        <v>0</v>
      </c>
      <c r="F187" s="43">
        <v>0</v>
      </c>
      <c r="G187" s="43">
        <v>0</v>
      </c>
      <c r="H187" s="43">
        <v>9689.5084600000009</v>
      </c>
      <c r="I187" s="43">
        <v>0</v>
      </c>
      <c r="J187" s="43">
        <v>3695.5813199999998</v>
      </c>
      <c r="K187" s="44">
        <v>20421.10829</v>
      </c>
      <c r="L187" s="60"/>
      <c r="M187" s="43">
        <v>6530.1462899999997</v>
      </c>
      <c r="N187" s="43">
        <v>2819.48882</v>
      </c>
      <c r="O187" s="43">
        <v>0</v>
      </c>
      <c r="P187" s="43">
        <v>5501.0144600000003</v>
      </c>
      <c r="Q187" s="43">
        <v>987.62493000000006</v>
      </c>
      <c r="R187" s="43"/>
      <c r="S187" s="43">
        <v>977.17660999999998</v>
      </c>
      <c r="T187" s="44">
        <v>16815.451109999998</v>
      </c>
      <c r="U187" s="55"/>
      <c r="V187" s="43">
        <v>0</v>
      </c>
      <c r="W187" s="61"/>
      <c r="X187" s="44">
        <v>37236.559399999998</v>
      </c>
      <c r="Y187" s="62">
        <v>16815.451109999998</v>
      </c>
      <c r="Z187" s="62">
        <v>20421.10829</v>
      </c>
    </row>
    <row r="188" spans="1:26" ht="12" customHeight="1" x14ac:dyDescent="0.25">
      <c r="A188" s="42">
        <v>2017</v>
      </c>
      <c r="B188" s="42" t="s">
        <v>15</v>
      </c>
      <c r="C188" s="43">
        <v>74745.450049999999</v>
      </c>
      <c r="D188" s="43">
        <v>0</v>
      </c>
      <c r="E188" s="43">
        <v>0</v>
      </c>
      <c r="F188" s="43">
        <v>0</v>
      </c>
      <c r="G188" s="43">
        <v>0</v>
      </c>
      <c r="H188" s="43">
        <v>86497.40694999999</v>
      </c>
      <c r="I188" s="43">
        <v>14.858690000000001</v>
      </c>
      <c r="J188" s="43">
        <v>44085.403859999991</v>
      </c>
      <c r="K188" s="44">
        <v>205343.11955000003</v>
      </c>
      <c r="L188" s="60"/>
      <c r="M188" s="43">
        <v>61421.258609999997</v>
      </c>
      <c r="N188" s="43">
        <v>30283.719959999999</v>
      </c>
      <c r="O188" s="43">
        <v>9378.5396500000006</v>
      </c>
      <c r="P188" s="43">
        <v>50187.767160000003</v>
      </c>
      <c r="Q188" s="43">
        <v>11504.100040000001</v>
      </c>
      <c r="R188" s="43"/>
      <c r="S188" s="43">
        <v>21167.250459999999</v>
      </c>
      <c r="T188" s="44">
        <v>183942.63587999996</v>
      </c>
      <c r="U188" s="55"/>
      <c r="V188" s="43">
        <v>5.6104799999999999</v>
      </c>
      <c r="W188" s="61"/>
      <c r="X188" s="44">
        <v>389291.36590999999</v>
      </c>
      <c r="Y188" s="62">
        <v>183948.24635999996</v>
      </c>
      <c r="Z188" s="62">
        <v>205343.11955000003</v>
      </c>
    </row>
    <row r="189" spans="1:26" ht="12" customHeight="1" x14ac:dyDescent="0.25">
      <c r="A189" s="42">
        <v>2018</v>
      </c>
      <c r="B189" s="42" t="s">
        <v>3</v>
      </c>
      <c r="C189" s="43">
        <v>6733.4045699999997</v>
      </c>
      <c r="D189" s="43">
        <v>0</v>
      </c>
      <c r="E189" s="43">
        <v>0</v>
      </c>
      <c r="F189" s="43">
        <v>0</v>
      </c>
      <c r="G189" s="43">
        <v>0</v>
      </c>
      <c r="H189" s="43">
        <v>11471.899079999999</v>
      </c>
      <c r="I189" s="43">
        <v>0</v>
      </c>
      <c r="J189" s="43">
        <v>3810.93523</v>
      </c>
      <c r="K189" s="44">
        <v>22016.238879999997</v>
      </c>
      <c r="L189" s="60"/>
      <c r="M189" s="43">
        <v>5890.513109999999</v>
      </c>
      <c r="N189" s="43">
        <v>1736.6810500000001</v>
      </c>
      <c r="O189" s="43">
        <v>1487.0843400000001</v>
      </c>
      <c r="P189" s="43">
        <v>4790.8961600000002</v>
      </c>
      <c r="Q189" s="43">
        <v>1921.3053199999999</v>
      </c>
      <c r="R189" s="43"/>
      <c r="S189" s="43">
        <v>0</v>
      </c>
      <c r="T189" s="44">
        <v>15826.479979999998</v>
      </c>
      <c r="U189" s="55"/>
      <c r="V189" s="43">
        <v>0</v>
      </c>
      <c r="W189" s="61"/>
      <c r="X189" s="44">
        <v>37842.718859999994</v>
      </c>
      <c r="Y189" s="62">
        <v>15826.479979999998</v>
      </c>
      <c r="Z189" s="62">
        <v>22016.238879999997</v>
      </c>
    </row>
    <row r="190" spans="1:26" ht="12" customHeight="1" x14ac:dyDescent="0.25">
      <c r="A190" s="42">
        <v>2018</v>
      </c>
      <c r="B190" s="42" t="s">
        <v>4</v>
      </c>
      <c r="C190" s="43">
        <v>6214.8616300000003</v>
      </c>
      <c r="D190" s="43">
        <v>0</v>
      </c>
      <c r="E190" s="43">
        <v>0</v>
      </c>
      <c r="F190" s="43">
        <v>0</v>
      </c>
      <c r="G190" s="43">
        <v>0</v>
      </c>
      <c r="H190" s="43">
        <v>10554.750620000001</v>
      </c>
      <c r="I190" s="43">
        <v>10.026</v>
      </c>
      <c r="J190" s="43">
        <v>3979.7013199999997</v>
      </c>
      <c r="K190" s="44">
        <v>20759.339570000004</v>
      </c>
      <c r="L190" s="60"/>
      <c r="M190" s="43">
        <v>4107.2442899999996</v>
      </c>
      <c r="N190" s="43">
        <v>2760.5696899999998</v>
      </c>
      <c r="O190" s="43">
        <v>0</v>
      </c>
      <c r="P190" s="43">
        <v>2749.9617699999999</v>
      </c>
      <c r="Q190" s="43">
        <v>703.81232</v>
      </c>
      <c r="R190" s="43"/>
      <c r="S190" s="43">
        <v>496.22732000000002</v>
      </c>
      <c r="T190" s="44">
        <v>10817.815389999998</v>
      </c>
      <c r="U190" s="55"/>
      <c r="V190" s="43">
        <v>0</v>
      </c>
      <c r="W190" s="61"/>
      <c r="X190" s="44">
        <v>31577.15496</v>
      </c>
      <c r="Y190" s="62">
        <v>10817.815389999998</v>
      </c>
      <c r="Z190" s="62">
        <v>20759.339570000004</v>
      </c>
    </row>
    <row r="191" spans="1:26" ht="12" customHeight="1" x14ac:dyDescent="0.25">
      <c r="A191" s="42">
        <v>2018</v>
      </c>
      <c r="B191" s="42" t="s">
        <v>5</v>
      </c>
      <c r="C191" s="43">
        <v>6867.7813399999995</v>
      </c>
      <c r="D191" s="43">
        <v>0</v>
      </c>
      <c r="E191" s="43">
        <v>0</v>
      </c>
      <c r="F191" s="43">
        <v>0</v>
      </c>
      <c r="G191" s="43">
        <v>0</v>
      </c>
      <c r="H191" s="43">
        <v>11236.19908</v>
      </c>
      <c r="I191" s="43">
        <v>0</v>
      </c>
      <c r="J191" s="43">
        <v>3501.8418900000001</v>
      </c>
      <c r="K191" s="44">
        <v>21605.82231</v>
      </c>
      <c r="L191" s="60"/>
      <c r="M191" s="43">
        <v>3750.0618100000002</v>
      </c>
      <c r="N191" s="43">
        <v>1738.9877099999999</v>
      </c>
      <c r="O191" s="43">
        <v>714.01989000000003</v>
      </c>
      <c r="P191" s="43">
        <v>3956.2403299999996</v>
      </c>
      <c r="Q191" s="43">
        <v>447.30464000000001</v>
      </c>
      <c r="R191" s="43"/>
      <c r="S191" s="43">
        <v>0</v>
      </c>
      <c r="T191" s="44">
        <v>10606.614380000001</v>
      </c>
      <c r="U191" s="55"/>
      <c r="V191" s="43">
        <v>0</v>
      </c>
      <c r="W191" s="61"/>
      <c r="X191" s="44">
        <v>32212.436690000002</v>
      </c>
      <c r="Y191" s="62">
        <v>10606.614380000001</v>
      </c>
      <c r="Z191" s="62">
        <v>21605.82231</v>
      </c>
    </row>
    <row r="192" spans="1:26" ht="12" customHeight="1" x14ac:dyDescent="0.25">
      <c r="A192" s="42">
        <v>2018</v>
      </c>
      <c r="B192" s="42" t="s">
        <v>6</v>
      </c>
      <c r="C192" s="43">
        <v>5777.2343200000005</v>
      </c>
      <c r="D192" s="43">
        <v>0</v>
      </c>
      <c r="E192" s="43">
        <v>0</v>
      </c>
      <c r="F192" s="43">
        <v>0</v>
      </c>
      <c r="G192" s="43">
        <v>0</v>
      </c>
      <c r="H192" s="43">
        <v>10847.13459</v>
      </c>
      <c r="I192" s="43">
        <v>17.0442</v>
      </c>
      <c r="J192" s="43">
        <v>2146.5304100000003</v>
      </c>
      <c r="K192" s="44">
        <v>18787.943520000001</v>
      </c>
      <c r="L192" s="60"/>
      <c r="M192" s="43">
        <v>3803.2355600000001</v>
      </c>
      <c r="N192" s="43">
        <v>2842.7395000000001</v>
      </c>
      <c r="O192" s="43">
        <v>1880.88769</v>
      </c>
      <c r="P192" s="43">
        <v>4347.3037699999995</v>
      </c>
      <c r="Q192" s="43">
        <v>894.39468000000011</v>
      </c>
      <c r="R192" s="43"/>
      <c r="S192" s="43">
        <v>0</v>
      </c>
      <c r="T192" s="44">
        <v>13768.561199999998</v>
      </c>
      <c r="U192" s="55"/>
      <c r="V192" s="43">
        <v>0</v>
      </c>
      <c r="W192" s="61"/>
      <c r="X192" s="44">
        <v>32556.504719999997</v>
      </c>
      <c r="Y192" s="62">
        <v>13768.561199999998</v>
      </c>
      <c r="Z192" s="62">
        <v>18787.943520000001</v>
      </c>
    </row>
    <row r="193" spans="1:26" ht="12" customHeight="1" x14ac:dyDescent="0.25">
      <c r="A193" s="42">
        <v>2018</v>
      </c>
      <c r="B193" s="42" t="s">
        <v>7</v>
      </c>
      <c r="C193" s="43">
        <v>5468.363510000001</v>
      </c>
      <c r="D193" s="43">
        <v>0</v>
      </c>
      <c r="E193" s="43">
        <v>0</v>
      </c>
      <c r="F193" s="43">
        <v>0</v>
      </c>
      <c r="G193" s="43">
        <v>0</v>
      </c>
      <c r="H193" s="43">
        <v>10449.09908</v>
      </c>
      <c r="I193" s="43">
        <v>0</v>
      </c>
      <c r="J193" s="43">
        <v>2146.4991100000002</v>
      </c>
      <c r="K193" s="44">
        <v>18063.9617</v>
      </c>
      <c r="L193" s="60"/>
      <c r="M193" s="43">
        <v>5015.3261499999999</v>
      </c>
      <c r="N193" s="43">
        <v>1751.8947700000001</v>
      </c>
      <c r="O193" s="43">
        <v>0</v>
      </c>
      <c r="P193" s="43">
        <v>3674.7897199999998</v>
      </c>
      <c r="Q193" s="43">
        <v>1062.3296</v>
      </c>
      <c r="R193" s="43"/>
      <c r="S193" s="43">
        <v>499.90699999999998</v>
      </c>
      <c r="T193" s="44">
        <v>12004.247240000001</v>
      </c>
      <c r="U193" s="55"/>
      <c r="V193" s="43">
        <v>0</v>
      </c>
      <c r="W193" s="61"/>
      <c r="X193" s="44">
        <v>30068.20894</v>
      </c>
      <c r="Y193" s="62">
        <v>12004.247240000001</v>
      </c>
      <c r="Z193" s="62">
        <v>18063.9617</v>
      </c>
    </row>
    <row r="194" spans="1:26" ht="12" customHeight="1" x14ac:dyDescent="0.25">
      <c r="A194" s="42">
        <v>2018</v>
      </c>
      <c r="B194" s="42" t="s">
        <v>8</v>
      </c>
      <c r="C194" s="43">
        <v>5504.0493100000003</v>
      </c>
      <c r="D194" s="43">
        <v>0</v>
      </c>
      <c r="E194" s="43">
        <v>0</v>
      </c>
      <c r="F194" s="43">
        <v>0</v>
      </c>
      <c r="G194" s="43">
        <v>0</v>
      </c>
      <c r="H194" s="43">
        <v>10492.434590000001</v>
      </c>
      <c r="I194" s="43">
        <v>0</v>
      </c>
      <c r="J194" s="43">
        <v>2069.9176899999998</v>
      </c>
      <c r="K194" s="44">
        <v>18066.401590000001</v>
      </c>
      <c r="L194" s="60"/>
      <c r="M194" s="43">
        <v>5501.1243099999992</v>
      </c>
      <c r="N194" s="43">
        <v>2779.1006699999998</v>
      </c>
      <c r="O194" s="43">
        <v>855.73994999999991</v>
      </c>
      <c r="P194" s="43">
        <v>3630.4503500000001</v>
      </c>
      <c r="Q194" s="43">
        <v>1112.3385600000001</v>
      </c>
      <c r="R194" s="43"/>
      <c r="S194" s="43">
        <v>0</v>
      </c>
      <c r="T194" s="44">
        <v>13878.753839999998</v>
      </c>
      <c r="U194" s="55"/>
      <c r="V194" s="43">
        <v>0</v>
      </c>
      <c r="W194" s="61"/>
      <c r="X194" s="44">
        <v>31945.155429999999</v>
      </c>
      <c r="Y194" s="62">
        <v>13878.753839999998</v>
      </c>
      <c r="Z194" s="62">
        <v>18066.401590000001</v>
      </c>
    </row>
    <row r="195" spans="1:26" ht="12" customHeight="1" x14ac:dyDescent="0.25">
      <c r="A195" s="42">
        <v>2018</v>
      </c>
      <c r="B195" s="42" t="s">
        <v>9</v>
      </c>
      <c r="C195" s="43">
        <v>7089.8904600000005</v>
      </c>
      <c r="D195" s="43">
        <v>0</v>
      </c>
      <c r="E195" s="43">
        <v>0</v>
      </c>
      <c r="F195" s="43">
        <v>0</v>
      </c>
      <c r="G195" s="43">
        <v>0</v>
      </c>
      <c r="H195" s="43">
        <v>6411.0769900000005</v>
      </c>
      <c r="I195" s="43">
        <v>19.049409999999998</v>
      </c>
      <c r="J195" s="43">
        <v>2204.4133400000001</v>
      </c>
      <c r="K195" s="44">
        <v>15724.430200000003</v>
      </c>
      <c r="L195" s="60"/>
      <c r="M195" s="43">
        <v>7392.7418899999993</v>
      </c>
      <c r="N195" s="43">
        <v>3077.9754199999998</v>
      </c>
      <c r="O195" s="43">
        <v>0</v>
      </c>
      <c r="P195" s="43">
        <v>2981.1783400000004</v>
      </c>
      <c r="Q195" s="43">
        <v>0</v>
      </c>
      <c r="R195" s="43"/>
      <c r="S195" s="43">
        <v>0</v>
      </c>
      <c r="T195" s="44">
        <v>13451.89565</v>
      </c>
      <c r="U195" s="55"/>
      <c r="V195" s="43">
        <v>0</v>
      </c>
      <c r="W195" s="61"/>
      <c r="X195" s="44">
        <v>29176.325850000001</v>
      </c>
      <c r="Y195" s="62">
        <v>13451.89565</v>
      </c>
      <c r="Z195" s="62">
        <v>15724.430200000003</v>
      </c>
    </row>
    <row r="196" spans="1:26" ht="12" customHeight="1" x14ac:dyDescent="0.25">
      <c r="A196" s="42">
        <v>2018</v>
      </c>
      <c r="B196" s="42" t="s">
        <v>10</v>
      </c>
      <c r="C196" s="43">
        <v>7512.6409200000007</v>
      </c>
      <c r="D196" s="43">
        <v>0</v>
      </c>
      <c r="E196" s="43">
        <v>0</v>
      </c>
      <c r="F196" s="43">
        <v>0</v>
      </c>
      <c r="G196" s="43">
        <v>0</v>
      </c>
      <c r="H196" s="43">
        <v>6285.1655899999996</v>
      </c>
      <c r="I196" s="43">
        <v>0</v>
      </c>
      <c r="J196" s="43">
        <v>2293.87815</v>
      </c>
      <c r="K196" s="44">
        <v>16091.684660000001</v>
      </c>
      <c r="L196" s="60"/>
      <c r="M196" s="43">
        <v>5117.4555</v>
      </c>
      <c r="N196" s="43">
        <v>3509.5634500000001</v>
      </c>
      <c r="O196" s="43">
        <v>900.53700000000003</v>
      </c>
      <c r="P196" s="43">
        <v>3628.19877</v>
      </c>
      <c r="Q196" s="43">
        <v>898.39389000000006</v>
      </c>
      <c r="R196" s="43"/>
      <c r="S196" s="43">
        <v>0</v>
      </c>
      <c r="T196" s="44">
        <v>14054.14861</v>
      </c>
      <c r="U196" s="55"/>
      <c r="V196" s="43">
        <v>0.60263</v>
      </c>
      <c r="W196" s="61"/>
      <c r="X196" s="44">
        <v>30146.435900000004</v>
      </c>
      <c r="Y196" s="62">
        <v>14054.75124</v>
      </c>
      <c r="Z196" s="62">
        <v>16091.684660000001</v>
      </c>
    </row>
    <row r="197" spans="1:26" ht="12" customHeight="1" x14ac:dyDescent="0.25">
      <c r="A197" s="42">
        <v>2018</v>
      </c>
      <c r="B197" s="42" t="s">
        <v>11</v>
      </c>
      <c r="C197" s="43">
        <v>6260.4407300000003</v>
      </c>
      <c r="D197" s="43">
        <v>0</v>
      </c>
      <c r="E197" s="43">
        <v>0</v>
      </c>
      <c r="F197" s="43">
        <v>0</v>
      </c>
      <c r="G197" s="43">
        <v>0</v>
      </c>
      <c r="H197" s="43">
        <v>7502.8416699999998</v>
      </c>
      <c r="I197" s="43">
        <v>0</v>
      </c>
      <c r="J197" s="43">
        <v>3372.9318400000002</v>
      </c>
      <c r="K197" s="44">
        <v>17136.214240000001</v>
      </c>
      <c r="L197" s="60"/>
      <c r="M197" s="43">
        <v>4991.4378399999996</v>
      </c>
      <c r="N197" s="43">
        <v>2754.6055899999997</v>
      </c>
      <c r="O197" s="43">
        <v>0</v>
      </c>
      <c r="P197" s="43">
        <v>3542.7265300000004</v>
      </c>
      <c r="Q197" s="43">
        <v>995.88260000000002</v>
      </c>
      <c r="R197" s="43"/>
      <c r="S197" s="43">
        <v>0</v>
      </c>
      <c r="T197" s="44">
        <v>12284.65256</v>
      </c>
      <c r="U197" s="55"/>
      <c r="V197" s="43">
        <v>0</v>
      </c>
      <c r="W197" s="61"/>
      <c r="X197" s="44">
        <v>29420.866800000003</v>
      </c>
      <c r="Y197" s="62">
        <v>12284.65256</v>
      </c>
      <c r="Z197" s="62">
        <v>17136.214240000001</v>
      </c>
    </row>
    <row r="198" spans="1:26" ht="12" customHeight="1" x14ac:dyDescent="0.25">
      <c r="A198" s="42">
        <v>2018</v>
      </c>
      <c r="B198" s="42" t="s">
        <v>12</v>
      </c>
      <c r="C198" s="43">
        <v>7159.5737800000006</v>
      </c>
      <c r="D198" s="43">
        <v>0</v>
      </c>
      <c r="E198" s="43">
        <v>0</v>
      </c>
      <c r="F198" s="43">
        <v>0</v>
      </c>
      <c r="G198" s="43">
        <v>0</v>
      </c>
      <c r="H198" s="43">
        <v>5243.8932000000004</v>
      </c>
      <c r="I198" s="43">
        <v>47.639040000000001</v>
      </c>
      <c r="J198" s="43">
        <v>4391.8654600000054</v>
      </c>
      <c r="K198" s="44">
        <v>16842.971480000007</v>
      </c>
      <c r="L198" s="60"/>
      <c r="M198" s="43">
        <v>4538.2454400000006</v>
      </c>
      <c r="N198" s="43">
        <v>3073.4866099999999</v>
      </c>
      <c r="O198" s="43">
        <v>2638.5370400000002</v>
      </c>
      <c r="P198" s="43">
        <v>4999.32672</v>
      </c>
      <c r="Q198" s="43">
        <v>1867.40831</v>
      </c>
      <c r="R198" s="43"/>
      <c r="S198" s="43">
        <v>494.49159999999995</v>
      </c>
      <c r="T198" s="44">
        <v>17611.495720000003</v>
      </c>
      <c r="U198" s="55"/>
      <c r="V198" s="43">
        <v>0</v>
      </c>
      <c r="W198" s="61"/>
      <c r="X198" s="44">
        <v>34454.467200000014</v>
      </c>
      <c r="Y198" s="62">
        <v>17611.495720000003</v>
      </c>
      <c r="Z198" s="62">
        <v>16842.971480000007</v>
      </c>
    </row>
    <row r="199" spans="1:26" ht="12" customHeight="1" x14ac:dyDescent="0.25">
      <c r="A199" s="42">
        <v>2018</v>
      </c>
      <c r="B199" s="42" t="s">
        <v>13</v>
      </c>
      <c r="C199" s="43">
        <v>7415.0565999999999</v>
      </c>
      <c r="D199" s="43">
        <v>0</v>
      </c>
      <c r="E199" s="43">
        <v>0</v>
      </c>
      <c r="F199" s="43">
        <v>0</v>
      </c>
      <c r="G199" s="43">
        <v>0</v>
      </c>
      <c r="H199" s="43">
        <v>6916.8766400000004</v>
      </c>
      <c r="I199" s="43">
        <v>12.0312</v>
      </c>
      <c r="J199" s="43">
        <v>4897.3383099999992</v>
      </c>
      <c r="K199" s="44">
        <v>19241.302749999999</v>
      </c>
      <c r="L199" s="60"/>
      <c r="M199" s="43">
        <v>5665.3001900000008</v>
      </c>
      <c r="N199" s="43">
        <v>2393.0849800000005</v>
      </c>
      <c r="O199" s="43">
        <v>0</v>
      </c>
      <c r="P199" s="43">
        <v>3569.1339500000004</v>
      </c>
      <c r="Q199" s="43">
        <v>1091.5911000000001</v>
      </c>
      <c r="R199" s="43"/>
      <c r="S199" s="43">
        <v>927.79600000000005</v>
      </c>
      <c r="T199" s="44">
        <v>13646.906220000001</v>
      </c>
      <c r="U199" s="55"/>
      <c r="V199" s="43">
        <v>0</v>
      </c>
      <c r="W199" s="61"/>
      <c r="X199" s="44">
        <v>32888.20897</v>
      </c>
      <c r="Y199" s="62">
        <v>13646.906220000001</v>
      </c>
      <c r="Z199" s="62">
        <v>19241.302749999999</v>
      </c>
    </row>
    <row r="200" spans="1:26" ht="12" customHeight="1" x14ac:dyDescent="0.25">
      <c r="A200" s="42">
        <v>2018</v>
      </c>
      <c r="B200" s="42" t="s">
        <v>14</v>
      </c>
      <c r="C200" s="43">
        <v>7289.3149000000003</v>
      </c>
      <c r="D200" s="43">
        <v>0</v>
      </c>
      <c r="E200" s="43">
        <v>0</v>
      </c>
      <c r="F200" s="43">
        <v>0</v>
      </c>
      <c r="G200" s="43">
        <v>0</v>
      </c>
      <c r="H200" s="43">
        <v>7394.9554500000004</v>
      </c>
      <c r="I200" s="43">
        <v>0</v>
      </c>
      <c r="J200" s="43">
        <v>5402.6314999999986</v>
      </c>
      <c r="K200" s="44">
        <v>20086.901850000002</v>
      </c>
      <c r="L200" s="60"/>
      <c r="M200" s="43">
        <v>5340.7577099999999</v>
      </c>
      <c r="N200" s="43">
        <v>3879.4850699999997</v>
      </c>
      <c r="O200" s="43">
        <v>2594.7233900000001</v>
      </c>
      <c r="P200" s="43">
        <v>5285.3626700000004</v>
      </c>
      <c r="Q200" s="43">
        <v>1948.5676699999999</v>
      </c>
      <c r="R200" s="43"/>
      <c r="S200" s="43">
        <v>0</v>
      </c>
      <c r="T200" s="44">
        <v>19048.896510000002</v>
      </c>
      <c r="U200" s="55"/>
      <c r="V200" s="43">
        <v>15.023</v>
      </c>
      <c r="W200" s="61"/>
      <c r="X200" s="44">
        <v>39150.821360000002</v>
      </c>
      <c r="Y200" s="62">
        <v>19063.919510000003</v>
      </c>
      <c r="Z200" s="62">
        <v>20086.901850000002</v>
      </c>
    </row>
    <row r="201" spans="1:26" ht="12" customHeight="1" x14ac:dyDescent="0.25">
      <c r="A201" s="42">
        <v>2018</v>
      </c>
      <c r="B201" s="42" t="s">
        <v>15</v>
      </c>
      <c r="C201" s="43">
        <v>79292.612070000003</v>
      </c>
      <c r="D201" s="43">
        <v>0</v>
      </c>
      <c r="E201" s="43">
        <v>0</v>
      </c>
      <c r="F201" s="43">
        <v>0</v>
      </c>
      <c r="G201" s="43">
        <v>0</v>
      </c>
      <c r="H201" s="43">
        <v>104806.32658000001</v>
      </c>
      <c r="I201" s="43">
        <v>105.78984999999999</v>
      </c>
      <c r="J201" s="43">
        <v>40218.484250000001</v>
      </c>
      <c r="K201" s="44">
        <v>224423.21275000001</v>
      </c>
      <c r="L201" s="60"/>
      <c r="M201" s="43">
        <v>61113.443799999994</v>
      </c>
      <c r="N201" s="43">
        <v>32298.174509999997</v>
      </c>
      <c r="O201" s="43">
        <v>11071.529299999998</v>
      </c>
      <c r="P201" s="43">
        <v>47155.569080000001</v>
      </c>
      <c r="Q201" s="43">
        <v>12943.32869</v>
      </c>
      <c r="R201" s="43"/>
      <c r="S201" s="43">
        <v>2418.4219199999998</v>
      </c>
      <c r="T201" s="44">
        <v>167000.46730000002</v>
      </c>
      <c r="U201" s="55"/>
      <c r="V201" s="43">
        <v>15.625629999999999</v>
      </c>
      <c r="W201" s="61"/>
      <c r="X201" s="44">
        <v>391439.30568000005</v>
      </c>
      <c r="Y201" s="62">
        <v>167016.09293000001</v>
      </c>
      <c r="Z201" s="62">
        <v>224423.21275000001</v>
      </c>
    </row>
    <row r="202" spans="1:26" ht="12" customHeight="1" x14ac:dyDescent="0.25">
      <c r="A202" s="42">
        <v>2019</v>
      </c>
      <c r="B202" s="42" t="s">
        <v>3</v>
      </c>
      <c r="C202" s="43">
        <v>7828.8282600000002</v>
      </c>
      <c r="D202" s="43">
        <v>0</v>
      </c>
      <c r="E202" s="43">
        <v>0</v>
      </c>
      <c r="F202" s="43">
        <v>0</v>
      </c>
      <c r="G202" s="43">
        <v>0</v>
      </c>
      <c r="H202" s="43">
        <v>8418.1</v>
      </c>
      <c r="I202" s="43">
        <v>397.84109999999998</v>
      </c>
      <c r="J202" s="43">
        <v>6242.5330699999995</v>
      </c>
      <c r="K202" s="44">
        <v>22887.302430000003</v>
      </c>
      <c r="L202" s="60"/>
      <c r="M202" s="43">
        <v>4730.6709700000001</v>
      </c>
      <c r="N202" s="43">
        <v>4739.32341</v>
      </c>
      <c r="O202" s="43">
        <v>854.40125</v>
      </c>
      <c r="P202" s="43">
        <v>3345.75515</v>
      </c>
      <c r="Q202" s="43">
        <v>0</v>
      </c>
      <c r="R202" s="43"/>
      <c r="S202" s="43">
        <v>0</v>
      </c>
      <c r="T202" s="44">
        <v>13670.15078</v>
      </c>
      <c r="U202" s="55"/>
      <c r="V202" s="43">
        <v>36.994999999999997</v>
      </c>
      <c r="W202" s="61"/>
      <c r="X202" s="44">
        <v>36594.44821000001</v>
      </c>
      <c r="Y202" s="62">
        <v>13707.145780000001</v>
      </c>
      <c r="Z202" s="62">
        <v>22887.302430000003</v>
      </c>
    </row>
    <row r="203" spans="1:26" ht="12" customHeight="1" x14ac:dyDescent="0.25">
      <c r="A203" s="42">
        <v>2019</v>
      </c>
      <c r="B203" s="42" t="s">
        <v>4</v>
      </c>
      <c r="C203" s="43">
        <v>5696.1236899999994</v>
      </c>
      <c r="D203" s="43">
        <v>0</v>
      </c>
      <c r="E203" s="43">
        <v>0</v>
      </c>
      <c r="F203" s="43">
        <v>0</v>
      </c>
      <c r="G203" s="43">
        <v>0</v>
      </c>
      <c r="H203" s="43">
        <v>5073.4260000000004</v>
      </c>
      <c r="I203" s="43">
        <v>490.29861000000005</v>
      </c>
      <c r="J203" s="43">
        <v>5603.3294399999995</v>
      </c>
      <c r="K203" s="44">
        <v>16863.177739999999</v>
      </c>
      <c r="L203" s="60"/>
      <c r="M203" s="43">
        <v>4604.8704900000002</v>
      </c>
      <c r="N203" s="43">
        <v>3917.3928500000002</v>
      </c>
      <c r="O203" s="43">
        <v>0</v>
      </c>
      <c r="P203" s="43">
        <v>3017.0450900000001</v>
      </c>
      <c r="Q203" s="43">
        <v>851.07884999999999</v>
      </c>
      <c r="R203" s="43"/>
      <c r="S203" s="43">
        <v>0</v>
      </c>
      <c r="T203" s="44">
        <v>12390.387280000001</v>
      </c>
      <c r="U203" s="55"/>
      <c r="V203" s="43">
        <v>24.459</v>
      </c>
      <c r="W203" s="61"/>
      <c r="X203" s="44">
        <v>29278.024020000001</v>
      </c>
      <c r="Y203" s="62">
        <v>12414.846280000002</v>
      </c>
      <c r="Z203" s="62">
        <v>16863.177739999999</v>
      </c>
    </row>
    <row r="204" spans="1:26" ht="12" customHeight="1" x14ac:dyDescent="0.25">
      <c r="A204" s="42">
        <v>2019</v>
      </c>
      <c r="B204" s="42" t="s">
        <v>5</v>
      </c>
      <c r="C204" s="43">
        <v>4427.2221100000006</v>
      </c>
      <c r="D204" s="43">
        <v>0</v>
      </c>
      <c r="E204" s="43">
        <v>0</v>
      </c>
      <c r="F204" s="43">
        <v>0</v>
      </c>
      <c r="G204" s="43">
        <v>0</v>
      </c>
      <c r="H204" s="43">
        <v>2525.5022000000004</v>
      </c>
      <c r="I204" s="43">
        <v>373.33878000000004</v>
      </c>
      <c r="J204" s="43">
        <v>6157.4374900000003</v>
      </c>
      <c r="K204" s="44">
        <v>13483.50058</v>
      </c>
      <c r="L204" s="60"/>
      <c r="M204" s="43">
        <v>5842.1946400000006</v>
      </c>
      <c r="N204" s="43">
        <v>3842.3931799999996</v>
      </c>
      <c r="O204" s="43">
        <v>915.69588999999996</v>
      </c>
      <c r="P204" s="43">
        <v>3701.60617</v>
      </c>
      <c r="Q204" s="43">
        <v>1099.5244599999999</v>
      </c>
      <c r="R204" s="43"/>
      <c r="S204" s="43">
        <v>897.28190000000006</v>
      </c>
      <c r="T204" s="44">
        <v>16298.696239999999</v>
      </c>
      <c r="U204" s="55"/>
      <c r="V204" s="43">
        <v>25.28</v>
      </c>
      <c r="W204" s="61"/>
      <c r="X204" s="44">
        <v>29807.476819999996</v>
      </c>
      <c r="Y204" s="62">
        <v>16323.97624</v>
      </c>
      <c r="Z204" s="62">
        <v>13483.50058</v>
      </c>
    </row>
    <row r="205" spans="1:26" ht="12" customHeight="1" x14ac:dyDescent="0.25">
      <c r="A205" s="42">
        <v>2019</v>
      </c>
      <c r="B205" s="42" t="s">
        <v>6</v>
      </c>
      <c r="C205" s="43">
        <v>5527.6505199999992</v>
      </c>
      <c r="D205" s="43">
        <v>0</v>
      </c>
      <c r="E205" s="43">
        <v>0</v>
      </c>
      <c r="F205" s="43">
        <v>0</v>
      </c>
      <c r="G205" s="43">
        <v>0</v>
      </c>
      <c r="H205" s="43">
        <v>3265.3845000000001</v>
      </c>
      <c r="I205" s="43">
        <v>214.18929</v>
      </c>
      <c r="J205" s="43">
        <v>4358.2450500000004</v>
      </c>
      <c r="K205" s="44">
        <v>13365.469359999999</v>
      </c>
      <c r="L205" s="60"/>
      <c r="M205" s="43">
        <v>6404.1731500000005</v>
      </c>
      <c r="N205" s="43">
        <v>3771.3517199999997</v>
      </c>
      <c r="O205" s="43">
        <v>915.65968000000009</v>
      </c>
      <c r="P205" s="43">
        <v>4373.5569599999999</v>
      </c>
      <c r="Q205" s="43">
        <v>0</v>
      </c>
      <c r="R205" s="43"/>
      <c r="S205" s="43">
        <v>946.93</v>
      </c>
      <c r="T205" s="44">
        <v>16411.67151</v>
      </c>
      <c r="U205" s="55"/>
      <c r="V205" s="43">
        <v>30.765999999999998</v>
      </c>
      <c r="W205" s="61"/>
      <c r="X205" s="44">
        <v>29807.906869999999</v>
      </c>
      <c r="Y205" s="62">
        <v>16442.43751</v>
      </c>
      <c r="Z205" s="62">
        <v>13365.469359999999</v>
      </c>
    </row>
    <row r="206" spans="1:26" ht="12" customHeight="1" x14ac:dyDescent="0.25">
      <c r="A206" s="42">
        <v>2019</v>
      </c>
      <c r="B206" s="42" t="s">
        <v>7</v>
      </c>
      <c r="C206" s="43">
        <v>5470.5777199999993</v>
      </c>
      <c r="D206" s="43">
        <v>0</v>
      </c>
      <c r="E206" s="43">
        <v>0</v>
      </c>
      <c r="F206" s="43">
        <v>0</v>
      </c>
      <c r="G206" s="43">
        <v>0</v>
      </c>
      <c r="H206" s="43">
        <v>3869.8881499999998</v>
      </c>
      <c r="I206" s="43">
        <v>49.973959999999998</v>
      </c>
      <c r="J206" s="43">
        <v>3972.6655600000004</v>
      </c>
      <c r="K206" s="44">
        <v>13363.105389999997</v>
      </c>
      <c r="L206" s="60"/>
      <c r="M206" s="43">
        <v>6390.0400599999994</v>
      </c>
      <c r="N206" s="43">
        <v>6071.3816500000003</v>
      </c>
      <c r="O206" s="43">
        <v>1745.9050099999999</v>
      </c>
      <c r="P206" s="43">
        <v>6811.0287699999999</v>
      </c>
      <c r="Q206" s="43">
        <v>109.93391</v>
      </c>
      <c r="R206" s="43"/>
      <c r="S206" s="43">
        <v>0</v>
      </c>
      <c r="T206" s="44">
        <v>21128.289399999998</v>
      </c>
      <c r="U206" s="55"/>
      <c r="V206" s="43">
        <v>38.805</v>
      </c>
      <c r="W206" s="61"/>
      <c r="X206" s="44">
        <v>34530.199789999991</v>
      </c>
      <c r="Y206" s="62">
        <v>21167.094399999998</v>
      </c>
      <c r="Z206" s="62">
        <v>13363.105389999997</v>
      </c>
    </row>
    <row r="207" spans="1:26" ht="12" customHeight="1" x14ac:dyDescent="0.25">
      <c r="A207" s="42">
        <v>2019</v>
      </c>
      <c r="B207" s="42" t="s">
        <v>8</v>
      </c>
      <c r="C207" s="43">
        <v>5275.4554700000008</v>
      </c>
      <c r="D207" s="43">
        <v>0</v>
      </c>
      <c r="E207" s="43">
        <v>0</v>
      </c>
      <c r="F207" s="43">
        <v>0</v>
      </c>
      <c r="G207" s="43">
        <v>0</v>
      </c>
      <c r="H207" s="43">
        <v>2766.7150000000001</v>
      </c>
      <c r="I207" s="43">
        <v>135.97193999999999</v>
      </c>
      <c r="J207" s="43">
        <v>3170.36742</v>
      </c>
      <c r="K207" s="44">
        <v>11348.509829999999</v>
      </c>
      <c r="L207" s="60"/>
      <c r="M207" s="43">
        <v>6112.6060700000007</v>
      </c>
      <c r="N207" s="43">
        <v>6940.2137699999994</v>
      </c>
      <c r="O207" s="43">
        <v>1711.5599399999999</v>
      </c>
      <c r="P207" s="43">
        <v>2969.5623700000001</v>
      </c>
      <c r="Q207" s="43">
        <v>1235.29963</v>
      </c>
      <c r="R207" s="43"/>
      <c r="S207" s="43">
        <v>1751.7737199999999</v>
      </c>
      <c r="T207" s="44">
        <v>20721.015500000001</v>
      </c>
      <c r="U207" s="55"/>
      <c r="V207" s="43">
        <v>29.175999999999998</v>
      </c>
      <c r="W207" s="61"/>
      <c r="X207" s="44">
        <v>32098.70133</v>
      </c>
      <c r="Y207" s="62">
        <v>20750.191500000001</v>
      </c>
      <c r="Z207" s="62">
        <v>11348.509829999999</v>
      </c>
    </row>
    <row r="208" spans="1:26" ht="12" customHeight="1" x14ac:dyDescent="0.25">
      <c r="A208" s="42">
        <v>2019</v>
      </c>
      <c r="B208" s="42" t="s">
        <v>9</v>
      </c>
      <c r="C208" s="43">
        <v>4653.8287599999994</v>
      </c>
      <c r="D208" s="43">
        <v>0</v>
      </c>
      <c r="E208" s="43">
        <v>0</v>
      </c>
      <c r="F208" s="43">
        <v>0</v>
      </c>
      <c r="G208" s="43">
        <v>0</v>
      </c>
      <c r="H208" s="43">
        <v>3796.355</v>
      </c>
      <c r="I208" s="43">
        <v>0</v>
      </c>
      <c r="J208" s="43">
        <v>3816.7300499999997</v>
      </c>
      <c r="K208" s="44">
        <v>12266.913809999998</v>
      </c>
      <c r="L208" s="60"/>
      <c r="M208" s="43">
        <v>4732.9882099999995</v>
      </c>
      <c r="N208" s="43">
        <v>6168.6685800000005</v>
      </c>
      <c r="O208" s="43">
        <v>3785.5426900000002</v>
      </c>
      <c r="P208" s="43">
        <v>5890.9440700000005</v>
      </c>
      <c r="Q208" s="43">
        <v>2313.7492000000002</v>
      </c>
      <c r="R208" s="43"/>
      <c r="S208" s="43">
        <v>4668.1973900000003</v>
      </c>
      <c r="T208" s="44">
        <v>27560.09014</v>
      </c>
      <c r="U208" s="55"/>
      <c r="V208" s="43">
        <v>31.347000000000001</v>
      </c>
      <c r="W208" s="61"/>
      <c r="X208" s="44">
        <v>39858.35095</v>
      </c>
      <c r="Y208" s="62">
        <v>27591.437140000002</v>
      </c>
      <c r="Z208" s="62">
        <v>12266.913809999998</v>
      </c>
    </row>
    <row r="209" spans="1:26" ht="12" customHeight="1" x14ac:dyDescent="0.25">
      <c r="A209" s="42">
        <v>2019</v>
      </c>
      <c r="B209" s="42" t="s">
        <v>10</v>
      </c>
      <c r="C209" s="43">
        <v>4559.1648800000003</v>
      </c>
      <c r="D209" s="43">
        <v>0</v>
      </c>
      <c r="E209" s="43">
        <v>0</v>
      </c>
      <c r="F209" s="43">
        <v>0</v>
      </c>
      <c r="G209" s="43">
        <v>0</v>
      </c>
      <c r="H209" s="43">
        <v>2836.5923700000003</v>
      </c>
      <c r="I209" s="43">
        <v>0</v>
      </c>
      <c r="J209" s="43">
        <v>4503.0829200000026</v>
      </c>
      <c r="K209" s="44">
        <v>11898.840170000003</v>
      </c>
      <c r="L209" s="60"/>
      <c r="M209" s="43">
        <v>4647.1409199999998</v>
      </c>
      <c r="N209" s="43">
        <v>6922.0960400000013</v>
      </c>
      <c r="O209" s="43">
        <v>2654.6032099999998</v>
      </c>
      <c r="P209" s="43">
        <v>4046.5439699999997</v>
      </c>
      <c r="Q209" s="43">
        <v>1107.8639699999999</v>
      </c>
      <c r="R209" s="43"/>
      <c r="S209" s="43">
        <v>6719.0986600000006</v>
      </c>
      <c r="T209" s="44">
        <v>26097.34677</v>
      </c>
      <c r="U209" s="55"/>
      <c r="V209" s="43">
        <v>27.434999999999999</v>
      </c>
      <c r="W209" s="61"/>
      <c r="X209" s="44">
        <v>38023.621939999997</v>
      </c>
      <c r="Y209" s="62">
        <v>26124.781770000001</v>
      </c>
      <c r="Z209" s="62">
        <v>11898.840170000003</v>
      </c>
    </row>
    <row r="210" spans="1:26" ht="12" customHeight="1" x14ac:dyDescent="0.25">
      <c r="A210" s="42">
        <v>2019</v>
      </c>
      <c r="B210" s="42" t="s">
        <v>11</v>
      </c>
      <c r="C210" s="43">
        <v>3205.6355999999996</v>
      </c>
      <c r="D210" s="43">
        <v>0</v>
      </c>
      <c r="E210" s="43">
        <v>0</v>
      </c>
      <c r="F210" s="43">
        <v>0</v>
      </c>
      <c r="G210" s="43">
        <v>0</v>
      </c>
      <c r="H210" s="43">
        <v>3569.8054999999999</v>
      </c>
      <c r="I210" s="43">
        <v>0</v>
      </c>
      <c r="J210" s="43">
        <v>4153.2429100000018</v>
      </c>
      <c r="K210" s="44">
        <v>10928.684010000001</v>
      </c>
      <c r="L210" s="60"/>
      <c r="M210" s="43">
        <v>7474.3239700000004</v>
      </c>
      <c r="N210" s="43">
        <v>8646.9517599999999</v>
      </c>
      <c r="O210" s="43">
        <v>2408.9535699999997</v>
      </c>
      <c r="P210" s="43">
        <v>6024.036540000001</v>
      </c>
      <c r="Q210" s="43">
        <v>1927.9077199999999</v>
      </c>
      <c r="R210" s="43"/>
      <c r="S210" s="43">
        <v>3023.1756399999999</v>
      </c>
      <c r="T210" s="44">
        <v>29505.349200000001</v>
      </c>
      <c r="U210" s="55"/>
      <c r="V210" s="43">
        <v>29.274999999999999</v>
      </c>
      <c r="W210" s="61"/>
      <c r="X210" s="44">
        <v>40463.308210000003</v>
      </c>
      <c r="Y210" s="62">
        <v>29534.624200000002</v>
      </c>
      <c r="Z210" s="62">
        <v>10928.684010000001</v>
      </c>
    </row>
    <row r="211" spans="1:26" ht="12" customHeight="1" x14ac:dyDescent="0.25">
      <c r="A211" s="42">
        <v>2019</v>
      </c>
      <c r="B211" s="42" t="s">
        <v>12</v>
      </c>
      <c r="C211" s="43">
        <v>6685.5153499999997</v>
      </c>
      <c r="D211" s="43">
        <v>0</v>
      </c>
      <c r="E211" s="43">
        <v>0</v>
      </c>
      <c r="F211" s="43">
        <v>0</v>
      </c>
      <c r="G211" s="43">
        <v>0</v>
      </c>
      <c r="H211" s="43">
        <v>6338.5710399999998</v>
      </c>
      <c r="I211" s="43">
        <v>0</v>
      </c>
      <c r="J211" s="43">
        <v>5111.3107900000014</v>
      </c>
      <c r="K211" s="44">
        <v>18135.39718</v>
      </c>
      <c r="L211" s="60"/>
      <c r="M211" s="43">
        <v>2723.3054900000002</v>
      </c>
      <c r="N211" s="43">
        <v>5999.9847599999994</v>
      </c>
      <c r="O211" s="43">
        <v>1197.3683599999999</v>
      </c>
      <c r="P211" s="43">
        <v>5891.0108499999997</v>
      </c>
      <c r="Q211" s="43">
        <v>1973.1620899999998</v>
      </c>
      <c r="R211" s="43"/>
      <c r="S211" s="43">
        <v>1564.2089699999999</v>
      </c>
      <c r="T211" s="44">
        <v>19349.040520000002</v>
      </c>
      <c r="U211" s="55"/>
      <c r="V211" s="43">
        <v>30.117000000000001</v>
      </c>
      <c r="W211" s="61"/>
      <c r="X211" s="44">
        <v>37514.554700000001</v>
      </c>
      <c r="Y211" s="62">
        <v>19379.157520000001</v>
      </c>
      <c r="Z211" s="62">
        <v>18135.39718</v>
      </c>
    </row>
    <row r="212" spans="1:26" ht="12" customHeight="1" x14ac:dyDescent="0.25">
      <c r="A212" s="42">
        <v>2019</v>
      </c>
      <c r="B212" s="42" t="s">
        <v>13</v>
      </c>
      <c r="C212" s="43">
        <v>7535.4235399999998</v>
      </c>
      <c r="D212" s="43">
        <v>0</v>
      </c>
      <c r="E212" s="43">
        <v>0</v>
      </c>
      <c r="F212" s="43">
        <v>0</v>
      </c>
      <c r="G212" s="43">
        <v>0</v>
      </c>
      <c r="H212" s="43">
        <v>7186.45</v>
      </c>
      <c r="I212" s="43">
        <v>95.079039999999992</v>
      </c>
      <c r="J212" s="43">
        <v>1451.3587199999999</v>
      </c>
      <c r="K212" s="44">
        <v>16268.311300000001</v>
      </c>
      <c r="L212" s="60"/>
      <c r="M212" s="43">
        <v>4498.2816299999995</v>
      </c>
      <c r="N212" s="43">
        <v>4666.8026999999993</v>
      </c>
      <c r="O212" s="43">
        <v>904.92590000000007</v>
      </c>
      <c r="P212" s="43">
        <v>4901.6255799999999</v>
      </c>
      <c r="Q212" s="43">
        <v>964.66453999999999</v>
      </c>
      <c r="R212" s="43"/>
      <c r="S212" s="43">
        <v>2054.8068399999997</v>
      </c>
      <c r="T212" s="44">
        <v>17991.107189999999</v>
      </c>
      <c r="U212" s="55"/>
      <c r="V212" s="43">
        <v>37.802</v>
      </c>
      <c r="W212" s="61"/>
      <c r="X212" s="44">
        <v>34297.22049</v>
      </c>
      <c r="Y212" s="62">
        <v>18028.909189999998</v>
      </c>
      <c r="Z212" s="62">
        <v>16268.311300000001</v>
      </c>
    </row>
    <row r="213" spans="1:26" ht="12" customHeight="1" x14ac:dyDescent="0.25">
      <c r="A213" s="42">
        <v>2019</v>
      </c>
      <c r="B213" s="42" t="s">
        <v>14</v>
      </c>
      <c r="C213" s="43">
        <v>7790.85653</v>
      </c>
      <c r="D213" s="43">
        <v>0</v>
      </c>
      <c r="E213" s="43">
        <v>0</v>
      </c>
      <c r="F213" s="43">
        <v>0</v>
      </c>
      <c r="G213" s="43">
        <v>0</v>
      </c>
      <c r="H213" s="43">
        <v>8013.3180000000002</v>
      </c>
      <c r="I213" s="43">
        <v>178.81214000000003</v>
      </c>
      <c r="J213" s="43">
        <v>670.98212000000001</v>
      </c>
      <c r="K213" s="44">
        <v>16653.968789999999</v>
      </c>
      <c r="L213" s="60"/>
      <c r="M213" s="43">
        <v>3966.2902299999996</v>
      </c>
      <c r="N213" s="43">
        <v>3695.6119000000003</v>
      </c>
      <c r="O213" s="43">
        <v>2889.8012899999999</v>
      </c>
      <c r="P213" s="43">
        <v>4591.0946000000004</v>
      </c>
      <c r="Q213" s="43">
        <v>2194.1964500000004</v>
      </c>
      <c r="R213" s="43"/>
      <c r="S213" s="43">
        <v>2018.2166099999999</v>
      </c>
      <c r="T213" s="44">
        <v>19355.211080000001</v>
      </c>
      <c r="U213" s="55"/>
      <c r="V213" s="43">
        <v>53.588999999999999</v>
      </c>
      <c r="W213" s="61"/>
      <c r="X213" s="44">
        <v>36062.76887</v>
      </c>
      <c r="Y213" s="62">
        <v>19408.800080000001</v>
      </c>
      <c r="Z213" s="62">
        <v>16653.968789999999</v>
      </c>
    </row>
    <row r="214" spans="1:26" ht="12" customHeight="1" x14ac:dyDescent="0.25">
      <c r="A214" s="42">
        <v>2019</v>
      </c>
      <c r="B214" s="42" t="s">
        <v>15</v>
      </c>
      <c r="C214" s="43">
        <v>68656.282429999992</v>
      </c>
      <c r="D214" s="43">
        <v>0</v>
      </c>
      <c r="E214" s="43">
        <v>0</v>
      </c>
      <c r="F214" s="43">
        <v>0</v>
      </c>
      <c r="G214" s="43">
        <v>0</v>
      </c>
      <c r="H214" s="43">
        <v>57660.107759999999</v>
      </c>
      <c r="I214" s="43">
        <v>1935.50486</v>
      </c>
      <c r="J214" s="43">
        <v>49211.285540000004</v>
      </c>
      <c r="K214" s="44">
        <v>177463.18059</v>
      </c>
      <c r="L214" s="60"/>
      <c r="M214" s="43">
        <v>62126.885829999992</v>
      </c>
      <c r="N214" s="43">
        <v>65382.172320000005</v>
      </c>
      <c r="O214" s="43">
        <v>19984.416789999999</v>
      </c>
      <c r="P214" s="43">
        <v>55563.810119999995</v>
      </c>
      <c r="Q214" s="43">
        <v>13777.380819999998</v>
      </c>
      <c r="R214" s="43"/>
      <c r="S214" s="43">
        <v>23643.689730000002</v>
      </c>
      <c r="T214" s="44">
        <v>240478.35561</v>
      </c>
      <c r="U214" s="55"/>
      <c r="V214" s="43">
        <v>395.04600000000005</v>
      </c>
      <c r="W214" s="61"/>
      <c r="X214" s="44">
        <v>418336.58219999995</v>
      </c>
      <c r="Y214" s="62">
        <v>240873.40161</v>
      </c>
      <c r="Z214" s="62">
        <v>177463.18059</v>
      </c>
    </row>
    <row r="215" spans="1:26" ht="12" customHeight="1" x14ac:dyDescent="0.25">
      <c r="A215" s="42">
        <v>2020</v>
      </c>
      <c r="B215" s="42" t="s">
        <v>3</v>
      </c>
      <c r="C215" s="43">
        <v>5121.0717299999997</v>
      </c>
      <c r="D215" s="43">
        <v>0</v>
      </c>
      <c r="E215" s="43">
        <v>0</v>
      </c>
      <c r="F215" s="43">
        <v>0</v>
      </c>
      <c r="G215" s="43">
        <v>0</v>
      </c>
      <c r="H215" s="43">
        <v>2492.83619</v>
      </c>
      <c r="I215" s="43">
        <v>378.20240000000001</v>
      </c>
      <c r="J215" s="43">
        <v>3114.1813299999999</v>
      </c>
      <c r="K215" s="44">
        <v>11106.291649999999</v>
      </c>
      <c r="L215" s="60"/>
      <c r="M215" s="43">
        <v>5655.2411000000002</v>
      </c>
      <c r="N215" s="43">
        <v>7094.9221100000004</v>
      </c>
      <c r="O215" s="43">
        <v>3147.1130200000002</v>
      </c>
      <c r="P215" s="43">
        <v>4450.6312099999996</v>
      </c>
      <c r="Q215" s="43">
        <v>837.68517000000008</v>
      </c>
      <c r="R215" s="43">
        <v>0</v>
      </c>
      <c r="S215" s="43">
        <v>0</v>
      </c>
      <c r="T215" s="44">
        <v>21185.592610000003</v>
      </c>
      <c r="U215" s="55"/>
      <c r="V215" s="43">
        <v>48.154000000000003</v>
      </c>
      <c r="W215" s="61"/>
      <c r="X215" s="44">
        <v>32340.038260000001</v>
      </c>
      <c r="Y215" s="62">
        <v>21233.746610000002</v>
      </c>
      <c r="Z215" s="62">
        <v>11106.291649999999</v>
      </c>
    </row>
    <row r="216" spans="1:26" ht="12" customHeight="1" x14ac:dyDescent="0.25">
      <c r="A216" s="42">
        <v>2020</v>
      </c>
      <c r="B216" s="42" t="s">
        <v>4</v>
      </c>
      <c r="C216" s="43">
        <v>4793.9101300000011</v>
      </c>
      <c r="D216" s="43">
        <v>0</v>
      </c>
      <c r="E216" s="43">
        <v>0</v>
      </c>
      <c r="F216" s="43">
        <v>0</v>
      </c>
      <c r="G216" s="43">
        <v>0</v>
      </c>
      <c r="H216" s="43">
        <v>1837.1855800000001</v>
      </c>
      <c r="I216" s="43">
        <v>228.65655999999998</v>
      </c>
      <c r="J216" s="43">
        <v>3161.9828299999999</v>
      </c>
      <c r="K216" s="44">
        <v>10021.735100000002</v>
      </c>
      <c r="L216" s="60"/>
      <c r="M216" s="43">
        <v>3693.75504</v>
      </c>
      <c r="N216" s="43">
        <v>5810.8027400000001</v>
      </c>
      <c r="O216" s="43">
        <v>3940.5706500000006</v>
      </c>
      <c r="P216" s="43">
        <v>5269.6418300000005</v>
      </c>
      <c r="Q216" s="43">
        <v>0</v>
      </c>
      <c r="R216" s="43">
        <v>0</v>
      </c>
      <c r="S216" s="43">
        <v>559.64015000000006</v>
      </c>
      <c r="T216" s="44">
        <v>19274.41041</v>
      </c>
      <c r="U216" s="55"/>
      <c r="V216" s="43">
        <v>48.688000000000002</v>
      </c>
      <c r="W216" s="61"/>
      <c r="X216" s="44">
        <v>29344.83351</v>
      </c>
      <c r="Y216" s="62">
        <v>19323.098409999999</v>
      </c>
      <c r="Z216" s="62">
        <v>10021.735100000002</v>
      </c>
    </row>
    <row r="217" spans="1:26" ht="12" customHeight="1" x14ac:dyDescent="0.25">
      <c r="A217" s="42">
        <v>2020</v>
      </c>
      <c r="B217" s="42" t="s">
        <v>5</v>
      </c>
      <c r="C217" s="43">
        <v>3663.7433900000001</v>
      </c>
      <c r="D217" s="43">
        <v>0</v>
      </c>
      <c r="E217" s="43">
        <v>0</v>
      </c>
      <c r="F217" s="43">
        <v>0</v>
      </c>
      <c r="G217" s="43">
        <v>0</v>
      </c>
      <c r="H217" s="43">
        <v>1349.6229599999999</v>
      </c>
      <c r="I217" s="43">
        <v>59.915999999999997</v>
      </c>
      <c r="J217" s="43">
        <v>2098.8819100000001</v>
      </c>
      <c r="K217" s="44">
        <v>7172.1642600000005</v>
      </c>
      <c r="L217" s="60"/>
      <c r="M217" s="43">
        <v>5788.4115000000002</v>
      </c>
      <c r="N217" s="43">
        <v>6159.8778400000001</v>
      </c>
      <c r="O217" s="43">
        <v>4045.2189500000004</v>
      </c>
      <c r="P217" s="43">
        <v>6209.0407100000002</v>
      </c>
      <c r="Q217" s="43">
        <v>1101.6704099999999</v>
      </c>
      <c r="R217" s="43">
        <v>0</v>
      </c>
      <c r="S217" s="43">
        <v>889.43600000000004</v>
      </c>
      <c r="T217" s="44">
        <v>24193.655409999999</v>
      </c>
      <c r="U217" s="55"/>
      <c r="V217" s="43">
        <v>32.631</v>
      </c>
      <c r="W217" s="61"/>
      <c r="X217" s="44">
        <v>31398.450670000002</v>
      </c>
      <c r="Y217" s="62">
        <v>24226.286410000001</v>
      </c>
      <c r="Z217" s="62">
        <v>7172.1642600000005</v>
      </c>
    </row>
    <row r="218" spans="1:26" ht="12" customHeight="1" x14ac:dyDescent="0.25">
      <c r="A218" s="42">
        <v>2020</v>
      </c>
      <c r="B218" s="42" t="s">
        <v>6</v>
      </c>
      <c r="C218" s="43">
        <v>3379.0738999999999</v>
      </c>
      <c r="D218" s="43">
        <v>0</v>
      </c>
      <c r="E218" s="43">
        <v>0</v>
      </c>
      <c r="F218" s="43">
        <v>0</v>
      </c>
      <c r="G218" s="43">
        <v>0</v>
      </c>
      <c r="H218" s="43">
        <v>1421.53738</v>
      </c>
      <c r="I218" s="43">
        <v>595.8501</v>
      </c>
      <c r="J218" s="43">
        <v>2200.7981100000002</v>
      </c>
      <c r="K218" s="44">
        <v>7597.2594900000004</v>
      </c>
      <c r="L218" s="60"/>
      <c r="M218" s="43">
        <v>2852.7992899999999</v>
      </c>
      <c r="N218" s="43">
        <v>4879.20604</v>
      </c>
      <c r="O218" s="43">
        <v>1822.75225</v>
      </c>
      <c r="P218" s="43">
        <v>1863.43958</v>
      </c>
      <c r="Q218" s="43">
        <v>1949.10825</v>
      </c>
      <c r="R218" s="43">
        <v>0</v>
      </c>
      <c r="S218" s="43">
        <v>2287.6472999999996</v>
      </c>
      <c r="T218" s="44">
        <v>15654.952709999998</v>
      </c>
      <c r="U218" s="55"/>
      <c r="V218" s="43">
        <v>11.542999999999999</v>
      </c>
      <c r="W218" s="61"/>
      <c r="X218" s="44">
        <v>23263.7552</v>
      </c>
      <c r="Y218" s="62">
        <v>15666.495709999997</v>
      </c>
      <c r="Z218" s="62">
        <v>7597.2594900000004</v>
      </c>
    </row>
    <row r="219" spans="1:26" ht="12" customHeight="1" x14ac:dyDescent="0.25">
      <c r="A219" s="42">
        <v>2020</v>
      </c>
      <c r="B219" s="42" t="s">
        <v>7</v>
      </c>
      <c r="C219" s="43">
        <v>3699.9219199999998</v>
      </c>
      <c r="D219" s="43">
        <v>0</v>
      </c>
      <c r="E219" s="43">
        <v>0</v>
      </c>
      <c r="F219" s="43">
        <v>0</v>
      </c>
      <c r="G219" s="43">
        <v>0</v>
      </c>
      <c r="H219" s="43">
        <v>1325.4890500000001</v>
      </c>
      <c r="I219" s="43">
        <v>128.25650999999999</v>
      </c>
      <c r="J219" s="43">
        <v>2442.8630100000005</v>
      </c>
      <c r="K219" s="44">
        <v>7596.530490000001</v>
      </c>
      <c r="L219" s="60"/>
      <c r="M219" s="43">
        <v>2991.63204</v>
      </c>
      <c r="N219" s="43">
        <v>5297.9680799999996</v>
      </c>
      <c r="O219" s="43">
        <v>2860.58374</v>
      </c>
      <c r="P219" s="43">
        <v>3831.8474600000004</v>
      </c>
      <c r="Q219" s="43">
        <v>1940.62608</v>
      </c>
      <c r="R219" s="43">
        <v>0</v>
      </c>
      <c r="S219" s="43">
        <v>2845.3861999999999</v>
      </c>
      <c r="T219" s="44">
        <v>19768.043600000001</v>
      </c>
      <c r="U219" s="55"/>
      <c r="V219" s="43">
        <v>10.393000000000001</v>
      </c>
      <c r="W219" s="61"/>
      <c r="X219" s="44">
        <v>27374.967090000002</v>
      </c>
      <c r="Y219" s="62">
        <v>19778.436600000001</v>
      </c>
      <c r="Z219" s="62">
        <v>7596.530490000001</v>
      </c>
    </row>
    <row r="220" spans="1:26" ht="12" customHeight="1" x14ac:dyDescent="0.25">
      <c r="A220" s="42">
        <v>2020</v>
      </c>
      <c r="B220" s="42" t="s">
        <v>8</v>
      </c>
      <c r="C220" s="43">
        <v>3584.2970499999997</v>
      </c>
      <c r="D220" s="43">
        <v>0</v>
      </c>
      <c r="E220" s="43">
        <v>0</v>
      </c>
      <c r="F220" s="43">
        <v>0</v>
      </c>
      <c r="G220" s="43">
        <v>0</v>
      </c>
      <c r="H220" s="43">
        <v>1252.7671499999999</v>
      </c>
      <c r="I220" s="43">
        <v>64.175640000000001</v>
      </c>
      <c r="J220" s="43">
        <v>3295.8071300000001</v>
      </c>
      <c r="K220" s="44">
        <v>8197.0469699999994</v>
      </c>
      <c r="L220" s="60"/>
      <c r="M220" s="43">
        <v>3433.7665200000001</v>
      </c>
      <c r="N220" s="43">
        <v>4921.8609400000005</v>
      </c>
      <c r="O220" s="43">
        <v>3344.1238800000001</v>
      </c>
      <c r="P220" s="43">
        <v>3312.9188100000001</v>
      </c>
      <c r="Q220" s="43">
        <v>3075.81988</v>
      </c>
      <c r="R220" s="43">
        <v>0</v>
      </c>
      <c r="S220" s="43">
        <v>995.10029000000009</v>
      </c>
      <c r="T220" s="44">
        <v>19083.590319999996</v>
      </c>
      <c r="U220" s="55"/>
      <c r="V220" s="43">
        <v>0</v>
      </c>
      <c r="W220" s="61"/>
      <c r="X220" s="44">
        <v>27280.637289999995</v>
      </c>
      <c r="Y220" s="62">
        <v>19083.590319999996</v>
      </c>
      <c r="Z220" s="62">
        <v>8197.0469699999994</v>
      </c>
    </row>
    <row r="221" spans="1:26" ht="12" customHeight="1" x14ac:dyDescent="0.25">
      <c r="A221" s="42">
        <v>2020</v>
      </c>
      <c r="B221" s="42" t="s">
        <v>9</v>
      </c>
      <c r="C221" s="43">
        <v>4819.0351700000001</v>
      </c>
      <c r="D221" s="43">
        <v>0</v>
      </c>
      <c r="E221" s="43">
        <v>0</v>
      </c>
      <c r="F221" s="43">
        <v>0</v>
      </c>
      <c r="G221" s="43">
        <v>0</v>
      </c>
      <c r="H221" s="43">
        <v>2698.5519100000001</v>
      </c>
      <c r="I221" s="43">
        <v>0</v>
      </c>
      <c r="J221" s="43">
        <v>3993.2023100000001</v>
      </c>
      <c r="K221" s="44">
        <v>11510.789390000002</v>
      </c>
      <c r="L221" s="60"/>
      <c r="M221" s="43">
        <v>6871.4573700000001</v>
      </c>
      <c r="N221" s="43">
        <v>3953.8212200000003</v>
      </c>
      <c r="O221" s="43">
        <v>3528.2296200000001</v>
      </c>
      <c r="P221" s="43">
        <v>4692.2732599999999</v>
      </c>
      <c r="Q221" s="43">
        <v>1096.17678</v>
      </c>
      <c r="R221" s="43">
        <v>0</v>
      </c>
      <c r="S221" s="43">
        <v>2473.2338399999999</v>
      </c>
      <c r="T221" s="44">
        <v>22615.192090000004</v>
      </c>
      <c r="U221" s="55"/>
      <c r="V221" s="43">
        <v>14.269</v>
      </c>
      <c r="W221" s="61"/>
      <c r="X221" s="44">
        <v>34140.250480000002</v>
      </c>
      <c r="Y221" s="62">
        <v>22629.461090000004</v>
      </c>
      <c r="Z221" s="62">
        <v>11510.789390000002</v>
      </c>
    </row>
    <row r="222" spans="1:26" ht="12" customHeight="1" x14ac:dyDescent="0.25">
      <c r="A222" s="42">
        <v>2020</v>
      </c>
      <c r="B222" s="42" t="s">
        <v>10</v>
      </c>
      <c r="C222" s="43">
        <v>4834.9804599999998</v>
      </c>
      <c r="D222" s="43">
        <v>0</v>
      </c>
      <c r="E222" s="43">
        <v>0</v>
      </c>
      <c r="F222" s="43">
        <v>0</v>
      </c>
      <c r="G222" s="43">
        <v>0</v>
      </c>
      <c r="H222" s="43">
        <v>2357.99656</v>
      </c>
      <c r="I222" s="43">
        <v>12.024049999999999</v>
      </c>
      <c r="J222" s="43">
        <v>4208.8121799999999</v>
      </c>
      <c r="K222" s="44">
        <v>11413.813249999999</v>
      </c>
      <c r="L222" s="60"/>
      <c r="M222" s="43">
        <v>3701.3300799999997</v>
      </c>
      <c r="N222" s="43">
        <v>5871.7431899999992</v>
      </c>
      <c r="O222" s="43">
        <v>3930.7369000000003</v>
      </c>
      <c r="P222" s="43">
        <v>4736.9892800000007</v>
      </c>
      <c r="Q222" s="43">
        <v>2006.06476</v>
      </c>
      <c r="R222" s="43">
        <v>0</v>
      </c>
      <c r="S222" s="43">
        <v>2393.2089900000001</v>
      </c>
      <c r="T222" s="44">
        <v>22640.073199999999</v>
      </c>
      <c r="U222" s="55"/>
      <c r="V222" s="43">
        <v>27.442</v>
      </c>
      <c r="W222" s="61"/>
      <c r="X222" s="44">
        <v>34081.328450000001</v>
      </c>
      <c r="Y222" s="62">
        <v>22667.515199999998</v>
      </c>
      <c r="Z222" s="62">
        <v>11413.813249999999</v>
      </c>
    </row>
    <row r="223" spans="1:26" ht="12" customHeight="1" x14ac:dyDescent="0.25">
      <c r="A223" s="42">
        <v>2020</v>
      </c>
      <c r="B223" s="42" t="s">
        <v>11</v>
      </c>
      <c r="C223" s="43">
        <v>4559.6313499999997</v>
      </c>
      <c r="D223" s="43">
        <v>0</v>
      </c>
      <c r="E223" s="43">
        <v>0</v>
      </c>
      <c r="F223" s="43">
        <v>0</v>
      </c>
      <c r="G223" s="43">
        <v>0</v>
      </c>
      <c r="H223" s="43">
        <v>5476.5673299999999</v>
      </c>
      <c r="I223" s="43">
        <v>28.252500000000001</v>
      </c>
      <c r="J223" s="43">
        <v>2293.2466700000004</v>
      </c>
      <c r="K223" s="44">
        <v>12357.69785</v>
      </c>
      <c r="L223" s="60"/>
      <c r="M223" s="43">
        <v>4808.5653500000008</v>
      </c>
      <c r="N223" s="43">
        <v>4701.0495999999994</v>
      </c>
      <c r="O223" s="43">
        <v>1936.0616699999998</v>
      </c>
      <c r="P223" s="43">
        <v>3705.45469</v>
      </c>
      <c r="Q223" s="43">
        <v>2030.0712399999998</v>
      </c>
      <c r="R223" s="43">
        <v>0</v>
      </c>
      <c r="S223" s="43">
        <v>2932.89221</v>
      </c>
      <c r="T223" s="44">
        <v>20114.09476</v>
      </c>
      <c r="U223" s="55"/>
      <c r="V223" s="43">
        <v>12.771000000000001</v>
      </c>
      <c r="W223" s="61"/>
      <c r="X223" s="44">
        <v>32484.563610000001</v>
      </c>
      <c r="Y223" s="62">
        <v>20126.865760000001</v>
      </c>
      <c r="Z223" s="62">
        <v>12357.69785</v>
      </c>
    </row>
    <row r="224" spans="1:26" ht="12" customHeight="1" x14ac:dyDescent="0.25">
      <c r="A224" s="42">
        <v>2020</v>
      </c>
      <c r="B224" s="42" t="s">
        <v>12</v>
      </c>
      <c r="C224" s="43">
        <v>7501.3642499999996</v>
      </c>
      <c r="D224" s="43">
        <v>0</v>
      </c>
      <c r="E224" s="43">
        <v>0</v>
      </c>
      <c r="F224" s="43">
        <v>0</v>
      </c>
      <c r="G224" s="43">
        <v>0</v>
      </c>
      <c r="H224" s="43">
        <v>7253.9093000000012</v>
      </c>
      <c r="I224" s="43">
        <v>0</v>
      </c>
      <c r="J224" s="43">
        <v>725.32934999999998</v>
      </c>
      <c r="K224" s="44">
        <v>15480.602900000002</v>
      </c>
      <c r="L224" s="60"/>
      <c r="M224" s="43">
        <v>879.65721999999994</v>
      </c>
      <c r="N224" s="43">
        <v>3058.8533200000002</v>
      </c>
      <c r="O224" s="43">
        <v>2755.4055199999998</v>
      </c>
      <c r="P224" s="43">
        <v>4080.2777300000002</v>
      </c>
      <c r="Q224" s="43">
        <v>1989.35833</v>
      </c>
      <c r="R224" s="43">
        <v>0</v>
      </c>
      <c r="S224" s="43">
        <v>496.16288000000003</v>
      </c>
      <c r="T224" s="44">
        <v>13259.715</v>
      </c>
      <c r="U224" s="55"/>
      <c r="V224" s="43">
        <v>0</v>
      </c>
      <c r="W224" s="61"/>
      <c r="X224" s="44">
        <v>28740.317900000002</v>
      </c>
      <c r="Y224" s="62">
        <v>13259.715</v>
      </c>
      <c r="Z224" s="62">
        <v>15480.602900000002</v>
      </c>
    </row>
    <row r="225" spans="1:26" ht="12" customHeight="1" x14ac:dyDescent="0.25">
      <c r="A225" s="42">
        <v>2020</v>
      </c>
      <c r="B225" s="42" t="s">
        <v>13</v>
      </c>
      <c r="C225" s="43">
        <v>7195.1501600000001</v>
      </c>
      <c r="D225" s="43">
        <v>0</v>
      </c>
      <c r="E225" s="43">
        <v>0</v>
      </c>
      <c r="F225" s="43">
        <v>0</v>
      </c>
      <c r="G225" s="43">
        <v>0</v>
      </c>
      <c r="H225" s="43">
        <v>7082.4177599999994</v>
      </c>
      <c r="I225" s="43">
        <v>43.58717</v>
      </c>
      <c r="J225" s="43">
        <v>1860.6652300000001</v>
      </c>
      <c r="K225" s="44">
        <v>16181.820320000001</v>
      </c>
      <c r="L225" s="60"/>
      <c r="M225" s="43">
        <v>1873.6955699999999</v>
      </c>
      <c r="N225" s="43">
        <v>4093.9428899999998</v>
      </c>
      <c r="O225" s="43">
        <v>979.38792000000001</v>
      </c>
      <c r="P225" s="43">
        <v>2849.0843</v>
      </c>
      <c r="Q225" s="43">
        <v>2916.0174900000002</v>
      </c>
      <c r="R225" s="43">
        <v>0</v>
      </c>
      <c r="S225" s="43">
        <v>2156.3047199999996</v>
      </c>
      <c r="T225" s="44">
        <v>14868.43289</v>
      </c>
      <c r="U225" s="55"/>
      <c r="V225" s="43">
        <v>17.843</v>
      </c>
      <c r="W225" s="61"/>
      <c r="X225" s="44">
        <v>31068.096210000003</v>
      </c>
      <c r="Y225" s="62">
        <v>14886.275890000001</v>
      </c>
      <c r="Z225" s="62">
        <v>16181.820320000001</v>
      </c>
    </row>
    <row r="226" spans="1:26" ht="12" customHeight="1" x14ac:dyDescent="0.25">
      <c r="A226" s="42">
        <v>2020</v>
      </c>
      <c r="B226" s="42" t="s">
        <v>14</v>
      </c>
      <c r="C226" s="43">
        <v>6694.5362000000005</v>
      </c>
      <c r="D226" s="43">
        <v>0</v>
      </c>
      <c r="E226" s="43">
        <v>0</v>
      </c>
      <c r="F226" s="43">
        <v>0</v>
      </c>
      <c r="G226" s="43">
        <v>0</v>
      </c>
      <c r="H226" s="43">
        <v>6235.8960700000007</v>
      </c>
      <c r="I226" s="43">
        <v>317.87945999999994</v>
      </c>
      <c r="J226" s="43">
        <v>4382.8681699999997</v>
      </c>
      <c r="K226" s="44">
        <v>17631.179899999999</v>
      </c>
      <c r="L226" s="60"/>
      <c r="M226" s="43">
        <v>3382.04414</v>
      </c>
      <c r="N226" s="43">
        <v>1939.4013300000001</v>
      </c>
      <c r="O226" s="43">
        <v>1927.1528400000002</v>
      </c>
      <c r="P226" s="43">
        <v>4102.7296400000005</v>
      </c>
      <c r="Q226" s="43">
        <v>2682.8256000000001</v>
      </c>
      <c r="R226" s="43">
        <v>0</v>
      </c>
      <c r="S226" s="43">
        <v>2043.4444899999999</v>
      </c>
      <c r="T226" s="44">
        <v>16077.598040000003</v>
      </c>
      <c r="U226" s="55"/>
      <c r="V226" s="43">
        <v>0</v>
      </c>
      <c r="W226" s="61"/>
      <c r="X226" s="44">
        <v>33708.77794</v>
      </c>
      <c r="Y226" s="62">
        <v>16077.598040000003</v>
      </c>
      <c r="Z226" s="62">
        <v>17631.179899999999</v>
      </c>
    </row>
    <row r="227" spans="1:26" ht="12" customHeight="1" x14ac:dyDescent="0.25">
      <c r="A227" s="42">
        <v>2020</v>
      </c>
      <c r="B227" s="42" t="s">
        <v>15</v>
      </c>
      <c r="C227" s="43">
        <v>59846.715709999997</v>
      </c>
      <c r="D227" s="43">
        <v>0</v>
      </c>
      <c r="E227" s="43">
        <v>0</v>
      </c>
      <c r="F227" s="43">
        <v>0</v>
      </c>
      <c r="G227" s="43">
        <v>0</v>
      </c>
      <c r="H227" s="43">
        <v>40784.777239999996</v>
      </c>
      <c r="I227" s="43">
        <v>1856.8003899999997</v>
      </c>
      <c r="J227" s="43">
        <v>33778.638230000004</v>
      </c>
      <c r="K227" s="44">
        <v>136266.93156999999</v>
      </c>
      <c r="L227" s="60"/>
      <c r="M227" s="43">
        <v>45932.355220000012</v>
      </c>
      <c r="N227" s="43">
        <v>57783.4493</v>
      </c>
      <c r="O227" s="43">
        <v>34217.336960000001</v>
      </c>
      <c r="P227" s="43">
        <v>49104.328500000003</v>
      </c>
      <c r="Q227" s="43">
        <v>21625.423989999999</v>
      </c>
      <c r="R227" s="43">
        <v>0</v>
      </c>
      <c r="S227" s="43">
        <v>20072.457069999997</v>
      </c>
      <c r="T227" s="44">
        <v>228735.35104000001</v>
      </c>
      <c r="U227" s="55"/>
      <c r="V227" s="43">
        <v>223.73400000000001</v>
      </c>
      <c r="W227" s="61"/>
      <c r="X227" s="44">
        <v>365226.01660999999</v>
      </c>
      <c r="Y227" s="62">
        <v>228959.08504000001</v>
      </c>
      <c r="Z227" s="62">
        <v>136266.93156999999</v>
      </c>
    </row>
    <row r="228" spans="1:26" ht="12" customHeight="1" x14ac:dyDescent="0.25">
      <c r="A228" s="42">
        <v>2021</v>
      </c>
      <c r="B228" s="42" t="s">
        <v>3</v>
      </c>
      <c r="C228" s="43">
        <v>6409.12003</v>
      </c>
      <c r="D228" s="43">
        <v>0</v>
      </c>
      <c r="E228" s="43">
        <v>0</v>
      </c>
      <c r="F228" s="43">
        <v>0</v>
      </c>
      <c r="G228" s="43">
        <v>0</v>
      </c>
      <c r="H228" s="43">
        <v>6056.7002400000001</v>
      </c>
      <c r="I228" s="43">
        <v>357.72209000000004</v>
      </c>
      <c r="J228" s="43">
        <v>6091.0170400000043</v>
      </c>
      <c r="K228" s="44">
        <v>18914.559400000002</v>
      </c>
      <c r="L228" s="60"/>
      <c r="M228" s="43">
        <v>1848.1715800000002</v>
      </c>
      <c r="N228" s="43">
        <v>3752.3248699999995</v>
      </c>
      <c r="O228" s="43">
        <v>2810.7705799999999</v>
      </c>
      <c r="P228" s="43">
        <v>2840.36</v>
      </c>
      <c r="Q228" s="43">
        <v>2561.2083600000001</v>
      </c>
      <c r="R228" s="43">
        <v>0</v>
      </c>
      <c r="S228" s="43">
        <v>1985.8011799999999</v>
      </c>
      <c r="T228" s="44">
        <v>15798.636570000001</v>
      </c>
      <c r="U228" s="55"/>
      <c r="V228" s="43">
        <v>13.92332</v>
      </c>
      <c r="W228" s="61"/>
      <c r="X228" s="44">
        <v>34727.119290000002</v>
      </c>
      <c r="Y228" s="62">
        <v>15812.55989</v>
      </c>
      <c r="Z228" s="62">
        <v>18914.559400000002</v>
      </c>
    </row>
    <row r="229" spans="1:26" ht="12" customHeight="1" x14ac:dyDescent="0.25">
      <c r="A229" s="42">
        <v>2021</v>
      </c>
      <c r="B229" s="42" t="s">
        <v>4</v>
      </c>
      <c r="C229" s="43">
        <v>7089.9826299999995</v>
      </c>
      <c r="D229" s="43">
        <v>0</v>
      </c>
      <c r="E229" s="43">
        <v>0</v>
      </c>
      <c r="F229" s="43">
        <v>0</v>
      </c>
      <c r="G229" s="43">
        <v>0</v>
      </c>
      <c r="H229" s="43">
        <v>6828.67</v>
      </c>
      <c r="I229" s="43">
        <v>209.29938000000001</v>
      </c>
      <c r="J229" s="43">
        <v>663.78156000000001</v>
      </c>
      <c r="K229" s="44">
        <v>14791.73357</v>
      </c>
      <c r="L229" s="60"/>
      <c r="M229" s="43">
        <v>1788.3342600000001</v>
      </c>
      <c r="N229" s="43">
        <v>5185.8901500000002</v>
      </c>
      <c r="O229" s="43">
        <v>1595.1339399999999</v>
      </c>
      <c r="P229" s="43">
        <v>3965.4278899999999</v>
      </c>
      <c r="Q229" s="43">
        <v>2105.1776</v>
      </c>
      <c r="R229" s="43">
        <v>0</v>
      </c>
      <c r="S229" s="43">
        <v>948.00917000000004</v>
      </c>
      <c r="T229" s="44">
        <v>15587.97301</v>
      </c>
      <c r="U229" s="55"/>
      <c r="V229" s="43">
        <v>0</v>
      </c>
      <c r="W229" s="61"/>
      <c r="X229" s="44">
        <v>30379.706579999998</v>
      </c>
      <c r="Y229" s="62">
        <v>15587.97301</v>
      </c>
      <c r="Z229" s="62">
        <v>14791.73357</v>
      </c>
    </row>
    <row r="230" spans="1:26" ht="12" customHeight="1" x14ac:dyDescent="0.25">
      <c r="A230" s="42">
        <v>2021</v>
      </c>
      <c r="B230" s="42" t="s">
        <v>5</v>
      </c>
      <c r="C230" s="46">
        <v>7774.7518600000003</v>
      </c>
      <c r="D230" s="46">
        <v>0</v>
      </c>
      <c r="E230" s="46">
        <v>0</v>
      </c>
      <c r="F230" s="46">
        <v>0</v>
      </c>
      <c r="G230" s="46">
        <v>0</v>
      </c>
      <c r="H230" s="46">
        <v>7696.9449999999997</v>
      </c>
      <c r="I230" s="46">
        <v>968.63284999999996</v>
      </c>
      <c r="J230" s="46">
        <v>740.65044</v>
      </c>
      <c r="K230" s="47">
        <v>17180.980150000003</v>
      </c>
      <c r="L230" s="60"/>
      <c r="M230" s="43">
        <v>2883.09764</v>
      </c>
      <c r="N230" s="43">
        <v>3007.7671500000001</v>
      </c>
      <c r="O230" s="43">
        <v>912.50522999999998</v>
      </c>
      <c r="P230" s="43">
        <v>4833.5243900000005</v>
      </c>
      <c r="Q230" s="43">
        <v>3163.8394000000003</v>
      </c>
      <c r="R230" s="43">
        <v>0</v>
      </c>
      <c r="S230" s="43">
        <v>494.1696</v>
      </c>
      <c r="T230" s="44">
        <v>15294.903410000001</v>
      </c>
      <c r="U230" s="55"/>
      <c r="V230" s="43">
        <v>32.384</v>
      </c>
      <c r="W230" s="61"/>
      <c r="X230" s="44">
        <v>32508.26756</v>
      </c>
      <c r="Y230" s="62">
        <v>15327.287410000001</v>
      </c>
      <c r="Z230" s="62">
        <v>17180.980150000003</v>
      </c>
    </row>
    <row r="231" spans="1:26" ht="12" customHeight="1" x14ac:dyDescent="0.25">
      <c r="A231" s="42">
        <v>2021</v>
      </c>
      <c r="B231" s="42" t="s">
        <v>6</v>
      </c>
      <c r="C231" s="46">
        <v>6268.7162200000002</v>
      </c>
      <c r="D231" s="46">
        <v>0</v>
      </c>
      <c r="E231" s="46">
        <v>0</v>
      </c>
      <c r="F231" s="46">
        <v>0</v>
      </c>
      <c r="G231" s="46">
        <v>0</v>
      </c>
      <c r="H231" s="46">
        <v>7046.4754999999996</v>
      </c>
      <c r="I231" s="46">
        <v>280.51643999999999</v>
      </c>
      <c r="J231" s="46">
        <v>2187.7752500000001</v>
      </c>
      <c r="K231" s="47">
        <v>15783.483409999999</v>
      </c>
      <c r="L231" s="60"/>
      <c r="M231" s="43">
        <v>1803.5341299999998</v>
      </c>
      <c r="N231" s="43">
        <v>2932.76901</v>
      </c>
      <c r="O231" s="43">
        <v>6613.8006899999991</v>
      </c>
      <c r="P231" s="43">
        <v>1749.90175</v>
      </c>
      <c r="Q231" s="43">
        <v>1940.6593199999998</v>
      </c>
      <c r="R231" s="43">
        <v>0</v>
      </c>
      <c r="S231" s="43">
        <v>3588.1744800000006</v>
      </c>
      <c r="T231" s="44">
        <v>18628.839380000001</v>
      </c>
      <c r="U231" s="55"/>
      <c r="V231" s="43">
        <v>12.465999999999999</v>
      </c>
      <c r="W231" s="61"/>
      <c r="X231" s="44">
        <v>34424.788789999999</v>
      </c>
      <c r="Y231" s="62">
        <v>18641.305380000002</v>
      </c>
      <c r="Z231" s="62">
        <v>15783.483409999999</v>
      </c>
    </row>
    <row r="232" spans="1:26" ht="12" customHeight="1" x14ac:dyDescent="0.25">
      <c r="A232" s="42">
        <v>2021</v>
      </c>
      <c r="B232" s="42" t="s">
        <v>7</v>
      </c>
      <c r="C232" s="46">
        <v>7976.8610799999997</v>
      </c>
      <c r="D232" s="46">
        <v>0</v>
      </c>
      <c r="E232" s="46">
        <v>0</v>
      </c>
      <c r="F232" s="46">
        <v>0</v>
      </c>
      <c r="G232" s="46">
        <v>0</v>
      </c>
      <c r="H232" s="46">
        <v>7657.8291899999995</v>
      </c>
      <c r="I232" s="46">
        <v>134.69215</v>
      </c>
      <c r="J232" s="46">
        <v>1076.1070199999999</v>
      </c>
      <c r="K232" s="47">
        <v>16845.489440000001</v>
      </c>
      <c r="L232" s="60"/>
      <c r="M232" s="43">
        <v>5603.88976</v>
      </c>
      <c r="N232" s="43">
        <v>2081.7350200000001</v>
      </c>
      <c r="O232" s="43">
        <v>2020.2923199999998</v>
      </c>
      <c r="P232" s="43">
        <v>3023.9712000000004</v>
      </c>
      <c r="Q232" s="43">
        <v>2010.8889699999997</v>
      </c>
      <c r="R232" s="43">
        <v>0</v>
      </c>
      <c r="S232" s="43">
        <v>1134.0091200000002</v>
      </c>
      <c r="T232" s="44">
        <v>15874.786390000001</v>
      </c>
      <c r="U232" s="55"/>
      <c r="V232" s="43">
        <v>16.513000000000002</v>
      </c>
      <c r="W232" s="61"/>
      <c r="X232" s="44">
        <v>32736.788830000001</v>
      </c>
      <c r="Y232" s="62">
        <v>15891.299390000002</v>
      </c>
      <c r="Z232" s="62">
        <v>16845.489440000001</v>
      </c>
    </row>
    <row r="233" spans="1:26" ht="12" customHeight="1" x14ac:dyDescent="0.25">
      <c r="A233" s="42">
        <v>2021</v>
      </c>
      <c r="B233" s="42" t="s">
        <v>8</v>
      </c>
      <c r="C233" s="46">
        <v>7711.10826</v>
      </c>
      <c r="D233" s="46">
        <v>0</v>
      </c>
      <c r="E233" s="46">
        <v>0</v>
      </c>
      <c r="F233" s="46">
        <v>0</v>
      </c>
      <c r="G233" s="46">
        <v>0</v>
      </c>
      <c r="H233" s="46">
        <v>7304.1418100000001</v>
      </c>
      <c r="I233" s="46">
        <v>0</v>
      </c>
      <c r="J233" s="46">
        <v>958.12557000000004</v>
      </c>
      <c r="K233" s="47">
        <v>15973.375640000002</v>
      </c>
      <c r="L233" s="60"/>
      <c r="M233" s="43">
        <v>2525.5640600000002</v>
      </c>
      <c r="N233" s="43">
        <v>5146.5015600000006</v>
      </c>
      <c r="O233" s="43">
        <v>2251.0561200000002</v>
      </c>
      <c r="P233" s="43">
        <v>3909.4646700000003</v>
      </c>
      <c r="Q233" s="43">
        <v>2189.4259999999999</v>
      </c>
      <c r="R233" s="43">
        <v>0</v>
      </c>
      <c r="S233" s="43">
        <v>2084.1641500000001</v>
      </c>
      <c r="T233" s="44">
        <v>18106.176560000004</v>
      </c>
      <c r="U233" s="55"/>
      <c r="V233" s="43">
        <v>13.695</v>
      </c>
      <c r="W233" s="61"/>
      <c r="X233" s="44">
        <v>34093.247200000005</v>
      </c>
      <c r="Y233" s="62">
        <v>18119.871560000003</v>
      </c>
      <c r="Z233" s="62">
        <v>15973.375640000002</v>
      </c>
    </row>
    <row r="234" spans="1:26" ht="12" customHeight="1" x14ac:dyDescent="0.25">
      <c r="A234" s="42">
        <v>2021</v>
      </c>
      <c r="B234" s="42" t="s">
        <v>9</v>
      </c>
      <c r="C234" s="46">
        <v>7349.78737</v>
      </c>
      <c r="D234" s="46">
        <v>0</v>
      </c>
      <c r="E234" s="46">
        <v>0</v>
      </c>
      <c r="F234" s="46">
        <v>0</v>
      </c>
      <c r="G234" s="46">
        <v>0</v>
      </c>
      <c r="H234" s="46">
        <v>6154.9974399999992</v>
      </c>
      <c r="I234" s="46">
        <v>44.258519999999997</v>
      </c>
      <c r="J234" s="46">
        <v>2920.0068300000003</v>
      </c>
      <c r="K234" s="47">
        <v>16469.050159999999</v>
      </c>
      <c r="L234" s="60"/>
      <c r="M234" s="43">
        <v>1794.9865500000001</v>
      </c>
      <c r="N234" s="43">
        <v>3643.8987299999994</v>
      </c>
      <c r="O234" s="43">
        <v>1712.64949</v>
      </c>
      <c r="P234" s="43">
        <v>2065.4713299999999</v>
      </c>
      <c r="Q234" s="43">
        <v>2180.9305899999999</v>
      </c>
      <c r="R234" s="43">
        <v>0</v>
      </c>
      <c r="S234" s="43">
        <v>973.90845999999999</v>
      </c>
      <c r="T234" s="44">
        <v>12371.845149999999</v>
      </c>
      <c r="U234" s="55"/>
      <c r="V234" s="43">
        <v>35.342889999999997</v>
      </c>
      <c r="W234" s="61"/>
      <c r="X234" s="44">
        <v>28876.2382</v>
      </c>
      <c r="Y234" s="62">
        <v>12407.188039999999</v>
      </c>
      <c r="Z234" s="62">
        <v>16469.050159999999</v>
      </c>
    </row>
    <row r="235" spans="1:26" ht="12" customHeight="1" x14ac:dyDescent="0.25">
      <c r="A235" s="42">
        <v>2021</v>
      </c>
      <c r="B235" s="42" t="s">
        <v>10</v>
      </c>
      <c r="C235" s="46">
        <v>6631.0934600000001</v>
      </c>
      <c r="D235" s="46">
        <v>0</v>
      </c>
      <c r="E235" s="46">
        <v>0</v>
      </c>
      <c r="F235" s="46">
        <v>0</v>
      </c>
      <c r="G235" s="46">
        <v>0</v>
      </c>
      <c r="H235" s="46">
        <v>5800.6459500000001</v>
      </c>
      <c r="I235" s="46">
        <v>446.86908</v>
      </c>
      <c r="J235" s="46">
        <v>2397.6687200000001</v>
      </c>
      <c r="K235" s="47">
        <v>15276.27721</v>
      </c>
      <c r="L235" s="60"/>
      <c r="M235" s="43">
        <v>4153.8989900000006</v>
      </c>
      <c r="N235" s="43">
        <v>3909.8257300000005</v>
      </c>
      <c r="O235" s="43">
        <v>4082.7466199999999</v>
      </c>
      <c r="P235" s="43">
        <v>5550.5657700000002</v>
      </c>
      <c r="Q235" s="43">
        <v>1112.2475099999999</v>
      </c>
      <c r="R235" s="43">
        <v>0</v>
      </c>
      <c r="S235" s="43">
        <v>2680.4987600000004</v>
      </c>
      <c r="T235" s="44">
        <v>21489.783380000001</v>
      </c>
      <c r="U235" s="55"/>
      <c r="V235" s="43">
        <v>70.543999999999997</v>
      </c>
      <c r="W235" s="61"/>
      <c r="X235" s="44">
        <v>36836.604590000003</v>
      </c>
      <c r="Y235" s="62">
        <v>21560.327380000002</v>
      </c>
      <c r="Z235" s="62">
        <v>15276.27721</v>
      </c>
    </row>
    <row r="236" spans="1:26" ht="12" customHeight="1" x14ac:dyDescent="0.25">
      <c r="A236" s="42">
        <v>2021</v>
      </c>
      <c r="B236" s="42" t="s">
        <v>11</v>
      </c>
      <c r="C236" s="46">
        <v>7848.5851699999994</v>
      </c>
      <c r="D236" s="46">
        <v>0</v>
      </c>
      <c r="E236" s="46">
        <v>0</v>
      </c>
      <c r="F236" s="46">
        <v>0</v>
      </c>
      <c r="G236" s="46">
        <v>0</v>
      </c>
      <c r="H236" s="46">
        <v>7016.1145099999994</v>
      </c>
      <c r="I236" s="46">
        <v>528.93333999999993</v>
      </c>
      <c r="J236" s="46">
        <v>3014.1816800000001</v>
      </c>
      <c r="K236" s="47">
        <v>18407.814699999999</v>
      </c>
      <c r="L236" s="60"/>
      <c r="M236" s="43">
        <v>2692.8024100000002</v>
      </c>
      <c r="N236" s="43">
        <v>1833.57726</v>
      </c>
      <c r="O236" s="43">
        <v>3768.9410400000002</v>
      </c>
      <c r="P236" s="43">
        <v>5579.4502399999992</v>
      </c>
      <c r="Q236" s="43">
        <v>2113.0482700000002</v>
      </c>
      <c r="R236" s="43">
        <v>0</v>
      </c>
      <c r="S236" s="43">
        <v>715.98050999999998</v>
      </c>
      <c r="T236" s="44">
        <v>16703.799729999999</v>
      </c>
      <c r="U236" s="55"/>
      <c r="V236" s="43">
        <v>47.463000000000001</v>
      </c>
      <c r="W236" s="61"/>
      <c r="X236" s="44">
        <v>35159.077430000005</v>
      </c>
      <c r="Y236" s="62">
        <v>16751.262729999999</v>
      </c>
      <c r="Z236" s="62">
        <v>18407.814699999999</v>
      </c>
    </row>
    <row r="237" spans="1:26" ht="12" customHeight="1" x14ac:dyDescent="0.25">
      <c r="A237" s="42">
        <v>2021</v>
      </c>
      <c r="B237" s="42" t="s">
        <v>12</v>
      </c>
      <c r="C237" s="46">
        <v>7236.34076</v>
      </c>
      <c r="D237" s="46">
        <v>0</v>
      </c>
      <c r="E237" s="46">
        <v>0</v>
      </c>
      <c r="F237" s="46">
        <v>0</v>
      </c>
      <c r="G237" s="46">
        <v>0</v>
      </c>
      <c r="H237" s="46">
        <v>4314.8455899999999</v>
      </c>
      <c r="I237" s="46">
        <v>72.144289999999998</v>
      </c>
      <c r="J237" s="46">
        <v>2846.5214199999991</v>
      </c>
      <c r="K237" s="47">
        <v>14469.852060000001</v>
      </c>
      <c r="L237" s="60"/>
      <c r="M237" s="43">
        <v>5811.8213400000004</v>
      </c>
      <c r="N237" s="43">
        <v>4166.9684200000002</v>
      </c>
      <c r="O237" s="43">
        <v>2316.9575700000005</v>
      </c>
      <c r="P237" s="43">
        <v>4335.5139500000005</v>
      </c>
      <c r="Q237" s="43">
        <v>1979.64789</v>
      </c>
      <c r="R237" s="43">
        <v>0</v>
      </c>
      <c r="S237" s="43">
        <v>7328.0589400000008</v>
      </c>
      <c r="T237" s="44">
        <v>25938.968110000002</v>
      </c>
      <c r="U237" s="55"/>
      <c r="V237" s="43">
        <v>15.225</v>
      </c>
      <c r="W237" s="61"/>
      <c r="X237" s="44">
        <v>40424.045170000005</v>
      </c>
      <c r="Y237" s="62">
        <v>25954.19311</v>
      </c>
      <c r="Z237" s="62">
        <v>14469.852060000001</v>
      </c>
    </row>
    <row r="238" spans="1:26" ht="12" customHeight="1" x14ac:dyDescent="0.25">
      <c r="A238" s="42">
        <v>2021</v>
      </c>
      <c r="B238" s="42" t="s">
        <v>13</v>
      </c>
      <c r="C238" s="46">
        <v>8131.6169199999995</v>
      </c>
      <c r="D238" s="46">
        <v>0</v>
      </c>
      <c r="E238" s="46">
        <v>0</v>
      </c>
      <c r="F238" s="46">
        <v>0</v>
      </c>
      <c r="G238" s="46">
        <v>0</v>
      </c>
      <c r="H238" s="46">
        <v>0</v>
      </c>
      <c r="I238" s="46">
        <v>330.30065000000002</v>
      </c>
      <c r="J238" s="46">
        <v>4377.7659199999989</v>
      </c>
      <c r="K238" s="47">
        <v>12839.683489999998</v>
      </c>
      <c r="L238" s="60"/>
      <c r="M238" s="49">
        <v>4480.9102999999996</v>
      </c>
      <c r="N238" s="49">
        <v>5465.5824299999995</v>
      </c>
      <c r="O238" s="49">
        <v>4613.8129100000006</v>
      </c>
      <c r="P238" s="49">
        <v>5020.8280399999994</v>
      </c>
      <c r="Q238" s="49">
        <v>2186.2634199999998</v>
      </c>
      <c r="R238" s="49">
        <v>0</v>
      </c>
      <c r="S238" s="49">
        <v>2235.6854800000001</v>
      </c>
      <c r="T238" s="56">
        <v>24003.082579999998</v>
      </c>
      <c r="U238" s="49"/>
      <c r="V238" s="55">
        <v>42.771999999999998</v>
      </c>
      <c r="W238" s="61"/>
      <c r="X238" s="44">
        <v>36885.538069999995</v>
      </c>
      <c r="Y238" s="62">
        <v>24045.854579999999</v>
      </c>
      <c r="Z238" s="62">
        <v>12839.683489999998</v>
      </c>
    </row>
    <row r="239" spans="1:26" ht="12" customHeight="1" x14ac:dyDescent="0.25">
      <c r="A239" s="42">
        <v>2021</v>
      </c>
      <c r="B239" s="42" t="s">
        <v>14</v>
      </c>
      <c r="C239" s="46">
        <v>8259.9508900000001</v>
      </c>
      <c r="D239" s="46">
        <v>0</v>
      </c>
      <c r="E239" s="46">
        <v>0</v>
      </c>
      <c r="F239" s="46">
        <v>0</v>
      </c>
      <c r="G239" s="46">
        <v>0</v>
      </c>
      <c r="H239" s="46">
        <v>0</v>
      </c>
      <c r="I239" s="46">
        <v>186.98244999999997</v>
      </c>
      <c r="J239" s="46">
        <v>3655.1582900000003</v>
      </c>
      <c r="K239" s="47">
        <v>12102.091629999999</v>
      </c>
      <c r="L239" s="60"/>
      <c r="M239" s="49">
        <v>3036.2295800000002</v>
      </c>
      <c r="N239" s="49">
        <v>6085.2177899999988</v>
      </c>
      <c r="O239" s="49">
        <v>4199.5736799999995</v>
      </c>
      <c r="P239" s="49">
        <v>6669.9805500000002</v>
      </c>
      <c r="Q239" s="49">
        <v>2024.2159300000001</v>
      </c>
      <c r="R239" s="49">
        <v>0</v>
      </c>
      <c r="S239" s="49">
        <v>4440.8706500000008</v>
      </c>
      <c r="T239" s="56">
        <v>26456.088179999995</v>
      </c>
      <c r="U239" s="49"/>
      <c r="V239" s="55">
        <v>15.321</v>
      </c>
      <c r="W239" s="61"/>
      <c r="X239" s="44">
        <v>38573.500809999998</v>
      </c>
      <c r="Y239" s="62">
        <v>26471.409179999995</v>
      </c>
      <c r="Z239" s="62">
        <v>12102.091629999999</v>
      </c>
    </row>
    <row r="240" spans="1:26" ht="12" customHeight="1" x14ac:dyDescent="0.25">
      <c r="A240" s="42">
        <v>2021</v>
      </c>
      <c r="B240" s="42" t="s">
        <v>15</v>
      </c>
      <c r="C240" s="46">
        <v>88687.914649999992</v>
      </c>
      <c r="D240" s="46">
        <v>0</v>
      </c>
      <c r="E240" s="46">
        <v>0</v>
      </c>
      <c r="F240" s="46">
        <v>0</v>
      </c>
      <c r="G240" s="46">
        <v>0</v>
      </c>
      <c r="H240" s="46">
        <v>65877.365229999996</v>
      </c>
      <c r="I240" s="46">
        <v>3560.3512400000004</v>
      </c>
      <c r="J240" s="46">
        <v>30928.759740000001</v>
      </c>
      <c r="K240" s="47">
        <v>189054.39085999998</v>
      </c>
      <c r="L240" s="60"/>
      <c r="M240" s="49">
        <v>38423.240600000005</v>
      </c>
      <c r="N240" s="49">
        <v>47212.058120000002</v>
      </c>
      <c r="O240" s="49">
        <v>36898.240190000004</v>
      </c>
      <c r="P240" s="49">
        <v>49544.459780000005</v>
      </c>
      <c r="Q240" s="49">
        <v>25567.553259999997</v>
      </c>
      <c r="R240" s="49">
        <v>0</v>
      </c>
      <c r="S240" s="49">
        <v>28609.330500000004</v>
      </c>
      <c r="T240" s="56">
        <v>226254.88245</v>
      </c>
      <c r="U240" s="49"/>
      <c r="V240" s="55">
        <v>315.64921000000004</v>
      </c>
      <c r="W240" s="61"/>
      <c r="X240" s="44">
        <v>415624.92251999996</v>
      </c>
      <c r="Y240" s="62">
        <v>226570.53166000001</v>
      </c>
      <c r="Z240" s="62">
        <v>189054.39085999998</v>
      </c>
    </row>
    <row r="241" spans="1:26" ht="12" customHeight="1" x14ac:dyDescent="0.25">
      <c r="A241" s="51">
        <v>2022</v>
      </c>
      <c r="B241" s="48" t="s">
        <v>3</v>
      </c>
      <c r="C241" s="46">
        <v>9620.0411200000017</v>
      </c>
      <c r="D241" s="46">
        <v>0</v>
      </c>
      <c r="E241" s="46">
        <v>0</v>
      </c>
      <c r="F241" s="46">
        <v>0</v>
      </c>
      <c r="G241" s="46">
        <v>0</v>
      </c>
      <c r="H241" s="46">
        <v>0</v>
      </c>
      <c r="I241" s="46">
        <v>338.04694999999998</v>
      </c>
      <c r="J241" s="46">
        <v>1851.6387200000001</v>
      </c>
      <c r="K241" s="49">
        <v>11809.726790000001</v>
      </c>
      <c r="L241" s="60"/>
      <c r="M241" s="49">
        <v>6249.3570199999995</v>
      </c>
      <c r="N241" s="49">
        <v>4054.8640399999999</v>
      </c>
      <c r="O241" s="49">
        <v>5361.5543499999994</v>
      </c>
      <c r="P241" s="49">
        <v>4240.7599199999995</v>
      </c>
      <c r="Q241" s="49">
        <v>2053.56313</v>
      </c>
      <c r="R241" s="49">
        <v>0</v>
      </c>
      <c r="S241" s="49">
        <v>4015.5335300000002</v>
      </c>
      <c r="T241" s="49">
        <v>25975.631989999998</v>
      </c>
      <c r="U241" s="49"/>
      <c r="V241" s="55">
        <v>77.825910000000007</v>
      </c>
      <c r="W241" s="61"/>
      <c r="X241" s="44">
        <v>37863.184689999995</v>
      </c>
      <c r="Y241" s="62">
        <v>26053.457899999998</v>
      </c>
      <c r="Z241" s="62">
        <v>11809.726790000001</v>
      </c>
    </row>
    <row r="242" spans="1:26" ht="12" customHeight="1" x14ac:dyDescent="0.25">
      <c r="A242" s="51">
        <v>2022</v>
      </c>
      <c r="B242" s="48" t="s">
        <v>4</v>
      </c>
      <c r="C242" s="46">
        <v>8801.4779399999989</v>
      </c>
      <c r="D242" s="46">
        <v>0</v>
      </c>
      <c r="E242" s="46">
        <v>0</v>
      </c>
      <c r="F242" s="46">
        <v>0</v>
      </c>
      <c r="G242" s="46">
        <v>0</v>
      </c>
      <c r="H242" s="46">
        <v>0</v>
      </c>
      <c r="I242" s="46">
        <v>707.64332000000002</v>
      </c>
      <c r="J242" s="46">
        <v>1904.4220600000003</v>
      </c>
      <c r="K242" s="49">
        <v>11413.543319999999</v>
      </c>
      <c r="L242" s="60"/>
      <c r="M242" s="49">
        <v>5281.2336899999991</v>
      </c>
      <c r="N242" s="49">
        <v>4102.1887799999995</v>
      </c>
      <c r="O242" s="49">
        <v>4463.9531500000003</v>
      </c>
      <c r="P242" s="49">
        <v>6377.3905299999997</v>
      </c>
      <c r="Q242" s="49">
        <v>2011.0514900000001</v>
      </c>
      <c r="R242" s="49">
        <v>0</v>
      </c>
      <c r="S242" s="49">
        <v>4223.3590300000005</v>
      </c>
      <c r="T242" s="49">
        <v>26459.176670000001</v>
      </c>
      <c r="U242" s="49"/>
      <c r="V242" s="55">
        <v>32.110999999999997</v>
      </c>
      <c r="W242" s="61"/>
      <c r="X242" s="44">
        <v>37904.830989999995</v>
      </c>
      <c r="Y242" s="62">
        <v>26491.287670000002</v>
      </c>
      <c r="Z242" s="62">
        <v>11413.543319999999</v>
      </c>
    </row>
    <row r="243" spans="1:26" ht="12" customHeight="1" x14ac:dyDescent="0.25">
      <c r="A243" s="51">
        <v>2022</v>
      </c>
      <c r="B243" s="48" t="s">
        <v>5</v>
      </c>
      <c r="C243" s="46">
        <v>9665.8234400000019</v>
      </c>
      <c r="D243" s="46">
        <v>0</v>
      </c>
      <c r="E243" s="46">
        <v>0</v>
      </c>
      <c r="F243" s="46">
        <v>0</v>
      </c>
      <c r="G243" s="46">
        <v>0</v>
      </c>
      <c r="H243" s="46">
        <v>0</v>
      </c>
      <c r="I243" s="46">
        <v>514.40778999999998</v>
      </c>
      <c r="J243" s="46">
        <v>711.9122000000001</v>
      </c>
      <c r="K243" s="49">
        <v>10892.143430000002</v>
      </c>
      <c r="L243" s="60"/>
      <c r="M243" s="49">
        <v>3145.2684399999998</v>
      </c>
      <c r="N243" s="49">
        <v>7500.8459399999992</v>
      </c>
      <c r="O243" s="49">
        <v>4161.8499099999999</v>
      </c>
      <c r="P243" s="49">
        <v>4772.0617300000004</v>
      </c>
      <c r="Q243" s="49">
        <v>1059.4288999999999</v>
      </c>
      <c r="R243" s="49">
        <v>0</v>
      </c>
      <c r="S243" s="49">
        <v>6035.9293000000007</v>
      </c>
      <c r="T243" s="49">
        <v>26675.38422</v>
      </c>
      <c r="U243" s="49"/>
      <c r="V243" s="55">
        <v>14.296940000000001</v>
      </c>
      <c r="W243" s="61"/>
      <c r="X243" s="44">
        <v>37581.824590000004</v>
      </c>
      <c r="Y243" s="62">
        <v>26689.68116</v>
      </c>
      <c r="Z243" s="62">
        <v>10892.143430000002</v>
      </c>
    </row>
    <row r="244" spans="1:26" ht="12" customHeight="1" x14ac:dyDescent="0.25">
      <c r="A244" s="51">
        <v>2022</v>
      </c>
      <c r="B244" s="48" t="s">
        <v>6</v>
      </c>
      <c r="C244" s="46">
        <v>9049.1690899999994</v>
      </c>
      <c r="D244" s="46">
        <v>0</v>
      </c>
      <c r="E244" s="46">
        <v>0</v>
      </c>
      <c r="F244" s="46">
        <v>0</v>
      </c>
      <c r="G244" s="46">
        <v>0</v>
      </c>
      <c r="H244" s="46">
        <v>0</v>
      </c>
      <c r="I244" s="46">
        <v>613.78904999999997</v>
      </c>
      <c r="J244" s="46">
        <v>464.03035999999997</v>
      </c>
      <c r="K244" s="49">
        <v>10126.988499999999</v>
      </c>
      <c r="L244" s="60"/>
      <c r="M244" s="49">
        <v>4463.5149900000006</v>
      </c>
      <c r="N244" s="49">
        <v>6466.4799800000001</v>
      </c>
      <c r="O244" s="49">
        <v>5110.1668899999995</v>
      </c>
      <c r="P244" s="49">
        <v>5791.3195400000004</v>
      </c>
      <c r="Q244" s="49">
        <v>3127.3596699999998</v>
      </c>
      <c r="R244" s="49">
        <v>0</v>
      </c>
      <c r="S244" s="49">
        <v>5665.9648699999998</v>
      </c>
      <c r="T244" s="49">
        <v>30624.805940000002</v>
      </c>
      <c r="U244" s="49"/>
      <c r="V244" s="55">
        <v>10.566000000000001</v>
      </c>
      <c r="W244" s="61"/>
      <c r="X244" s="44">
        <v>40762.360439999997</v>
      </c>
      <c r="Y244" s="62">
        <v>30635.371940000001</v>
      </c>
      <c r="Z244" s="62">
        <v>10126.988499999999</v>
      </c>
    </row>
    <row r="245" spans="1:26" ht="12" customHeight="1" x14ac:dyDescent="0.25">
      <c r="A245" s="51">
        <v>2022</v>
      </c>
      <c r="B245" s="48" t="s">
        <v>7</v>
      </c>
      <c r="C245" s="46">
        <v>7002.7974899999999</v>
      </c>
      <c r="D245" s="46">
        <v>0</v>
      </c>
      <c r="E245" s="46">
        <v>0</v>
      </c>
      <c r="F245" s="46">
        <v>0</v>
      </c>
      <c r="G245" s="46">
        <v>0</v>
      </c>
      <c r="H245" s="46">
        <v>0</v>
      </c>
      <c r="I245" s="46">
        <v>880.98448999999994</v>
      </c>
      <c r="J245" s="46">
        <v>330.69991000000005</v>
      </c>
      <c r="K245" s="49">
        <v>8214.4818899999991</v>
      </c>
      <c r="L245" s="60"/>
      <c r="M245" s="49">
        <v>5412.2897999999996</v>
      </c>
      <c r="N245" s="49">
        <v>5361.8124299999999</v>
      </c>
      <c r="O245" s="49">
        <v>7410.4915699999983</v>
      </c>
      <c r="P245" s="49">
        <v>4704.0556500000002</v>
      </c>
      <c r="Q245" s="49">
        <v>1752.3561399999999</v>
      </c>
      <c r="R245" s="49">
        <v>0</v>
      </c>
      <c r="S245" s="49">
        <v>3782.8240599999999</v>
      </c>
      <c r="T245" s="49">
        <v>28423.829649999996</v>
      </c>
      <c r="U245" s="49"/>
      <c r="V245" s="55">
        <v>7.5830000000000002</v>
      </c>
      <c r="W245" s="61"/>
      <c r="X245" s="44">
        <v>36645.894539999994</v>
      </c>
      <c r="Y245" s="62">
        <v>28431.412649999995</v>
      </c>
      <c r="Z245" s="62">
        <v>8214.4818899999991</v>
      </c>
    </row>
    <row r="246" spans="1:26" ht="12" customHeight="1" x14ac:dyDescent="0.25">
      <c r="A246" s="51">
        <v>2022</v>
      </c>
      <c r="B246" s="48" t="s">
        <v>8</v>
      </c>
      <c r="C246" s="46">
        <v>7344.6515899999995</v>
      </c>
      <c r="D246" s="46">
        <v>0</v>
      </c>
      <c r="E246" s="46">
        <v>0</v>
      </c>
      <c r="F246" s="46">
        <v>0</v>
      </c>
      <c r="G246" s="46">
        <v>0</v>
      </c>
      <c r="H246" s="46">
        <v>0</v>
      </c>
      <c r="I246" s="46">
        <v>203.11583000000002</v>
      </c>
      <c r="J246" s="46">
        <v>721.76414</v>
      </c>
      <c r="K246" s="49">
        <v>8269.5315599999994</v>
      </c>
      <c r="L246" s="60"/>
      <c r="M246" s="49">
        <v>5342.9144700000006</v>
      </c>
      <c r="N246" s="49">
        <v>5414.19722</v>
      </c>
      <c r="O246" s="49">
        <v>6145.2185899999995</v>
      </c>
      <c r="P246" s="49">
        <v>4605.9298200000003</v>
      </c>
      <c r="Q246" s="49">
        <v>3291.3908600000004</v>
      </c>
      <c r="R246" s="49">
        <v>0</v>
      </c>
      <c r="S246" s="49">
        <v>2795.2583799999998</v>
      </c>
      <c r="T246" s="49">
        <v>27594.909340000002</v>
      </c>
      <c r="U246" s="49"/>
      <c r="V246" s="55">
        <v>18.834</v>
      </c>
      <c r="W246" s="61"/>
      <c r="X246" s="44">
        <v>35883.274900000004</v>
      </c>
      <c r="Y246" s="62">
        <v>27613.743340000001</v>
      </c>
      <c r="Z246" s="62">
        <v>8269.5315599999994</v>
      </c>
    </row>
    <row r="247" spans="1:26" ht="12" customHeight="1" x14ac:dyDescent="0.25">
      <c r="A247" s="51">
        <v>2022</v>
      </c>
      <c r="B247" s="48" t="s">
        <v>9</v>
      </c>
      <c r="C247" s="46">
        <v>8572.4521100000002</v>
      </c>
      <c r="D247" s="46">
        <v>0</v>
      </c>
      <c r="E247" s="46">
        <v>0</v>
      </c>
      <c r="F247" s="46">
        <v>0</v>
      </c>
      <c r="G247" s="46">
        <v>0</v>
      </c>
      <c r="H247" s="46">
        <v>0</v>
      </c>
      <c r="I247" s="46">
        <v>125.95830000000001</v>
      </c>
      <c r="J247" s="46">
        <v>1561.77899</v>
      </c>
      <c r="K247" s="49">
        <v>10260.189400000001</v>
      </c>
      <c r="L247" s="60"/>
      <c r="M247" s="49">
        <v>4242.7123599999995</v>
      </c>
      <c r="N247" s="49">
        <v>5344.9608600000001</v>
      </c>
      <c r="O247" s="49">
        <v>3868.17065</v>
      </c>
      <c r="P247" s="49">
        <v>5793.5465899999999</v>
      </c>
      <c r="Q247" s="49">
        <v>1092.4154900000001</v>
      </c>
      <c r="R247" s="49">
        <v>0</v>
      </c>
      <c r="S247" s="49">
        <v>6106.2503299999998</v>
      </c>
      <c r="T247" s="49">
        <v>26448.056280000001</v>
      </c>
      <c r="U247" s="49"/>
      <c r="V247" s="55">
        <v>18.719000000000001</v>
      </c>
      <c r="W247" s="61"/>
      <c r="X247" s="44">
        <v>36726.964679999997</v>
      </c>
      <c r="Y247" s="62">
        <v>26466.775280000002</v>
      </c>
      <c r="Z247" s="62">
        <v>10260.189400000001</v>
      </c>
    </row>
    <row r="248" spans="1:26" ht="12" customHeight="1" x14ac:dyDescent="0.25">
      <c r="A248" s="51">
        <v>2022</v>
      </c>
      <c r="B248" s="48" t="s">
        <v>10</v>
      </c>
      <c r="C248" s="46">
        <v>9127.2620799999986</v>
      </c>
      <c r="D248" s="46">
        <v>0</v>
      </c>
      <c r="E248" s="46">
        <v>0</v>
      </c>
      <c r="F248" s="46">
        <v>0</v>
      </c>
      <c r="G248" s="46">
        <v>0</v>
      </c>
      <c r="H248" s="46">
        <v>0</v>
      </c>
      <c r="I248" s="46">
        <v>140.73116999999999</v>
      </c>
      <c r="J248" s="46">
        <v>4688.3194099999992</v>
      </c>
      <c r="K248" s="49">
        <v>13956.312659999998</v>
      </c>
      <c r="L248" s="60"/>
      <c r="M248" s="49">
        <v>3709.2574599999998</v>
      </c>
      <c r="N248" s="49">
        <v>6193.3789200000001</v>
      </c>
      <c r="O248" s="49">
        <v>2045.3543300000001</v>
      </c>
      <c r="P248" s="49">
        <v>5015.5296000000008</v>
      </c>
      <c r="Q248" s="49">
        <v>1736.4324799999999</v>
      </c>
      <c r="R248" s="49">
        <v>0</v>
      </c>
      <c r="S248" s="49">
        <v>5397.1020499999995</v>
      </c>
      <c r="T248" s="49">
        <v>24097.054839999997</v>
      </c>
      <c r="U248" s="49"/>
      <c r="V248" s="55">
        <v>1.9745599999999999</v>
      </c>
      <c r="W248" s="61"/>
      <c r="X248" s="44">
        <v>38055.342059999995</v>
      </c>
      <c r="Y248" s="62">
        <v>24099.029399999996</v>
      </c>
      <c r="Z248" s="62">
        <v>13956.312659999998</v>
      </c>
    </row>
    <row r="249" spans="1:26" ht="12" customHeight="1" x14ac:dyDescent="0.25">
      <c r="A249" s="51">
        <v>2022</v>
      </c>
      <c r="B249" s="48" t="s">
        <v>11</v>
      </c>
      <c r="C249" s="46">
        <v>7962.4274000000005</v>
      </c>
      <c r="D249" s="46">
        <v>0</v>
      </c>
      <c r="E249" s="46">
        <v>0</v>
      </c>
      <c r="F249" s="46">
        <v>0</v>
      </c>
      <c r="G249" s="46">
        <v>0</v>
      </c>
      <c r="H249" s="46">
        <v>0</v>
      </c>
      <c r="I249" s="46">
        <v>74.502949999999998</v>
      </c>
      <c r="J249" s="46">
        <v>2617.3459899999957</v>
      </c>
      <c r="K249" s="49">
        <v>10654.276339999997</v>
      </c>
      <c r="L249" s="60"/>
      <c r="M249" s="49">
        <v>3887.7758900000008</v>
      </c>
      <c r="N249" s="49">
        <v>3663.8243700000003</v>
      </c>
      <c r="O249" s="49">
        <v>3703.4415300000001</v>
      </c>
      <c r="P249" s="49">
        <v>6442.0962099999988</v>
      </c>
      <c r="Q249" s="49">
        <v>2103.69445</v>
      </c>
      <c r="R249" s="49">
        <v>0</v>
      </c>
      <c r="S249" s="49">
        <v>4689.8637900000003</v>
      </c>
      <c r="T249" s="49">
        <v>24490.696239999997</v>
      </c>
      <c r="U249" s="49"/>
      <c r="V249" s="55">
        <v>6.3928100000000008</v>
      </c>
      <c r="W249" s="61"/>
      <c r="X249" s="44">
        <v>35151.365389999992</v>
      </c>
      <c r="Y249" s="62">
        <v>24497.089049999999</v>
      </c>
      <c r="Z249" s="62">
        <v>10654.276339999997</v>
      </c>
    </row>
    <row r="250" spans="1:26" ht="12" customHeight="1" x14ac:dyDescent="0.25">
      <c r="A250" s="51">
        <v>2022</v>
      </c>
      <c r="B250" s="48" t="s">
        <v>12</v>
      </c>
      <c r="C250" s="46">
        <v>7806.3252499999999</v>
      </c>
      <c r="D250" s="46">
        <v>0</v>
      </c>
      <c r="E250" s="46">
        <v>0</v>
      </c>
      <c r="F250" s="46">
        <v>0</v>
      </c>
      <c r="G250" s="46">
        <v>0</v>
      </c>
      <c r="H250" s="46">
        <v>0</v>
      </c>
      <c r="I250" s="46">
        <v>21.268349999999998</v>
      </c>
      <c r="J250" s="46">
        <v>5328.1859999999988</v>
      </c>
      <c r="K250" s="49">
        <v>13155.779599999998</v>
      </c>
      <c r="L250" s="60"/>
      <c r="M250" s="49">
        <v>2683.0358999999999</v>
      </c>
      <c r="N250" s="49">
        <v>6238.0934100000004</v>
      </c>
      <c r="O250" s="49">
        <v>4719.9236100000007</v>
      </c>
      <c r="P250" s="49">
        <v>3648.7889799999998</v>
      </c>
      <c r="Q250" s="49">
        <v>2128.6237599999999</v>
      </c>
      <c r="R250" s="49">
        <v>0</v>
      </c>
      <c r="S250" s="49">
        <v>4257.3584099999989</v>
      </c>
      <c r="T250" s="49">
        <v>23675.824070000002</v>
      </c>
      <c r="U250" s="49"/>
      <c r="V250" s="55">
        <v>3.2509999999999999</v>
      </c>
      <c r="W250" s="61"/>
      <c r="X250" s="44">
        <v>36834.854669999993</v>
      </c>
      <c r="Y250" s="62">
        <v>23679.075070000003</v>
      </c>
      <c r="Z250" s="62">
        <v>13155.779599999998</v>
      </c>
    </row>
    <row r="251" spans="1:26" ht="12" customHeight="1" x14ac:dyDescent="0.25">
      <c r="A251" s="51">
        <v>2022</v>
      </c>
      <c r="B251" s="48" t="s">
        <v>13</v>
      </c>
      <c r="C251" s="46">
        <v>6392.9568199999994</v>
      </c>
      <c r="D251" s="46">
        <v>0</v>
      </c>
      <c r="E251" s="46">
        <v>0</v>
      </c>
      <c r="F251" s="46">
        <v>0</v>
      </c>
      <c r="G251" s="46">
        <v>0</v>
      </c>
      <c r="H251" s="46">
        <v>0</v>
      </c>
      <c r="I251" s="46">
        <v>664.65138999999999</v>
      </c>
      <c r="J251" s="46">
        <v>1091.7190400000002</v>
      </c>
      <c r="K251" s="49">
        <v>8149.3272499999994</v>
      </c>
      <c r="L251" s="60"/>
      <c r="M251" s="49">
        <v>3461.6061</v>
      </c>
      <c r="N251" s="49">
        <v>4418.6489299999994</v>
      </c>
      <c r="O251" s="49">
        <v>4457.9414999999999</v>
      </c>
      <c r="P251" s="49">
        <v>7285.8502400000007</v>
      </c>
      <c r="Q251" s="49">
        <v>2105.9211</v>
      </c>
      <c r="R251" s="49">
        <v>0</v>
      </c>
      <c r="S251" s="49">
        <v>4835.4257400000006</v>
      </c>
      <c r="T251" s="49">
        <v>26565.393609999999</v>
      </c>
      <c r="U251" s="49"/>
      <c r="V251" s="55">
        <v>8.5765599999999989</v>
      </c>
      <c r="W251" s="61"/>
      <c r="X251" s="44">
        <v>34723.297420000003</v>
      </c>
      <c r="Y251" s="62">
        <v>26573.970170000001</v>
      </c>
      <c r="Z251" s="62">
        <v>8149.3272499999994</v>
      </c>
    </row>
    <row r="252" spans="1:26" ht="12" customHeight="1" x14ac:dyDescent="0.25">
      <c r="A252" s="51">
        <v>2022</v>
      </c>
      <c r="B252" s="48" t="s">
        <v>14</v>
      </c>
      <c r="C252" s="46">
        <v>9606.1323099999991</v>
      </c>
      <c r="D252" s="46">
        <v>0</v>
      </c>
      <c r="E252" s="46">
        <v>0</v>
      </c>
      <c r="F252" s="46">
        <v>0</v>
      </c>
      <c r="G252" s="46">
        <v>0</v>
      </c>
      <c r="H252" s="46">
        <v>0</v>
      </c>
      <c r="I252" s="46">
        <v>400.31133999999997</v>
      </c>
      <c r="J252" s="46">
        <v>264.56691000000001</v>
      </c>
      <c r="K252" s="49">
        <v>10271.010559999999</v>
      </c>
      <c r="L252" s="60"/>
      <c r="M252" s="49">
        <v>5303.6346299999996</v>
      </c>
      <c r="N252" s="49">
        <v>5822.2614599999997</v>
      </c>
      <c r="O252" s="49">
        <v>3559.0195300000005</v>
      </c>
      <c r="P252" s="49">
        <v>5049.9542199999996</v>
      </c>
      <c r="Q252" s="49">
        <v>4130.64966</v>
      </c>
      <c r="R252" s="49">
        <v>0</v>
      </c>
      <c r="S252" s="49">
        <v>3965.5761399999997</v>
      </c>
      <c r="T252" s="49">
        <v>27831.09564</v>
      </c>
      <c r="U252" s="49"/>
      <c r="V252" s="55">
        <v>15.787000000000001</v>
      </c>
      <c r="W252" s="61"/>
      <c r="X252" s="44">
        <v>38117.893199999991</v>
      </c>
      <c r="Y252" s="62">
        <v>27846.88264</v>
      </c>
      <c r="Z252" s="62">
        <v>10271.010559999999</v>
      </c>
    </row>
    <row r="253" spans="1:26" ht="12" customHeight="1" x14ac:dyDescent="0.25">
      <c r="A253" s="51">
        <v>2022</v>
      </c>
      <c r="B253" s="48" t="s">
        <v>15</v>
      </c>
      <c r="C253" s="46">
        <v>100951.51663999997</v>
      </c>
      <c r="D253" s="46">
        <v>0</v>
      </c>
      <c r="E253" s="46">
        <v>0</v>
      </c>
      <c r="F253" s="46">
        <v>0</v>
      </c>
      <c r="G253" s="46">
        <v>0</v>
      </c>
      <c r="H253" s="46">
        <v>0</v>
      </c>
      <c r="I253" s="46">
        <v>4685.41093</v>
      </c>
      <c r="J253" s="46">
        <v>21536.383729999998</v>
      </c>
      <c r="K253" s="49">
        <v>127173.31129999999</v>
      </c>
      <c r="L253" s="60"/>
      <c r="M253" s="49">
        <v>53182.600750000005</v>
      </c>
      <c r="N253" s="49">
        <v>64581.556340000003</v>
      </c>
      <c r="O253" s="49">
        <v>55007.085610000002</v>
      </c>
      <c r="P253" s="49">
        <v>63727.283029999999</v>
      </c>
      <c r="Q253" s="49">
        <v>26592.887129999996</v>
      </c>
      <c r="R253" s="49">
        <v>0</v>
      </c>
      <c r="S253" s="49">
        <v>55770.445629999995</v>
      </c>
      <c r="T253" s="49">
        <v>318861.85848999996</v>
      </c>
      <c r="U253" s="49"/>
      <c r="V253" s="55">
        <v>215.91778000000002</v>
      </c>
      <c r="W253" s="61"/>
      <c r="X253" s="44">
        <v>446251.08756999997</v>
      </c>
      <c r="Y253" s="62">
        <v>319077.77626999997</v>
      </c>
      <c r="Z253" s="62">
        <v>127173.31129999999</v>
      </c>
    </row>
    <row r="254" spans="1:26" ht="12" customHeight="1" x14ac:dyDescent="0.25">
      <c r="A254" s="42">
        <v>2023</v>
      </c>
      <c r="B254" s="42" t="s">
        <v>3</v>
      </c>
      <c r="C254" s="46">
        <v>8544.9362899999996</v>
      </c>
      <c r="D254" s="46">
        <v>0</v>
      </c>
      <c r="E254" s="46">
        <v>0</v>
      </c>
      <c r="F254" s="46">
        <v>0</v>
      </c>
      <c r="G254" s="46">
        <v>0</v>
      </c>
      <c r="H254" s="46">
        <v>0</v>
      </c>
      <c r="I254" s="46">
        <v>1087.5185100000001</v>
      </c>
      <c r="J254" s="46">
        <v>1264.6860699999997</v>
      </c>
      <c r="K254" s="47">
        <v>10897.140869999999</v>
      </c>
      <c r="L254" s="60"/>
      <c r="M254" s="49">
        <v>2475.0206699999999</v>
      </c>
      <c r="N254" s="49">
        <v>3080.3571499999998</v>
      </c>
      <c r="O254" s="49">
        <v>4371.2758200000007</v>
      </c>
      <c r="P254" s="49">
        <v>7037.65175</v>
      </c>
      <c r="Q254" s="49">
        <v>3210.64923</v>
      </c>
      <c r="R254" s="49">
        <v>0</v>
      </c>
      <c r="S254" s="49">
        <v>2202.4983299999999</v>
      </c>
      <c r="T254" s="56">
        <v>22377.452949999999</v>
      </c>
      <c r="U254" s="49"/>
      <c r="V254" s="55">
        <v>0</v>
      </c>
      <c r="W254" s="61"/>
      <c r="X254" s="44">
        <v>33274.593819999995</v>
      </c>
      <c r="Y254" s="62">
        <v>22377.452949999999</v>
      </c>
      <c r="Z254" s="62">
        <v>10897.140869999999</v>
      </c>
    </row>
    <row r="255" spans="1:26" ht="12" customHeight="1" x14ac:dyDescent="0.25">
      <c r="A255" s="42">
        <v>2023</v>
      </c>
      <c r="B255" s="42" t="s">
        <v>4</v>
      </c>
      <c r="C255" s="46">
        <v>7406.1105399999988</v>
      </c>
      <c r="D255" s="46">
        <v>0</v>
      </c>
      <c r="E255" s="46">
        <v>0</v>
      </c>
      <c r="F255" s="46">
        <v>0</v>
      </c>
      <c r="G255" s="46">
        <v>0</v>
      </c>
      <c r="H255" s="46">
        <v>0</v>
      </c>
      <c r="I255" s="46">
        <v>364.40760999999998</v>
      </c>
      <c r="J255" s="46">
        <v>2575.2431200000001</v>
      </c>
      <c r="K255" s="47">
        <v>10345.761269999999</v>
      </c>
      <c r="L255" s="60"/>
      <c r="M255" s="49">
        <v>2498.6456899999998</v>
      </c>
      <c r="N255" s="49">
        <v>6333.1459999999997</v>
      </c>
      <c r="O255" s="49">
        <v>2840.9202099999998</v>
      </c>
      <c r="P255" s="49">
        <v>5496.2239900000004</v>
      </c>
      <c r="Q255" s="49">
        <v>2205.9315499999998</v>
      </c>
      <c r="R255" s="49">
        <v>0</v>
      </c>
      <c r="S255" s="49">
        <v>2103.9849399999998</v>
      </c>
      <c r="T255" s="56">
        <v>21478.85238</v>
      </c>
      <c r="U255" s="49"/>
      <c r="V255" s="55">
        <v>0</v>
      </c>
      <c r="W255" s="61"/>
      <c r="X255" s="44">
        <v>31824.613649999999</v>
      </c>
      <c r="Y255" s="62">
        <v>21478.85238</v>
      </c>
      <c r="Z255" s="62">
        <v>10345.761269999999</v>
      </c>
    </row>
    <row r="256" spans="1:26" ht="12" customHeight="1" x14ac:dyDescent="0.25">
      <c r="A256" s="42">
        <v>2023</v>
      </c>
      <c r="B256" s="42" t="s">
        <v>5</v>
      </c>
      <c r="C256" s="46">
        <v>6402.5545999999995</v>
      </c>
      <c r="D256" s="46">
        <v>0</v>
      </c>
      <c r="E256" s="46">
        <v>0</v>
      </c>
      <c r="F256" s="46">
        <v>0</v>
      </c>
      <c r="G256" s="46">
        <v>0</v>
      </c>
      <c r="H256" s="46">
        <v>0</v>
      </c>
      <c r="I256" s="46">
        <v>469.55129999999997</v>
      </c>
      <c r="J256" s="46">
        <v>1045.56585</v>
      </c>
      <c r="K256" s="47">
        <v>7917.6717499999995</v>
      </c>
      <c r="L256" s="60"/>
      <c r="M256" s="49">
        <v>6927.3922699999994</v>
      </c>
      <c r="N256" s="49">
        <v>6171.45838</v>
      </c>
      <c r="O256" s="49">
        <v>4313.0862300000008</v>
      </c>
      <c r="P256" s="49">
        <v>2764.2141799999995</v>
      </c>
      <c r="Q256" s="49">
        <v>2278.5643099999998</v>
      </c>
      <c r="R256" s="49">
        <v>0</v>
      </c>
      <c r="S256" s="49">
        <v>7487.6021200000005</v>
      </c>
      <c r="T256" s="56">
        <v>29942.317489999998</v>
      </c>
      <c r="U256" s="49"/>
      <c r="V256" s="55">
        <v>0</v>
      </c>
      <c r="W256" s="61"/>
      <c r="X256" s="44">
        <v>37859.989239999995</v>
      </c>
      <c r="Y256" s="62">
        <v>29942.317489999998</v>
      </c>
      <c r="Z256" s="62">
        <v>7917.6717499999995</v>
      </c>
    </row>
    <row r="257" spans="1:26" ht="12" customHeight="1" x14ac:dyDescent="0.25">
      <c r="A257" s="42">
        <v>2023</v>
      </c>
      <c r="B257" s="42" t="s">
        <v>6</v>
      </c>
      <c r="C257" s="46">
        <v>6958.2933200000007</v>
      </c>
      <c r="D257" s="46">
        <v>0</v>
      </c>
      <c r="E257" s="46">
        <v>0</v>
      </c>
      <c r="F257" s="46">
        <v>0</v>
      </c>
      <c r="G257" s="46">
        <v>0</v>
      </c>
      <c r="H257" s="46">
        <v>0</v>
      </c>
      <c r="I257" s="46">
        <v>1273.6368399999999</v>
      </c>
      <c r="J257" s="46">
        <v>203.95508999999998</v>
      </c>
      <c r="K257" s="47">
        <v>8435.8852499999994</v>
      </c>
      <c r="L257" s="60"/>
      <c r="M257" s="49">
        <v>4770.9162900000001</v>
      </c>
      <c r="N257" s="49">
        <v>6788.7742100000005</v>
      </c>
      <c r="O257" s="49">
        <v>5615.7783799999988</v>
      </c>
      <c r="P257" s="49">
        <v>6272.90146</v>
      </c>
      <c r="Q257" s="49">
        <v>3158.0823899999996</v>
      </c>
      <c r="R257" s="49">
        <v>0</v>
      </c>
      <c r="S257" s="49">
        <v>3368.1471399999996</v>
      </c>
      <c r="T257" s="56">
        <v>29974.599870000002</v>
      </c>
      <c r="U257" s="49"/>
      <c r="V257" s="55">
        <v>0</v>
      </c>
      <c r="W257" s="61"/>
      <c r="X257" s="44">
        <v>38410.485119999998</v>
      </c>
      <c r="Y257" s="62">
        <v>29974.599870000002</v>
      </c>
      <c r="Z257" s="62">
        <v>8435.8852499999994</v>
      </c>
    </row>
    <row r="258" spans="1:26" ht="12" customHeight="1" x14ac:dyDescent="0.25">
      <c r="A258" s="42">
        <v>2023</v>
      </c>
      <c r="B258" s="42" t="s">
        <v>7</v>
      </c>
      <c r="C258" s="46">
        <v>7853.0722900000001</v>
      </c>
      <c r="D258" s="46">
        <v>0</v>
      </c>
      <c r="E258" s="46">
        <v>0</v>
      </c>
      <c r="F258" s="46">
        <v>0</v>
      </c>
      <c r="G258" s="46">
        <v>0</v>
      </c>
      <c r="H258" s="46">
        <v>0</v>
      </c>
      <c r="I258" s="46">
        <v>1795.3572900000001</v>
      </c>
      <c r="J258" s="46">
        <v>259.71949000000001</v>
      </c>
      <c r="K258" s="47">
        <v>9908.1490699999995</v>
      </c>
      <c r="L258" s="60"/>
      <c r="M258" s="49">
        <v>876.94779000000005</v>
      </c>
      <c r="N258" s="49">
        <v>5106.801989999999</v>
      </c>
      <c r="O258" s="49">
        <v>4478.3614000000007</v>
      </c>
      <c r="P258" s="49">
        <v>7062.9322199999997</v>
      </c>
      <c r="Q258" s="49">
        <v>3287.46218</v>
      </c>
      <c r="R258" s="49">
        <v>0</v>
      </c>
      <c r="S258" s="49">
        <v>3962.7757099999999</v>
      </c>
      <c r="T258" s="56">
        <v>24775.281289999999</v>
      </c>
      <c r="U258" s="49"/>
      <c r="V258" s="55">
        <v>0</v>
      </c>
      <c r="W258" s="61"/>
      <c r="X258" s="44">
        <v>34683.430359999998</v>
      </c>
      <c r="Y258" s="62">
        <v>24775.281289999999</v>
      </c>
      <c r="Z258" s="62">
        <v>9908.1490699999995</v>
      </c>
    </row>
    <row r="259" spans="1:26" ht="12" customHeight="1" x14ac:dyDescent="0.25">
      <c r="A259" s="42">
        <v>2023</v>
      </c>
      <c r="B259" s="42" t="s">
        <v>8</v>
      </c>
      <c r="C259" s="46">
        <v>5039.4262600000002</v>
      </c>
      <c r="D259" s="46">
        <v>0</v>
      </c>
      <c r="E259" s="46">
        <v>0</v>
      </c>
      <c r="F259" s="46">
        <v>0</v>
      </c>
      <c r="G259" s="46">
        <v>0</v>
      </c>
      <c r="H259" s="46">
        <v>0</v>
      </c>
      <c r="I259" s="46">
        <v>1193.6795099999999</v>
      </c>
      <c r="J259" s="46">
        <v>1000.27055</v>
      </c>
      <c r="K259" s="47">
        <v>7233.3763200000003</v>
      </c>
      <c r="L259" s="60"/>
      <c r="M259" s="49">
        <v>3495.1073799999999</v>
      </c>
      <c r="N259" s="49">
        <v>6501.2202499999994</v>
      </c>
      <c r="O259" s="49">
        <v>3787.4397299999996</v>
      </c>
      <c r="P259" s="49">
        <v>2181.3262500000001</v>
      </c>
      <c r="Q259" s="49">
        <v>2205.05942</v>
      </c>
      <c r="R259" s="49">
        <v>0</v>
      </c>
      <c r="S259" s="49">
        <v>3218.0662499999999</v>
      </c>
      <c r="T259" s="56">
        <v>21388.219280000001</v>
      </c>
      <c r="U259" s="49"/>
      <c r="V259" s="55">
        <v>0</v>
      </c>
      <c r="W259" s="61"/>
      <c r="X259" s="44">
        <v>28621.595600000001</v>
      </c>
      <c r="Y259" s="62">
        <v>21388.219280000001</v>
      </c>
      <c r="Z259" s="62">
        <v>7233.3763200000003</v>
      </c>
    </row>
    <row r="260" spans="1:26" ht="12" customHeight="1" x14ac:dyDescent="0.25">
      <c r="A260" s="42">
        <v>2023</v>
      </c>
      <c r="B260" s="42" t="s">
        <v>9</v>
      </c>
      <c r="C260" s="46">
        <v>8612.5745299999999</v>
      </c>
      <c r="D260" s="46">
        <v>0</v>
      </c>
      <c r="E260" s="46">
        <v>0</v>
      </c>
      <c r="F260" s="46">
        <v>0</v>
      </c>
      <c r="G260" s="46">
        <v>0</v>
      </c>
      <c r="H260" s="46">
        <v>0</v>
      </c>
      <c r="I260" s="46">
        <v>866.2781500000001</v>
      </c>
      <c r="J260" s="46">
        <v>1703.12617</v>
      </c>
      <c r="K260" s="47">
        <v>11181.97885</v>
      </c>
      <c r="L260" s="60"/>
      <c r="M260" s="49">
        <v>3563.1768500000003</v>
      </c>
      <c r="N260" s="49">
        <v>4267.0231400000002</v>
      </c>
      <c r="O260" s="49">
        <v>2482.0957000000003</v>
      </c>
      <c r="P260" s="49">
        <v>3139.5496800000001</v>
      </c>
      <c r="Q260" s="49">
        <v>2071.9157300000002</v>
      </c>
      <c r="R260" s="49">
        <v>1980.62336</v>
      </c>
      <c r="S260" s="49">
        <v>3015.9243200000001</v>
      </c>
      <c r="T260" s="56">
        <v>20520.308779999999</v>
      </c>
      <c r="U260" s="49"/>
      <c r="V260" s="55">
        <v>0</v>
      </c>
      <c r="W260" s="61"/>
      <c r="X260" s="44">
        <v>31702.287629999999</v>
      </c>
      <c r="Y260" s="62">
        <v>20520.308779999999</v>
      </c>
      <c r="Z260" s="62">
        <v>11181.97885</v>
      </c>
    </row>
    <row r="261" spans="1:26" ht="12" customHeight="1" x14ac:dyDescent="0.25">
      <c r="A261" s="42">
        <v>2023</v>
      </c>
      <c r="B261" s="42" t="s">
        <v>10</v>
      </c>
      <c r="C261" s="46">
        <v>7799.7343499999997</v>
      </c>
      <c r="D261" s="46">
        <v>0</v>
      </c>
      <c r="E261" s="46">
        <v>0</v>
      </c>
      <c r="F261" s="46">
        <v>0</v>
      </c>
      <c r="G261" s="46">
        <v>0</v>
      </c>
      <c r="H261" s="46">
        <v>0</v>
      </c>
      <c r="I261" s="46">
        <v>582.21103000000005</v>
      </c>
      <c r="J261" s="46">
        <v>2038.0543299999999</v>
      </c>
      <c r="K261" s="47">
        <v>10419.99971</v>
      </c>
      <c r="L261" s="60"/>
      <c r="M261" s="49">
        <v>1981.9636399999999</v>
      </c>
      <c r="N261" s="49">
        <v>6401.8908700000002</v>
      </c>
      <c r="O261" s="49">
        <v>4096.6112000000003</v>
      </c>
      <c r="P261" s="49">
        <v>3429.5380500000001</v>
      </c>
      <c r="Q261" s="49">
        <v>1798.9539300000001</v>
      </c>
      <c r="R261" s="49">
        <v>1030.0879300000001</v>
      </c>
      <c r="S261" s="49">
        <v>4636.8276699999997</v>
      </c>
      <c r="T261" s="56">
        <v>23375.87329</v>
      </c>
      <c r="U261" s="49"/>
      <c r="V261" s="55">
        <v>0</v>
      </c>
      <c r="W261" s="61"/>
      <c r="X261" s="44">
        <v>33795.873</v>
      </c>
      <c r="Y261" s="62">
        <v>23375.87329</v>
      </c>
      <c r="Z261" s="62">
        <v>10419.99971</v>
      </c>
    </row>
    <row r="262" spans="1:26" ht="12" customHeight="1" x14ac:dyDescent="0.25">
      <c r="A262" s="42">
        <v>2023</v>
      </c>
      <c r="B262" s="42" t="s">
        <v>11</v>
      </c>
      <c r="C262" s="46">
        <v>8009.4802199999995</v>
      </c>
      <c r="D262" s="46">
        <v>0</v>
      </c>
      <c r="E262" s="46">
        <v>0</v>
      </c>
      <c r="F262" s="46">
        <v>0</v>
      </c>
      <c r="G262" s="46">
        <v>0</v>
      </c>
      <c r="H262" s="46">
        <v>0</v>
      </c>
      <c r="I262" s="46">
        <v>541.09225000000004</v>
      </c>
      <c r="J262" s="46">
        <v>1942.4257600000001</v>
      </c>
      <c r="K262" s="47">
        <v>10492.998229999999</v>
      </c>
      <c r="L262" s="60"/>
      <c r="M262" s="49">
        <v>5273.1046200000001</v>
      </c>
      <c r="N262" s="49">
        <v>3965.85187</v>
      </c>
      <c r="O262" s="49">
        <v>1066.2323999999999</v>
      </c>
      <c r="P262" s="49">
        <v>2367.3214000000003</v>
      </c>
      <c r="Q262" s="49">
        <v>1104.4977900000001</v>
      </c>
      <c r="R262" s="49">
        <v>1101.1926899999999</v>
      </c>
      <c r="S262" s="49">
        <v>5412.7026499999993</v>
      </c>
      <c r="T262" s="56">
        <v>20290.903420000002</v>
      </c>
      <c r="U262" s="49"/>
      <c r="V262" s="55">
        <v>0</v>
      </c>
      <c r="W262" s="61"/>
      <c r="X262" s="44">
        <v>30783.90165</v>
      </c>
      <c r="Y262" s="62">
        <v>20290.903420000002</v>
      </c>
      <c r="Z262" s="62">
        <v>10492.998229999999</v>
      </c>
    </row>
    <row r="263" spans="1:26" ht="12" customHeight="1" x14ac:dyDescent="0.25">
      <c r="A263" s="42">
        <v>2023</v>
      </c>
      <c r="B263" s="42" t="s">
        <v>12</v>
      </c>
      <c r="C263" s="46">
        <v>9701.3110800000013</v>
      </c>
      <c r="D263" s="46">
        <v>0</v>
      </c>
      <c r="E263" s="46">
        <v>0</v>
      </c>
      <c r="F263" s="46">
        <v>0</v>
      </c>
      <c r="G263" s="46">
        <v>0</v>
      </c>
      <c r="H263" s="46">
        <v>0</v>
      </c>
      <c r="I263" s="46">
        <v>514.92079999999999</v>
      </c>
      <c r="J263" s="46">
        <v>689.21167999999989</v>
      </c>
      <c r="K263" s="47">
        <v>10905.443560000002</v>
      </c>
      <c r="L263" s="60"/>
      <c r="M263" s="49">
        <v>4064.79594</v>
      </c>
      <c r="N263" s="49">
        <v>5132.1066400000009</v>
      </c>
      <c r="O263" s="49">
        <v>4289.3798199999992</v>
      </c>
      <c r="P263" s="49">
        <v>0</v>
      </c>
      <c r="Q263" s="49">
        <v>3180.86663</v>
      </c>
      <c r="R263" s="49">
        <v>1095.5131699999999</v>
      </c>
      <c r="S263" s="49">
        <v>5136.0744999999997</v>
      </c>
      <c r="T263" s="56">
        <v>22898.736699999998</v>
      </c>
      <c r="U263" s="49"/>
      <c r="V263" s="55">
        <v>0</v>
      </c>
      <c r="W263" s="61"/>
      <c r="X263" s="44">
        <v>33804.180260000001</v>
      </c>
      <c r="Y263" s="62">
        <v>22898.736699999998</v>
      </c>
      <c r="Z263" s="62">
        <v>10905.443560000002</v>
      </c>
    </row>
    <row r="264" spans="1:26" ht="12" customHeight="1" x14ac:dyDescent="0.25">
      <c r="A264" s="42">
        <v>2023</v>
      </c>
      <c r="B264" s="42" t="s">
        <v>13</v>
      </c>
      <c r="C264" s="46">
        <v>9322.4424899999995</v>
      </c>
      <c r="D264" s="46">
        <v>0</v>
      </c>
      <c r="E264" s="46">
        <v>0</v>
      </c>
      <c r="F264" s="46">
        <v>0</v>
      </c>
      <c r="G264" s="46">
        <v>0</v>
      </c>
      <c r="H264" s="46">
        <v>0</v>
      </c>
      <c r="I264" s="46">
        <v>696.26294000000007</v>
      </c>
      <c r="J264" s="46">
        <v>508.08567999999997</v>
      </c>
      <c r="K264" s="47">
        <v>10526.79111</v>
      </c>
      <c r="L264" s="60"/>
      <c r="M264" s="49">
        <v>5112.1823599999998</v>
      </c>
      <c r="N264" s="49">
        <v>4347.8705899999995</v>
      </c>
      <c r="O264" s="49">
        <v>3202.7657799999997</v>
      </c>
      <c r="P264" s="49">
        <v>4227.1061999999993</v>
      </c>
      <c r="Q264" s="49">
        <v>2065.6700300000002</v>
      </c>
      <c r="R264" s="49">
        <v>1095.5978500000001</v>
      </c>
      <c r="S264" s="49">
        <v>3878.6687099999999</v>
      </c>
      <c r="T264" s="56">
        <v>23929.861519999999</v>
      </c>
      <c r="U264" s="49"/>
      <c r="V264" s="55">
        <v>0</v>
      </c>
      <c r="W264" s="61"/>
      <c r="X264" s="44">
        <v>34456.652629999997</v>
      </c>
      <c r="Y264" s="62">
        <v>23929.861519999999</v>
      </c>
      <c r="Z264" s="62">
        <v>10526.79111</v>
      </c>
    </row>
    <row r="265" spans="1:26" ht="12" customHeight="1" x14ac:dyDescent="0.25">
      <c r="A265" s="42">
        <v>2023</v>
      </c>
      <c r="B265" s="42" t="s">
        <v>14</v>
      </c>
      <c r="C265" s="46">
        <v>9192.0771299999997</v>
      </c>
      <c r="D265" s="46">
        <v>0</v>
      </c>
      <c r="E265" s="46">
        <v>0</v>
      </c>
      <c r="F265" s="46">
        <v>0</v>
      </c>
      <c r="G265" s="46">
        <v>0</v>
      </c>
      <c r="H265" s="46">
        <v>0</v>
      </c>
      <c r="I265" s="46">
        <v>673.09212000000002</v>
      </c>
      <c r="J265" s="46">
        <v>1225.9658599999996</v>
      </c>
      <c r="K265" s="47">
        <v>11091.135109999999</v>
      </c>
      <c r="L265" s="60"/>
      <c r="M265" s="49">
        <v>2073.6311299999998</v>
      </c>
      <c r="N265" s="49">
        <v>4401.3971600000004</v>
      </c>
      <c r="O265" s="49">
        <v>2596.2050199999999</v>
      </c>
      <c r="P265" s="49">
        <v>2676.0932499999999</v>
      </c>
      <c r="Q265" s="49">
        <v>3279.3225400000001</v>
      </c>
      <c r="R265" s="49">
        <v>1098.82375</v>
      </c>
      <c r="S265" s="49">
        <v>0</v>
      </c>
      <c r="T265" s="56">
        <v>16125.472849999998</v>
      </c>
      <c r="U265" s="49"/>
      <c r="V265" s="55">
        <v>0</v>
      </c>
      <c r="W265" s="61"/>
      <c r="X265" s="44">
        <v>27216.607959999998</v>
      </c>
      <c r="Y265" s="62">
        <v>16125.472849999998</v>
      </c>
      <c r="Z265" s="62">
        <v>11091.135109999999</v>
      </c>
    </row>
    <row r="266" spans="1:26" ht="12" customHeight="1" x14ac:dyDescent="0.25">
      <c r="A266" s="42">
        <v>2023</v>
      </c>
      <c r="B266" s="42" t="s">
        <v>15</v>
      </c>
      <c r="C266" s="46">
        <v>94842.013100000011</v>
      </c>
      <c r="D266" s="46">
        <v>0</v>
      </c>
      <c r="E266" s="46">
        <v>0</v>
      </c>
      <c r="F266" s="46">
        <v>0</v>
      </c>
      <c r="G266" s="46">
        <v>0</v>
      </c>
      <c r="H266" s="46">
        <v>0</v>
      </c>
      <c r="I266" s="46">
        <v>10058.00835</v>
      </c>
      <c r="J266" s="46">
        <v>14456.309650000001</v>
      </c>
      <c r="K266" s="47">
        <v>119356.33110000001</v>
      </c>
      <c r="L266" s="60"/>
      <c r="M266" s="49">
        <v>43112.88463</v>
      </c>
      <c r="N266" s="49">
        <v>62497.898249999998</v>
      </c>
      <c r="O266" s="49">
        <v>43140.151690000006</v>
      </c>
      <c r="P266" s="49">
        <v>46654.858430000008</v>
      </c>
      <c r="Q266" s="49">
        <v>29846.975730000002</v>
      </c>
      <c r="R266" s="49">
        <v>7401.8387500000008</v>
      </c>
      <c r="S266" s="49">
        <v>44423.272339999996</v>
      </c>
      <c r="T266" s="56">
        <v>277077.87981999997</v>
      </c>
      <c r="U266" s="49"/>
      <c r="V266" s="55">
        <v>0</v>
      </c>
      <c r="W266" s="61"/>
      <c r="X266" s="44">
        <v>396434.21091999998</v>
      </c>
      <c r="Y266" s="62">
        <v>277077.87981999997</v>
      </c>
      <c r="Z266" s="62">
        <v>119356.33110000001</v>
      </c>
    </row>
    <row r="267" spans="1:26" ht="12" customHeight="1" x14ac:dyDescent="0.25">
      <c r="A267" s="51">
        <v>2024</v>
      </c>
      <c r="B267" s="48" t="s">
        <v>3</v>
      </c>
      <c r="C267" s="46">
        <v>8982.0627599999989</v>
      </c>
      <c r="D267" s="46">
        <v>0</v>
      </c>
      <c r="E267" s="46">
        <v>0</v>
      </c>
      <c r="F267" s="46">
        <v>0</v>
      </c>
      <c r="G267" s="46">
        <v>0</v>
      </c>
      <c r="H267" s="46">
        <v>0</v>
      </c>
      <c r="I267" s="46">
        <v>574.63936000000001</v>
      </c>
      <c r="J267" s="46">
        <v>1590.5409299999999</v>
      </c>
      <c r="K267" s="49">
        <v>11147.243049999997</v>
      </c>
      <c r="L267" s="60"/>
      <c r="M267" s="49">
        <v>1370.0571499999999</v>
      </c>
      <c r="N267" s="49">
        <v>6431.3296600000012</v>
      </c>
      <c r="O267" s="49">
        <v>2211.9981200000002</v>
      </c>
      <c r="P267" s="49">
        <v>4282.7454900000002</v>
      </c>
      <c r="Q267" s="49">
        <v>2192.50614</v>
      </c>
      <c r="R267" s="49">
        <v>1068.1190900000001</v>
      </c>
      <c r="S267" s="49">
        <v>3574.7227699999999</v>
      </c>
      <c r="T267" s="49">
        <v>21131.478420000003</v>
      </c>
      <c r="U267" s="49"/>
      <c r="V267" s="55">
        <v>0</v>
      </c>
      <c r="W267" s="61"/>
      <c r="X267" s="44">
        <v>32278.72147</v>
      </c>
      <c r="Y267" s="62">
        <v>21131.478420000003</v>
      </c>
      <c r="Z267" s="62">
        <v>11147.243049999997</v>
      </c>
    </row>
    <row r="268" spans="1:26" ht="12" customHeight="1" x14ac:dyDescent="0.25">
      <c r="A268" s="51">
        <v>2024</v>
      </c>
      <c r="B268" s="48" t="s">
        <v>4</v>
      </c>
      <c r="C268" s="46">
        <v>8108.1376600000003</v>
      </c>
      <c r="D268" s="46">
        <v>0</v>
      </c>
      <c r="E268" s="46">
        <v>0</v>
      </c>
      <c r="F268" s="46">
        <v>0</v>
      </c>
      <c r="G268" s="46">
        <v>0</v>
      </c>
      <c r="H268" s="46">
        <v>0</v>
      </c>
      <c r="I268" s="46">
        <v>1017.87737</v>
      </c>
      <c r="J268" s="46">
        <v>963.23812999999996</v>
      </c>
      <c r="K268" s="49">
        <v>10089.25316</v>
      </c>
      <c r="L268" s="60"/>
      <c r="M268" s="49">
        <v>3277.0619900000002</v>
      </c>
      <c r="N268" s="49">
        <v>5220.4455399999997</v>
      </c>
      <c r="O268" s="49">
        <v>5063.2427799999996</v>
      </c>
      <c r="P268" s="49">
        <v>2234.22145</v>
      </c>
      <c r="Q268" s="49">
        <v>1084.90689</v>
      </c>
      <c r="R268" s="49">
        <v>998.86757999999998</v>
      </c>
      <c r="S268" s="49">
        <v>2764.8819399999998</v>
      </c>
      <c r="T268" s="49">
        <v>20643.628169999996</v>
      </c>
      <c r="U268" s="49"/>
      <c r="V268" s="55">
        <v>0</v>
      </c>
      <c r="W268" s="61"/>
      <c r="X268" s="44">
        <v>30732.881329999997</v>
      </c>
      <c r="Y268" s="62">
        <v>20643.628169999996</v>
      </c>
      <c r="Z268" s="62">
        <v>10089.25316</v>
      </c>
    </row>
    <row r="269" spans="1:26" ht="12" customHeight="1" x14ac:dyDescent="0.25">
      <c r="A269" s="51">
        <v>2024</v>
      </c>
      <c r="B269" s="48" t="s">
        <v>5</v>
      </c>
      <c r="C269" s="46">
        <v>8708.4388500000005</v>
      </c>
      <c r="D269" s="46">
        <v>0</v>
      </c>
      <c r="E269" s="46">
        <v>0</v>
      </c>
      <c r="F269" s="46">
        <v>0</v>
      </c>
      <c r="G269" s="46">
        <v>0</v>
      </c>
      <c r="H269" s="46">
        <v>0</v>
      </c>
      <c r="I269" s="46">
        <v>548.22838000000002</v>
      </c>
      <c r="J269" s="46">
        <v>751.58321000000001</v>
      </c>
      <c r="K269" s="49">
        <v>10008.250440000002</v>
      </c>
      <c r="L269" s="60"/>
      <c r="M269" s="49">
        <v>1980.51755</v>
      </c>
      <c r="N269" s="49">
        <v>5412.3155500000003</v>
      </c>
      <c r="O269" s="49">
        <v>4052.6331599999999</v>
      </c>
      <c r="P269" s="49">
        <v>2054.7880099999998</v>
      </c>
      <c r="Q269" s="49">
        <v>2184.4765200000002</v>
      </c>
      <c r="R269" s="49">
        <v>1019.55598</v>
      </c>
      <c r="S269" s="49">
        <v>2364.5408399999997</v>
      </c>
      <c r="T269" s="49">
        <v>19068.82761</v>
      </c>
      <c r="U269" s="49"/>
      <c r="V269" s="55">
        <v>0</v>
      </c>
      <c r="W269" s="61"/>
      <c r="X269" s="44">
        <v>29077.078050000004</v>
      </c>
      <c r="Y269" s="62">
        <v>19068.82761</v>
      </c>
      <c r="Z269" s="62">
        <v>10008.250440000002</v>
      </c>
    </row>
    <row r="270" spans="1:26" ht="12" customHeight="1" x14ac:dyDescent="0.25">
      <c r="A270" s="51">
        <v>2024</v>
      </c>
      <c r="B270" s="48" t="s">
        <v>6</v>
      </c>
      <c r="C270" s="46">
        <v>8418.220589999999</v>
      </c>
      <c r="D270" s="46">
        <v>0</v>
      </c>
      <c r="E270" s="46">
        <v>0</v>
      </c>
      <c r="F270" s="46">
        <v>0</v>
      </c>
      <c r="G270" s="46">
        <v>0</v>
      </c>
      <c r="H270" s="46">
        <v>0</v>
      </c>
      <c r="I270" s="46">
        <v>1046.4230500000001</v>
      </c>
      <c r="J270" s="46">
        <v>1165.5892999999999</v>
      </c>
      <c r="K270" s="49">
        <v>10630.232939999998</v>
      </c>
      <c r="L270" s="60"/>
      <c r="M270" s="49">
        <v>968.72865000000002</v>
      </c>
      <c r="N270" s="49">
        <v>4082.7399500000001</v>
      </c>
      <c r="O270" s="49">
        <v>1983.6648899999998</v>
      </c>
      <c r="P270" s="49">
        <v>4842.2566100000004</v>
      </c>
      <c r="Q270" s="49">
        <v>2173.2438399999996</v>
      </c>
      <c r="R270" s="49">
        <v>0</v>
      </c>
      <c r="S270" s="49">
        <v>2075.5406800000001</v>
      </c>
      <c r="T270" s="49">
        <v>16126.17462</v>
      </c>
      <c r="U270" s="49"/>
      <c r="V270" s="55">
        <v>0</v>
      </c>
      <c r="W270" s="61"/>
      <c r="X270" s="44">
        <v>26756.40756</v>
      </c>
      <c r="Y270" s="62">
        <v>16126.17462</v>
      </c>
      <c r="Z270" s="62">
        <v>10630.232939999998</v>
      </c>
    </row>
    <row r="271" spans="1:26" ht="12" customHeight="1" x14ac:dyDescent="0.25">
      <c r="A271" s="51">
        <v>2024</v>
      </c>
      <c r="B271" s="48" t="s">
        <v>7</v>
      </c>
      <c r="C271" s="46">
        <v>8790.5292299999983</v>
      </c>
      <c r="D271" s="46">
        <v>0</v>
      </c>
      <c r="E271" s="46">
        <v>0</v>
      </c>
      <c r="F271" s="46">
        <v>0</v>
      </c>
      <c r="G271" s="46">
        <v>0</v>
      </c>
      <c r="H271" s="46">
        <v>0</v>
      </c>
      <c r="I271" s="46">
        <v>742.95623999999987</v>
      </c>
      <c r="J271" s="46">
        <v>1410.1573799999985</v>
      </c>
      <c r="K271" s="49">
        <v>10943.642849999997</v>
      </c>
      <c r="L271" s="60"/>
      <c r="M271" s="49">
        <v>3103.1825600000002</v>
      </c>
      <c r="N271" s="49">
        <v>4269.3695800000005</v>
      </c>
      <c r="O271" s="49">
        <v>1426.6405099999999</v>
      </c>
      <c r="P271" s="49">
        <v>2883.59746</v>
      </c>
      <c r="Q271" s="49">
        <v>3061.9315899999997</v>
      </c>
      <c r="R271" s="49">
        <v>2020.1069499999999</v>
      </c>
      <c r="S271" s="49">
        <v>1549.3768700000001</v>
      </c>
      <c r="T271" s="49">
        <v>18314.205520000003</v>
      </c>
      <c r="U271" s="49"/>
      <c r="V271" s="55">
        <v>0</v>
      </c>
      <c r="W271" s="61"/>
      <c r="X271" s="44">
        <v>29257.84837</v>
      </c>
      <c r="Y271" s="62">
        <v>18314.205520000003</v>
      </c>
      <c r="Z271" s="62">
        <v>10943.642849999997</v>
      </c>
    </row>
    <row r="272" spans="1:26" ht="12" customHeight="1" x14ac:dyDescent="0.25">
      <c r="A272" s="51">
        <v>2024</v>
      </c>
      <c r="B272" s="48" t="s">
        <v>8</v>
      </c>
      <c r="C272" s="46">
        <v>8646.1387200000008</v>
      </c>
      <c r="D272" s="46">
        <v>0</v>
      </c>
      <c r="E272" s="46">
        <v>0</v>
      </c>
      <c r="F272" s="46">
        <v>0</v>
      </c>
      <c r="G272" s="46">
        <v>0</v>
      </c>
      <c r="H272" s="46">
        <v>0</v>
      </c>
      <c r="I272" s="46">
        <v>1725.61319</v>
      </c>
      <c r="J272" s="46">
        <v>1041.53018</v>
      </c>
      <c r="K272" s="49">
        <v>11413.282090000001</v>
      </c>
      <c r="L272" s="60"/>
      <c r="M272" s="49">
        <v>1697.21983</v>
      </c>
      <c r="N272" s="49">
        <v>5178.2589100000005</v>
      </c>
      <c r="O272" s="49">
        <v>3124.5099799999998</v>
      </c>
      <c r="P272" s="49">
        <v>2566.2916099999998</v>
      </c>
      <c r="Q272" s="49">
        <v>2202.0559900000003</v>
      </c>
      <c r="R272" s="49">
        <v>990.41188</v>
      </c>
      <c r="S272" s="49">
        <v>1122.5207399999999</v>
      </c>
      <c r="T272" s="49">
        <v>16881.268940000002</v>
      </c>
      <c r="U272" s="49"/>
      <c r="V272" s="55">
        <v>0</v>
      </c>
      <c r="W272" s="61"/>
      <c r="X272" s="44">
        <v>28294.551030000002</v>
      </c>
      <c r="Y272" s="62">
        <v>16881.268940000002</v>
      </c>
      <c r="Z272" s="62">
        <v>11413.282090000001</v>
      </c>
    </row>
    <row r="273" spans="1:26" ht="12" customHeight="1" x14ac:dyDescent="0.25">
      <c r="A273" s="51">
        <v>2024</v>
      </c>
      <c r="B273" s="48" t="s">
        <v>9</v>
      </c>
      <c r="C273" s="46">
        <v>8561.3345000000008</v>
      </c>
      <c r="D273" s="46">
        <v>0</v>
      </c>
      <c r="E273" s="46">
        <v>0</v>
      </c>
      <c r="F273" s="46">
        <v>0</v>
      </c>
      <c r="G273" s="46">
        <v>0</v>
      </c>
      <c r="H273" s="46">
        <v>0</v>
      </c>
      <c r="I273" s="46">
        <v>1632.1897300000001</v>
      </c>
      <c r="J273" s="46">
        <v>1733.1751499999998</v>
      </c>
      <c r="K273" s="49">
        <v>11926.69938</v>
      </c>
      <c r="L273" s="60"/>
      <c r="M273" s="49">
        <v>2266.6149500000001</v>
      </c>
      <c r="N273" s="49">
        <v>3316.1327999999999</v>
      </c>
      <c r="O273" s="49">
        <v>2099.6863499999999</v>
      </c>
      <c r="P273" s="49">
        <v>2912.5642600000001</v>
      </c>
      <c r="Q273" s="49">
        <v>1171.84347</v>
      </c>
      <c r="R273" s="49">
        <v>2086.4539200000004</v>
      </c>
      <c r="S273" s="49">
        <v>1953.29648</v>
      </c>
      <c r="T273" s="49">
        <v>15806.592230000002</v>
      </c>
      <c r="U273" s="49"/>
      <c r="V273" s="55">
        <v>0</v>
      </c>
      <c r="W273" s="61"/>
      <c r="X273" s="44">
        <v>27733.29161</v>
      </c>
      <c r="Y273" s="62">
        <v>15806.592230000002</v>
      </c>
      <c r="Z273" s="62">
        <v>11926.69938</v>
      </c>
    </row>
    <row r="274" spans="1:26" ht="12" customHeight="1" x14ac:dyDescent="0.25">
      <c r="A274" s="51">
        <v>2024</v>
      </c>
      <c r="B274" s="48" t="s">
        <v>10</v>
      </c>
      <c r="C274" s="46">
        <v>8865.2239000000009</v>
      </c>
      <c r="D274" s="46">
        <v>0</v>
      </c>
      <c r="E274" s="46">
        <v>0</v>
      </c>
      <c r="F274" s="46">
        <v>0</v>
      </c>
      <c r="G274" s="46">
        <v>0</v>
      </c>
      <c r="H274" s="46">
        <v>0</v>
      </c>
      <c r="I274" s="46">
        <v>1233.4716000000001</v>
      </c>
      <c r="J274" s="46">
        <v>2068.6161400000001</v>
      </c>
      <c r="K274" s="49">
        <v>12167.311640000002</v>
      </c>
      <c r="L274" s="60"/>
      <c r="M274" s="49">
        <v>865.14893999999993</v>
      </c>
      <c r="N274" s="49">
        <v>3156.3252900000002</v>
      </c>
      <c r="O274" s="49">
        <v>2207.1483699999999</v>
      </c>
      <c r="P274" s="49">
        <v>1938.11519</v>
      </c>
      <c r="Q274" s="49">
        <v>2229.9680300000005</v>
      </c>
      <c r="R274" s="49">
        <v>1649.9038500000001</v>
      </c>
      <c r="S274" s="49">
        <v>2563.4344999999998</v>
      </c>
      <c r="T274" s="49">
        <v>14610.044170000001</v>
      </c>
      <c r="U274" s="49"/>
      <c r="V274" s="55">
        <v>0</v>
      </c>
      <c r="W274" s="61"/>
      <c r="X274" s="44">
        <v>26777.355810000001</v>
      </c>
      <c r="Y274" s="62">
        <v>14610.044170000001</v>
      </c>
      <c r="Z274" s="62">
        <v>12167.311640000002</v>
      </c>
    </row>
    <row r="275" spans="1:26" ht="12" customHeight="1" x14ac:dyDescent="0.25">
      <c r="A275" s="51">
        <v>2024</v>
      </c>
      <c r="B275" s="48" t="s">
        <v>11</v>
      </c>
      <c r="C275" s="46">
        <v>6779.4009499999993</v>
      </c>
      <c r="D275" s="46">
        <v>0</v>
      </c>
      <c r="E275" s="46">
        <v>0</v>
      </c>
      <c r="F275" s="46">
        <v>0</v>
      </c>
      <c r="G275" s="46">
        <v>0</v>
      </c>
      <c r="H275" s="46">
        <v>0</v>
      </c>
      <c r="I275" s="46">
        <v>1609.15365</v>
      </c>
      <c r="J275" s="46">
        <v>2212.5951099999997</v>
      </c>
      <c r="K275" s="49">
        <v>10601.14971</v>
      </c>
      <c r="L275" s="60"/>
      <c r="M275" s="49">
        <v>3312.60475</v>
      </c>
      <c r="N275" s="49">
        <v>3269.57638</v>
      </c>
      <c r="O275" s="49">
        <v>1018.0159200000001</v>
      </c>
      <c r="P275" s="49">
        <v>2055.0623900000001</v>
      </c>
      <c r="Q275" s="49">
        <v>2188.5660300000004</v>
      </c>
      <c r="R275" s="49">
        <v>1052.7360800000001</v>
      </c>
      <c r="S275" s="49">
        <v>2361.4874399999999</v>
      </c>
      <c r="T275" s="49">
        <v>15258.048989999999</v>
      </c>
      <c r="U275" s="49"/>
      <c r="V275" s="55">
        <v>0</v>
      </c>
      <c r="W275" s="61"/>
      <c r="X275" s="44">
        <v>25859.198700000001</v>
      </c>
      <c r="Y275" s="62">
        <v>15258.048989999999</v>
      </c>
      <c r="Z275" s="62">
        <v>10601.14971</v>
      </c>
    </row>
    <row r="276" spans="1:26" ht="12" customHeight="1" x14ac:dyDescent="0.25">
      <c r="A276" s="51">
        <v>2024</v>
      </c>
      <c r="B276" s="48" t="s">
        <v>12</v>
      </c>
      <c r="C276" s="46">
        <v>10296.308790000001</v>
      </c>
      <c r="D276" s="46">
        <v>0</v>
      </c>
      <c r="E276" s="46">
        <v>0</v>
      </c>
      <c r="F276" s="46">
        <v>0</v>
      </c>
      <c r="G276" s="46">
        <v>0</v>
      </c>
      <c r="H276" s="46">
        <v>0</v>
      </c>
      <c r="I276" s="46">
        <v>660.03667000000007</v>
      </c>
      <c r="J276" s="46">
        <v>604.7717200000003</v>
      </c>
      <c r="K276" s="49">
        <v>11561.117180000001</v>
      </c>
      <c r="L276" s="60"/>
      <c r="M276" s="49">
        <v>3876.2588999999998</v>
      </c>
      <c r="N276" s="49">
        <v>3221.5435300000004</v>
      </c>
      <c r="O276" s="49">
        <v>1932.85536</v>
      </c>
      <c r="P276" s="49">
        <v>3832.9469700000009</v>
      </c>
      <c r="Q276" s="49">
        <v>964.05826999999999</v>
      </c>
      <c r="R276" s="49">
        <v>0</v>
      </c>
      <c r="S276" s="49">
        <v>492.66990000000004</v>
      </c>
      <c r="T276" s="49">
        <v>14320.33293</v>
      </c>
      <c r="U276" s="49"/>
      <c r="V276" s="55">
        <v>0</v>
      </c>
      <c r="W276" s="61"/>
      <c r="X276" s="44">
        <v>25881.450110000002</v>
      </c>
      <c r="Y276" s="62">
        <v>14320.33293</v>
      </c>
      <c r="Z276" s="62">
        <v>11561.117180000001</v>
      </c>
    </row>
    <row r="277" spans="1:26" ht="12" customHeight="1" x14ac:dyDescent="0.25">
      <c r="A277" s="51">
        <v>2024</v>
      </c>
      <c r="B277" s="48" t="s">
        <v>13</v>
      </c>
      <c r="C277" s="46">
        <v>9970.7199000000001</v>
      </c>
      <c r="D277" s="46">
        <v>0</v>
      </c>
      <c r="E277" s="46">
        <v>0</v>
      </c>
      <c r="F277" s="46">
        <v>0</v>
      </c>
      <c r="G277" s="46">
        <v>0</v>
      </c>
      <c r="H277" s="46">
        <v>0</v>
      </c>
      <c r="I277" s="46">
        <v>875.45695999999998</v>
      </c>
      <c r="J277" s="46">
        <v>744.06983000000002</v>
      </c>
      <c r="K277" s="49">
        <v>11590.24669</v>
      </c>
      <c r="L277" s="60"/>
      <c r="M277" s="49">
        <v>3352.0697399999999</v>
      </c>
      <c r="N277" s="49">
        <v>5483.7407800000001</v>
      </c>
      <c r="O277" s="49">
        <v>1951.8601700000002</v>
      </c>
      <c r="P277" s="49">
        <v>1091.5163</v>
      </c>
      <c r="Q277" s="49">
        <v>2059.826</v>
      </c>
      <c r="R277" s="49">
        <v>1062.4867400000001</v>
      </c>
      <c r="S277" s="49">
        <v>3191.7342600000002</v>
      </c>
      <c r="T277" s="49">
        <v>18193.233990000001</v>
      </c>
      <c r="U277" s="49"/>
      <c r="V277" s="55">
        <v>0</v>
      </c>
      <c r="W277" s="61"/>
      <c r="X277" s="44">
        <v>29783.480680000001</v>
      </c>
      <c r="Y277" s="62">
        <v>18193.233990000001</v>
      </c>
      <c r="Z277" s="62">
        <v>11590.24669</v>
      </c>
    </row>
    <row r="278" spans="1:26" ht="12" customHeight="1" x14ac:dyDescent="0.25">
      <c r="A278" s="51">
        <v>2024</v>
      </c>
      <c r="B278" s="48" t="s">
        <v>14</v>
      </c>
      <c r="C278" s="46">
        <v>9764.3110399999987</v>
      </c>
      <c r="D278" s="46">
        <v>0</v>
      </c>
      <c r="E278" s="46">
        <v>0</v>
      </c>
      <c r="F278" s="46">
        <v>0</v>
      </c>
      <c r="G278" s="46">
        <v>0</v>
      </c>
      <c r="H278" s="46">
        <v>0</v>
      </c>
      <c r="I278" s="46">
        <v>637.17290000000003</v>
      </c>
      <c r="J278" s="46">
        <v>1778.7465599999966</v>
      </c>
      <c r="K278" s="49">
        <v>12180.230499999994</v>
      </c>
      <c r="L278" s="60"/>
      <c r="M278" s="49">
        <v>1745.75468</v>
      </c>
      <c r="N278" s="49">
        <v>3288.44949</v>
      </c>
      <c r="O278" s="49">
        <v>0</v>
      </c>
      <c r="P278" s="49">
        <v>3170.2461399999997</v>
      </c>
      <c r="Q278" s="49">
        <v>2196.6041299999997</v>
      </c>
      <c r="R278" s="49">
        <v>856.43709000000001</v>
      </c>
      <c r="S278" s="49">
        <v>3282.5544900000004</v>
      </c>
      <c r="T278" s="49">
        <v>14540.04602</v>
      </c>
      <c r="U278" s="49"/>
      <c r="V278" s="55">
        <v>0</v>
      </c>
      <c r="W278" s="61"/>
      <c r="X278" s="44">
        <v>26720.276519999992</v>
      </c>
      <c r="Y278" s="62">
        <v>14540.04602</v>
      </c>
      <c r="Z278" s="62">
        <v>12180.230499999994</v>
      </c>
    </row>
    <row r="279" spans="1:26" ht="12" customHeight="1" x14ac:dyDescent="0.25">
      <c r="A279" s="51">
        <v>2024</v>
      </c>
      <c r="B279" s="48" t="s">
        <v>15</v>
      </c>
      <c r="C279" s="46">
        <v>105890.82688999998</v>
      </c>
      <c r="D279" s="46">
        <v>0</v>
      </c>
      <c r="E279" s="46">
        <v>0</v>
      </c>
      <c r="F279" s="46">
        <v>0</v>
      </c>
      <c r="G279" s="46">
        <v>0</v>
      </c>
      <c r="H279" s="46">
        <v>0</v>
      </c>
      <c r="I279" s="46">
        <v>12303.2191</v>
      </c>
      <c r="J279" s="46">
        <v>16064.613639999994</v>
      </c>
      <c r="K279" s="49">
        <v>134258.65963000001</v>
      </c>
      <c r="L279" s="60"/>
      <c r="M279" s="49">
        <v>27815.219689999998</v>
      </c>
      <c r="N279" s="49">
        <v>52330.227460000002</v>
      </c>
      <c r="O279" s="49">
        <v>27072.25561</v>
      </c>
      <c r="P279" s="49">
        <v>33864.351880000002</v>
      </c>
      <c r="Q279" s="49">
        <v>23709.986900000004</v>
      </c>
      <c r="R279" s="49">
        <v>12805.079160000001</v>
      </c>
      <c r="S279" s="49">
        <v>27296.760910000005</v>
      </c>
      <c r="T279" s="49">
        <v>204893.88161000004</v>
      </c>
      <c r="U279" s="49"/>
      <c r="V279" s="55">
        <v>0</v>
      </c>
      <c r="W279" s="61"/>
      <c r="X279" s="44">
        <v>339152.54124000005</v>
      </c>
      <c r="Y279" s="62">
        <v>204893.88161000004</v>
      </c>
      <c r="Z279" s="62">
        <v>134258.65963000001</v>
      </c>
    </row>
    <row r="280" spans="1:26" ht="12" customHeight="1" x14ac:dyDescent="0.25">
      <c r="A280" s="42">
        <v>2025</v>
      </c>
      <c r="B280" s="42" t="s">
        <v>3</v>
      </c>
      <c r="C280" s="46">
        <v>10119.332779999999</v>
      </c>
      <c r="D280" s="46">
        <v>0</v>
      </c>
      <c r="E280" s="46">
        <v>0</v>
      </c>
      <c r="F280" s="46">
        <v>0</v>
      </c>
      <c r="G280" s="46">
        <v>0</v>
      </c>
      <c r="H280" s="46">
        <v>0</v>
      </c>
      <c r="I280" s="46">
        <v>690.99894000000006</v>
      </c>
      <c r="J280" s="46">
        <v>710.8289299999991</v>
      </c>
      <c r="K280" s="47">
        <v>11521.160649999998</v>
      </c>
      <c r="L280" s="60"/>
      <c r="M280" s="49">
        <v>2793.6924800000002</v>
      </c>
      <c r="N280" s="49">
        <v>5243.55861</v>
      </c>
      <c r="O280" s="49">
        <v>3825.1319300000005</v>
      </c>
      <c r="P280" s="49">
        <v>5757.2289500000006</v>
      </c>
      <c r="Q280" s="49">
        <v>2196.5396399999995</v>
      </c>
      <c r="R280" s="49">
        <v>947.50656000000004</v>
      </c>
      <c r="S280" s="49">
        <v>3201.0949999999998</v>
      </c>
      <c r="T280" s="56">
        <v>23964.753170000004</v>
      </c>
      <c r="U280" s="49"/>
      <c r="V280" s="55">
        <v>0</v>
      </c>
      <c r="W280" s="61"/>
      <c r="X280" s="44">
        <v>35485.913820000002</v>
      </c>
      <c r="Y280" s="62">
        <v>23964.753170000004</v>
      </c>
      <c r="Z280" s="62">
        <v>11521.160649999998</v>
      </c>
    </row>
    <row r="281" spans="1:26" ht="12" customHeight="1" x14ac:dyDescent="0.25">
      <c r="A281" s="42">
        <v>2025</v>
      </c>
      <c r="B281" s="42" t="s">
        <v>4</v>
      </c>
      <c r="C281" s="46">
        <v>9188.0476900000012</v>
      </c>
      <c r="D281" s="46">
        <v>0</v>
      </c>
      <c r="E281" s="46">
        <v>0</v>
      </c>
      <c r="F281" s="46">
        <v>0</v>
      </c>
      <c r="G281" s="46">
        <v>0</v>
      </c>
      <c r="H281" s="46">
        <v>0</v>
      </c>
      <c r="I281" s="46">
        <v>509.35975000000002</v>
      </c>
      <c r="J281" s="46">
        <v>233.77789999999999</v>
      </c>
      <c r="K281" s="47">
        <v>9931.18534</v>
      </c>
      <c r="L281" s="60"/>
      <c r="M281" s="49">
        <v>1490.269</v>
      </c>
      <c r="N281" s="49">
        <v>5808.8099399999992</v>
      </c>
      <c r="O281" s="49">
        <v>2039.6593799999998</v>
      </c>
      <c r="P281" s="49">
        <v>3232.9735000000001</v>
      </c>
      <c r="Q281" s="49">
        <v>1134.51972</v>
      </c>
      <c r="R281" s="49">
        <v>1028.2059100000001</v>
      </c>
      <c r="S281" s="49">
        <v>1553.5016400000002</v>
      </c>
      <c r="T281" s="56">
        <v>16287.93909</v>
      </c>
      <c r="U281" s="49"/>
      <c r="V281" s="55">
        <v>0</v>
      </c>
      <c r="W281" s="61"/>
      <c r="X281" s="44">
        <v>26219.12443</v>
      </c>
      <c r="Y281" s="62">
        <v>16287.93909</v>
      </c>
      <c r="Z281" s="62">
        <v>9931.18534</v>
      </c>
    </row>
    <row r="282" spans="1:26" ht="12" customHeight="1" x14ac:dyDescent="0.25">
      <c r="A282" s="42">
        <v>2025</v>
      </c>
      <c r="B282" s="42" t="s">
        <v>5</v>
      </c>
      <c r="C282" s="46">
        <v>9509.296339999999</v>
      </c>
      <c r="D282" s="46">
        <v>0</v>
      </c>
      <c r="E282" s="46">
        <v>0</v>
      </c>
      <c r="F282" s="46">
        <v>0</v>
      </c>
      <c r="G282" s="46">
        <v>0</v>
      </c>
      <c r="H282" s="46">
        <v>0</v>
      </c>
      <c r="I282" s="46">
        <v>329.04199</v>
      </c>
      <c r="J282" s="46">
        <v>371.22836000000024</v>
      </c>
      <c r="K282" s="47">
        <v>10209.56669</v>
      </c>
      <c r="L282" s="60"/>
      <c r="M282" s="49">
        <v>4617.1127999999999</v>
      </c>
      <c r="N282" s="49">
        <v>6252.9097400000001</v>
      </c>
      <c r="O282" s="49">
        <v>5176.7645700000003</v>
      </c>
      <c r="P282" s="49">
        <v>1140.20874</v>
      </c>
      <c r="Q282" s="49">
        <v>3163.1321200000002</v>
      </c>
      <c r="R282" s="49">
        <v>1086.20615</v>
      </c>
      <c r="S282" s="49">
        <v>4873.9627399999999</v>
      </c>
      <c r="T282" s="56">
        <v>26310.296859999999</v>
      </c>
      <c r="U282" s="49"/>
      <c r="V282" s="55">
        <v>0</v>
      </c>
      <c r="W282" s="61"/>
      <c r="X282" s="44">
        <v>36519.863549999995</v>
      </c>
      <c r="Y282" s="62">
        <v>26310.296859999999</v>
      </c>
      <c r="Z282" s="62">
        <v>10209.56669</v>
      </c>
    </row>
    <row r="283" spans="1:26" ht="12" customHeight="1" x14ac:dyDescent="0.25">
      <c r="A283" s="42">
        <v>2025</v>
      </c>
      <c r="B283" s="42" t="s">
        <v>6</v>
      </c>
      <c r="C283" s="46">
        <v>7817.3068499999999</v>
      </c>
      <c r="D283" s="46">
        <v>0</v>
      </c>
      <c r="E283" s="46">
        <v>0</v>
      </c>
      <c r="F283" s="46">
        <v>0</v>
      </c>
      <c r="G283" s="46">
        <v>0</v>
      </c>
      <c r="H283" s="46">
        <v>0</v>
      </c>
      <c r="I283" s="46">
        <v>1411.3266299999998</v>
      </c>
      <c r="J283" s="46">
        <v>103.10802</v>
      </c>
      <c r="K283" s="47">
        <v>9331.7415000000001</v>
      </c>
      <c r="L283" s="60"/>
      <c r="M283" s="49">
        <v>5281.6388099999995</v>
      </c>
      <c r="N283" s="49">
        <v>5465.0824199999997</v>
      </c>
      <c r="O283" s="49">
        <v>1992.8477499999999</v>
      </c>
      <c r="P283" s="49">
        <v>6095.8108599999996</v>
      </c>
      <c r="Q283" s="49">
        <v>2993.4477700000002</v>
      </c>
      <c r="R283" s="49">
        <v>1085.34761</v>
      </c>
      <c r="S283" s="49">
        <v>612.79390000000001</v>
      </c>
      <c r="T283" s="56">
        <v>23526.969120000002</v>
      </c>
      <c r="U283" s="49"/>
      <c r="V283" s="55">
        <v>0</v>
      </c>
      <c r="W283" s="61"/>
      <c r="X283" s="44">
        <v>32858.710619999998</v>
      </c>
      <c r="Y283" s="62">
        <v>23526.969120000002</v>
      </c>
      <c r="Z283" s="62">
        <v>9331.7415000000001</v>
      </c>
    </row>
    <row r="284" spans="1:26" ht="12" customHeight="1" x14ac:dyDescent="0.25">
      <c r="A284" s="42">
        <v>2025</v>
      </c>
      <c r="B284" s="42" t="s">
        <v>7</v>
      </c>
      <c r="C284" s="46">
        <v>8140.6637000000001</v>
      </c>
      <c r="D284" s="46">
        <v>0</v>
      </c>
      <c r="E284" s="46">
        <v>0</v>
      </c>
      <c r="F284" s="46">
        <v>0</v>
      </c>
      <c r="G284" s="46">
        <v>0</v>
      </c>
      <c r="H284" s="46">
        <v>0</v>
      </c>
      <c r="I284" s="46">
        <v>756.35961999999995</v>
      </c>
      <c r="J284" s="46">
        <v>272.58769999999998</v>
      </c>
      <c r="K284" s="47">
        <v>9169.6110200000003</v>
      </c>
      <c r="L284" s="60"/>
      <c r="M284" s="49">
        <v>4018.4653400000002</v>
      </c>
      <c r="N284" s="49">
        <v>3202.7632999999996</v>
      </c>
      <c r="O284" s="49">
        <v>2224.0146400000003</v>
      </c>
      <c r="P284" s="49">
        <v>4944.2726099999991</v>
      </c>
      <c r="Q284" s="49">
        <v>3050.2951200000002</v>
      </c>
      <c r="R284" s="49">
        <v>1069.0113799999999</v>
      </c>
      <c r="S284" s="49">
        <v>3071.3427200000001</v>
      </c>
      <c r="T284" s="56">
        <v>21580.165109999998</v>
      </c>
      <c r="U284" s="49"/>
      <c r="V284" s="55">
        <v>0</v>
      </c>
      <c r="W284" s="61"/>
      <c r="X284" s="44">
        <v>30749.776129999998</v>
      </c>
      <c r="Y284" s="62">
        <v>21580.165109999998</v>
      </c>
      <c r="Z284" s="62">
        <v>9169.6110200000003</v>
      </c>
    </row>
    <row r="285" spans="1:26" ht="12" customHeight="1" x14ac:dyDescent="0.25">
      <c r="A285" s="42">
        <v>2025</v>
      </c>
      <c r="B285" s="42" t="s">
        <v>8</v>
      </c>
      <c r="C285" s="46">
        <v>7890.1388199999992</v>
      </c>
      <c r="D285" s="46">
        <v>0</v>
      </c>
      <c r="E285" s="46">
        <v>0</v>
      </c>
      <c r="F285" s="46">
        <v>0</v>
      </c>
      <c r="G285" s="46">
        <v>0</v>
      </c>
      <c r="H285" s="46">
        <v>0</v>
      </c>
      <c r="I285" s="46">
        <v>143.38491999999999</v>
      </c>
      <c r="J285" s="46">
        <v>600.3788400000002</v>
      </c>
      <c r="K285" s="47">
        <v>8633.9025799999999</v>
      </c>
      <c r="L285" s="60"/>
      <c r="M285" s="49">
        <v>3947.82458</v>
      </c>
      <c r="N285" s="49">
        <v>941.75367999999992</v>
      </c>
      <c r="O285" s="49">
        <v>4100.3079600000001</v>
      </c>
      <c r="P285" s="49">
        <v>2241.5590700000002</v>
      </c>
      <c r="Q285" s="49">
        <v>2170.7290400000002</v>
      </c>
      <c r="R285" s="49">
        <v>993.28733</v>
      </c>
      <c r="S285" s="49">
        <v>4558.0453599999992</v>
      </c>
      <c r="T285" s="56">
        <v>18953.507019999997</v>
      </c>
      <c r="U285" s="49"/>
      <c r="V285" s="55">
        <v>0</v>
      </c>
      <c r="W285" s="61"/>
      <c r="X285" s="44">
        <v>27587.409599999999</v>
      </c>
      <c r="Y285" s="62">
        <v>18953.507019999997</v>
      </c>
      <c r="Z285" s="62">
        <v>8633.9025799999999</v>
      </c>
    </row>
    <row r="286" spans="1:26" ht="12" customHeight="1" x14ac:dyDescent="0.25">
      <c r="A286" s="42">
        <v>2025</v>
      </c>
      <c r="B286" s="42" t="s">
        <v>9</v>
      </c>
      <c r="C286" s="46">
        <v>9329.601560000001</v>
      </c>
      <c r="D286" s="46">
        <v>0</v>
      </c>
      <c r="E286" s="46">
        <v>0</v>
      </c>
      <c r="F286" s="46">
        <v>0</v>
      </c>
      <c r="G286" s="46">
        <v>0</v>
      </c>
      <c r="H286" s="46">
        <v>0</v>
      </c>
      <c r="I286" s="46">
        <v>520.75828000000001</v>
      </c>
      <c r="J286" s="46">
        <v>1594.8113700000004</v>
      </c>
      <c r="K286" s="47">
        <v>11445.17121</v>
      </c>
      <c r="L286" s="60"/>
      <c r="M286" s="49">
        <v>2945.3068900000003</v>
      </c>
      <c r="N286" s="49">
        <v>4412.9371099999998</v>
      </c>
      <c r="O286" s="49">
        <v>2900.1857600000003</v>
      </c>
      <c r="P286" s="49">
        <v>6235.8270300000004</v>
      </c>
      <c r="Q286" s="49">
        <v>981.63459999999998</v>
      </c>
      <c r="R286" s="49">
        <v>997.99320999999998</v>
      </c>
      <c r="S286" s="49">
        <v>1028.6297400000001</v>
      </c>
      <c r="T286" s="56">
        <v>19502.514340000002</v>
      </c>
      <c r="U286" s="49"/>
      <c r="V286" s="55">
        <v>0</v>
      </c>
      <c r="W286" s="61"/>
      <c r="X286" s="44">
        <v>30947.685550000002</v>
      </c>
      <c r="Y286" s="62">
        <v>19502.514340000002</v>
      </c>
      <c r="Z286" s="62">
        <v>11445.17121</v>
      </c>
    </row>
    <row r="287" spans="1:26" ht="12" customHeight="1" x14ac:dyDescent="0.25">
      <c r="A287" s="42">
        <v>2025</v>
      </c>
      <c r="B287" s="42" t="s">
        <v>10</v>
      </c>
      <c r="C287" s="46">
        <v>9122.6955799999978</v>
      </c>
      <c r="D287" s="46">
        <v>0</v>
      </c>
      <c r="E287" s="46">
        <v>0</v>
      </c>
      <c r="F287" s="46">
        <v>0</v>
      </c>
      <c r="G287" s="46">
        <v>0</v>
      </c>
      <c r="H287" s="46">
        <v>0</v>
      </c>
      <c r="I287" s="46">
        <v>701.91727000000003</v>
      </c>
      <c r="J287" s="46">
        <v>1537.5003700000004</v>
      </c>
      <c r="K287" s="47">
        <v>11362.113219999997</v>
      </c>
      <c r="L287" s="60"/>
      <c r="M287" s="49">
        <v>1723.5194300000001</v>
      </c>
      <c r="N287" s="49">
        <v>4443.4810900000002</v>
      </c>
      <c r="O287" s="49">
        <v>2176.9062999999996</v>
      </c>
      <c r="P287" s="49">
        <v>2955.12662</v>
      </c>
      <c r="Q287" s="49">
        <v>2079.1151100000002</v>
      </c>
      <c r="R287" s="49">
        <v>1088.4462599999999</v>
      </c>
      <c r="S287" s="49">
        <v>1882.35241</v>
      </c>
      <c r="T287" s="56">
        <v>16348.94722</v>
      </c>
      <c r="U287" s="49"/>
      <c r="V287" s="55">
        <v>0</v>
      </c>
      <c r="W287" s="61"/>
      <c r="X287" s="44">
        <v>27711.060439999997</v>
      </c>
      <c r="Y287" s="62">
        <v>16348.94722</v>
      </c>
      <c r="Z287" s="62">
        <v>11362.113219999997</v>
      </c>
    </row>
    <row r="288" spans="1:26" ht="12" customHeight="1" x14ac:dyDescent="0.25">
      <c r="A288" s="42">
        <v>2025</v>
      </c>
      <c r="B288" s="42" t="s">
        <v>11</v>
      </c>
      <c r="C288" s="46">
        <v>7340.06934</v>
      </c>
      <c r="D288" s="46">
        <v>0</v>
      </c>
      <c r="E288" s="46">
        <v>0</v>
      </c>
      <c r="F288" s="46">
        <v>0</v>
      </c>
      <c r="G288" s="46">
        <v>0</v>
      </c>
      <c r="H288" s="46">
        <v>0</v>
      </c>
      <c r="I288" s="46">
        <v>546.56534999999997</v>
      </c>
      <c r="J288" s="46">
        <v>1105.5804300000004</v>
      </c>
      <c r="K288" s="47">
        <v>8992.2151200000008</v>
      </c>
      <c r="L288" s="60"/>
      <c r="M288" s="49">
        <v>4068.9230899999998</v>
      </c>
      <c r="N288" s="49">
        <v>3180.5601099999999</v>
      </c>
      <c r="O288" s="49">
        <v>1407.29846</v>
      </c>
      <c r="P288" s="49">
        <v>1915.5386699999999</v>
      </c>
      <c r="Q288" s="49">
        <v>3148.1550099999999</v>
      </c>
      <c r="R288" s="49">
        <v>999.03068000000007</v>
      </c>
      <c r="S288" s="49">
        <v>3800.6362300000001</v>
      </c>
      <c r="T288" s="56">
        <v>18520.142250000001</v>
      </c>
      <c r="U288" s="49"/>
      <c r="V288" s="55">
        <v>0</v>
      </c>
      <c r="W288" s="61"/>
      <c r="X288" s="44">
        <v>27512.357370000002</v>
      </c>
      <c r="Y288" s="62">
        <v>18520.142250000001</v>
      </c>
      <c r="Z288" s="62">
        <v>8992.2151200000008</v>
      </c>
    </row>
    <row r="289" spans="1:26" ht="12" customHeight="1" x14ac:dyDescent="0.25">
      <c r="A289" s="42">
        <v>2025</v>
      </c>
      <c r="B289" s="42" t="s">
        <v>12</v>
      </c>
      <c r="C289" s="46">
        <v>10056.749980000001</v>
      </c>
      <c r="D289" s="46">
        <v>0</v>
      </c>
      <c r="E289" s="46">
        <v>0</v>
      </c>
      <c r="F289" s="46">
        <v>0</v>
      </c>
      <c r="G289" s="46">
        <v>0</v>
      </c>
      <c r="H289" s="46">
        <v>0</v>
      </c>
      <c r="I289" s="46">
        <v>1.7162500000000001</v>
      </c>
      <c r="J289" s="46">
        <v>306.75893999999937</v>
      </c>
      <c r="K289" s="47">
        <v>10365.22517</v>
      </c>
      <c r="L289" s="60"/>
      <c r="M289" s="49">
        <v>4693.746689999999</v>
      </c>
      <c r="N289" s="49">
        <v>6191.861460000001</v>
      </c>
      <c r="O289" s="49">
        <v>3145.4105600000003</v>
      </c>
      <c r="P289" s="49">
        <v>4110.0492800000002</v>
      </c>
      <c r="Q289" s="49">
        <v>1252.43337</v>
      </c>
      <c r="R289" s="49">
        <v>1038.26586</v>
      </c>
      <c r="S289" s="49">
        <v>4108.5845999999992</v>
      </c>
      <c r="T289" s="56">
        <v>24540.351819999996</v>
      </c>
      <c r="U289" s="49"/>
      <c r="V289" s="55">
        <v>0</v>
      </c>
      <c r="W289" s="61"/>
      <c r="X289" s="44">
        <v>34905.576989999994</v>
      </c>
      <c r="Y289" s="62">
        <v>24540.351819999996</v>
      </c>
      <c r="Z289" s="62">
        <v>10365.22517</v>
      </c>
    </row>
    <row r="290" spans="1:26" ht="12" customHeight="1" x14ac:dyDescent="0.25">
      <c r="A290" s="42">
        <v>2025</v>
      </c>
      <c r="B290" s="42" t="s">
        <v>13</v>
      </c>
      <c r="C290" s="46">
        <v>9671.0261100000007</v>
      </c>
      <c r="D290" s="46">
        <v>0</v>
      </c>
      <c r="E290" s="46">
        <v>0</v>
      </c>
      <c r="F290" s="46">
        <v>0</v>
      </c>
      <c r="G290" s="46">
        <v>0</v>
      </c>
      <c r="H290" s="46">
        <v>0</v>
      </c>
      <c r="I290" s="46">
        <v>265.83138000000002</v>
      </c>
      <c r="J290" s="46">
        <v>1041.0543800000007</v>
      </c>
      <c r="K290" s="47">
        <v>10977.911870000002</v>
      </c>
      <c r="L290" s="60"/>
      <c r="M290" s="49">
        <v>2671.5222999999996</v>
      </c>
      <c r="N290" s="49">
        <v>4232.9867200000008</v>
      </c>
      <c r="O290" s="49">
        <v>4491.3944199999996</v>
      </c>
      <c r="P290" s="49">
        <v>926.50343999999996</v>
      </c>
      <c r="Q290" s="49">
        <v>2622.9744900000001</v>
      </c>
      <c r="R290" s="49">
        <v>974.78448000000003</v>
      </c>
      <c r="S290" s="49">
        <v>3111.2002800000005</v>
      </c>
      <c r="T290" s="56">
        <v>19031.366130000002</v>
      </c>
      <c r="U290" s="49"/>
      <c r="V290" s="55">
        <v>0</v>
      </c>
      <c r="W290" s="61"/>
      <c r="X290" s="44">
        <v>30009.278000000006</v>
      </c>
      <c r="Y290" s="62">
        <v>19031.366130000002</v>
      </c>
      <c r="Z290" s="62">
        <v>10977.911870000002</v>
      </c>
    </row>
    <row r="291" spans="1:26" ht="12" customHeight="1" x14ac:dyDescent="0.25">
      <c r="A291" s="42">
        <v>2025</v>
      </c>
      <c r="B291" s="42" t="s">
        <v>14</v>
      </c>
      <c r="C291" s="46">
        <v>8993.8577699999987</v>
      </c>
      <c r="D291" s="46">
        <v>0</v>
      </c>
      <c r="E291" s="46">
        <v>0</v>
      </c>
      <c r="F291" s="46">
        <v>0</v>
      </c>
      <c r="G291" s="46">
        <v>0</v>
      </c>
      <c r="H291" s="46">
        <v>0</v>
      </c>
      <c r="I291" s="46">
        <v>491.94903000000005</v>
      </c>
      <c r="J291" s="46">
        <v>2177.6590199999955</v>
      </c>
      <c r="K291" s="47">
        <v>11663.465819999994</v>
      </c>
      <c r="L291" s="60"/>
      <c r="M291" s="49">
        <v>3982.8635800000002</v>
      </c>
      <c r="N291" s="49">
        <v>5511.2485900000001</v>
      </c>
      <c r="O291" s="49">
        <v>1048.3422700000001</v>
      </c>
      <c r="P291" s="49">
        <v>2288.06342</v>
      </c>
      <c r="Q291" s="49">
        <v>2351.2180700000004</v>
      </c>
      <c r="R291" s="49">
        <v>1128.8672099999999</v>
      </c>
      <c r="S291" s="49">
        <v>3240.5159299999996</v>
      </c>
      <c r="T291" s="56">
        <v>19551.119070000001</v>
      </c>
      <c r="U291" s="49"/>
      <c r="V291" s="55">
        <v>0</v>
      </c>
      <c r="W291" s="61"/>
      <c r="X291" s="44">
        <v>31214.584889999995</v>
      </c>
      <c r="Y291" s="62">
        <v>19551.119070000001</v>
      </c>
      <c r="Z291" s="62">
        <v>11663.465819999994</v>
      </c>
    </row>
    <row r="292" spans="1:26" ht="12" customHeight="1" x14ac:dyDescent="0.25">
      <c r="A292" s="42">
        <v>2025</v>
      </c>
      <c r="B292" s="42" t="s">
        <v>15</v>
      </c>
      <c r="C292" s="46">
        <v>107178.78651999999</v>
      </c>
      <c r="D292" s="46">
        <v>0</v>
      </c>
      <c r="E292" s="46">
        <v>0</v>
      </c>
      <c r="F292" s="46">
        <v>0</v>
      </c>
      <c r="G292" s="46">
        <v>0</v>
      </c>
      <c r="H292" s="46">
        <v>0</v>
      </c>
      <c r="I292" s="46">
        <v>6369.2094099999995</v>
      </c>
      <c r="J292" s="46">
        <v>10055.274259999995</v>
      </c>
      <c r="K292" s="47">
        <v>123603.27019</v>
      </c>
      <c r="L292" s="60"/>
      <c r="M292" s="49">
        <v>42234.884989999991</v>
      </c>
      <c r="N292" s="49">
        <v>54887.952769999996</v>
      </c>
      <c r="O292" s="49">
        <v>34528.264000000003</v>
      </c>
      <c r="P292" s="49">
        <v>41843.162189999995</v>
      </c>
      <c r="Q292" s="49">
        <v>27144.194059999998</v>
      </c>
      <c r="R292" s="49">
        <v>12436.95264</v>
      </c>
      <c r="S292" s="49">
        <v>35042.660550000001</v>
      </c>
      <c r="T292" s="56">
        <v>248118.07120000001</v>
      </c>
      <c r="U292" s="49"/>
      <c r="V292" s="55">
        <v>0</v>
      </c>
      <c r="W292" s="61"/>
      <c r="X292" s="44">
        <v>371721.34139000002</v>
      </c>
      <c r="Y292" s="62">
        <v>248118.07120000001</v>
      </c>
      <c r="Z292" s="62">
        <v>123603.27019</v>
      </c>
    </row>
    <row r="293" spans="1:26" ht="12" customHeight="1" x14ac:dyDescent="0.25">
      <c r="A293" s="51">
        <v>2026</v>
      </c>
      <c r="B293" s="48" t="s">
        <v>3</v>
      </c>
      <c r="C293" s="46">
        <v>10092.385219999998</v>
      </c>
      <c r="D293" s="46">
        <v>0</v>
      </c>
      <c r="E293" s="46">
        <v>0</v>
      </c>
      <c r="F293" s="46">
        <v>0</v>
      </c>
      <c r="G293" s="46">
        <v>0</v>
      </c>
      <c r="H293" s="46">
        <v>0</v>
      </c>
      <c r="I293" s="46">
        <v>308.79505000000006</v>
      </c>
      <c r="J293" s="46">
        <v>2448.0125899999998</v>
      </c>
      <c r="K293" s="49">
        <v>12849.192859999999</v>
      </c>
      <c r="L293" s="60"/>
      <c r="M293" s="49">
        <v>4270.8887999999997</v>
      </c>
      <c r="N293" s="49">
        <v>3229.1617000000001</v>
      </c>
      <c r="O293" s="49">
        <v>2977.8962900000001</v>
      </c>
      <c r="P293" s="49">
        <v>4994.5948600000002</v>
      </c>
      <c r="Q293" s="49">
        <v>1888.5225600000001</v>
      </c>
      <c r="R293" s="49">
        <v>1090.5375300000001</v>
      </c>
      <c r="S293" s="49">
        <v>3016.8328499999998</v>
      </c>
      <c r="T293" s="49">
        <v>21468.434590000001</v>
      </c>
      <c r="U293" s="49"/>
      <c r="V293" s="55">
        <v>0</v>
      </c>
      <c r="W293" s="61"/>
      <c r="X293" s="44">
        <v>34317.62745</v>
      </c>
      <c r="Y293" s="62">
        <v>21468.434590000001</v>
      </c>
      <c r="Z293" s="62">
        <v>12849.192859999999</v>
      </c>
    </row>
    <row r="294" spans="1:26" ht="12" customHeight="1" x14ac:dyDescent="0.25">
      <c r="A294" s="51">
        <v>2026</v>
      </c>
      <c r="B294" s="48" t="s">
        <v>4</v>
      </c>
      <c r="C294" s="46">
        <v>9150.5642599999992</v>
      </c>
      <c r="D294" s="46">
        <v>0</v>
      </c>
      <c r="E294" s="46">
        <v>0</v>
      </c>
      <c r="F294" s="46">
        <v>0</v>
      </c>
      <c r="G294" s="46">
        <v>0</v>
      </c>
      <c r="H294" s="46">
        <v>0</v>
      </c>
      <c r="I294" s="46">
        <v>377.92268000000001</v>
      </c>
      <c r="J294" s="46">
        <v>202.79962000000023</v>
      </c>
      <c r="K294" s="49">
        <v>9731.2865599999986</v>
      </c>
      <c r="L294" s="60"/>
      <c r="M294" s="49">
        <v>2106.1355899999999</v>
      </c>
      <c r="N294" s="49">
        <v>5469.1431899999998</v>
      </c>
      <c r="O294" s="49">
        <v>1898.3056100000001</v>
      </c>
      <c r="P294" s="49">
        <v>5281.680409999999</v>
      </c>
      <c r="Q294" s="49">
        <v>2827.2599699999996</v>
      </c>
      <c r="R294" s="49">
        <v>855.83623999999998</v>
      </c>
      <c r="S294" s="49">
        <v>3183.6143400000005</v>
      </c>
      <c r="T294" s="49">
        <v>21621.975350000001</v>
      </c>
      <c r="U294" s="49"/>
      <c r="V294" s="55">
        <v>0</v>
      </c>
      <c r="W294" s="61"/>
      <c r="X294" s="44">
        <v>31353.261910000001</v>
      </c>
      <c r="Y294" s="62">
        <v>21621.975350000001</v>
      </c>
      <c r="Z294" s="62">
        <v>9731.2865599999986</v>
      </c>
    </row>
    <row r="295" spans="1:26" ht="12" customHeight="1" x14ac:dyDescent="0.25">
      <c r="A295" s="51">
        <v>2026</v>
      </c>
      <c r="B295" s="48" t="s">
        <v>5</v>
      </c>
      <c r="C295" s="46">
        <v>10261.843949999999</v>
      </c>
      <c r="D295" s="46">
        <v>0</v>
      </c>
      <c r="E295" s="46">
        <v>0</v>
      </c>
      <c r="F295" s="46">
        <v>0</v>
      </c>
      <c r="G295" s="46">
        <v>1.5249600000000001</v>
      </c>
      <c r="H295" s="46">
        <v>0</v>
      </c>
      <c r="I295" s="46">
        <v>30.77882</v>
      </c>
      <c r="J295" s="46">
        <v>189.447</v>
      </c>
      <c r="K295" s="49">
        <v>10483.594729999999</v>
      </c>
      <c r="L295" s="60"/>
      <c r="M295" s="49">
        <v>5276.1306199999999</v>
      </c>
      <c r="N295" s="49">
        <v>7601.6415000000006</v>
      </c>
      <c r="O295" s="49">
        <v>4827.0965299999989</v>
      </c>
      <c r="P295" s="49">
        <v>1252.3966699999999</v>
      </c>
      <c r="Q295" s="49">
        <v>2197.0416799999998</v>
      </c>
      <c r="R295" s="49">
        <v>897.79588999999999</v>
      </c>
      <c r="S295" s="49">
        <v>5019.9896799999997</v>
      </c>
      <c r="T295" s="49">
        <v>27072.092569999997</v>
      </c>
      <c r="U295" s="49"/>
      <c r="V295" s="55">
        <v>0</v>
      </c>
      <c r="W295" s="61"/>
      <c r="X295" s="44">
        <v>37555.687299999998</v>
      </c>
      <c r="Y295" s="62">
        <v>27072.092569999997</v>
      </c>
      <c r="Z295" s="62">
        <v>10483.594729999999</v>
      </c>
    </row>
    <row r="296" spans="1:26" ht="12" customHeight="1" x14ac:dyDescent="0.25">
      <c r="A296" s="51">
        <v>2026</v>
      </c>
      <c r="B296" s="48" t="s">
        <v>6</v>
      </c>
      <c r="C296" s="46">
        <v>9786.8744700000007</v>
      </c>
      <c r="D296" s="46">
        <v>0</v>
      </c>
      <c r="E296" s="46">
        <v>0</v>
      </c>
      <c r="F296" s="46">
        <v>0</v>
      </c>
      <c r="G296" s="46">
        <v>0</v>
      </c>
      <c r="H296" s="46">
        <v>0</v>
      </c>
      <c r="I296" s="46">
        <v>1033.9299799999999</v>
      </c>
      <c r="J296" s="46">
        <v>128.43491999999998</v>
      </c>
      <c r="K296" s="49">
        <v>10949.239369999999</v>
      </c>
      <c r="L296" s="60"/>
      <c r="M296" s="49">
        <v>4589.8320100000001</v>
      </c>
      <c r="N296" s="49">
        <v>4416.5509199999997</v>
      </c>
      <c r="O296" s="49">
        <v>401.33780999999999</v>
      </c>
      <c r="P296" s="49">
        <v>3182.37592</v>
      </c>
      <c r="Q296" s="49">
        <v>2192.3368599999999</v>
      </c>
      <c r="R296" s="49">
        <v>1066.9046499999999</v>
      </c>
      <c r="S296" s="49">
        <v>1869.0453399999999</v>
      </c>
      <c r="T296" s="49">
        <v>17718.38351</v>
      </c>
      <c r="U296" s="49"/>
      <c r="V296" s="55">
        <v>0</v>
      </c>
      <c r="W296" s="61"/>
      <c r="X296" s="44">
        <v>28667.622879999999</v>
      </c>
      <c r="Y296" s="62">
        <v>17718.38351</v>
      </c>
      <c r="Z296" s="62">
        <v>10949.239369999999</v>
      </c>
    </row>
    <row r="297" spans="1:26" ht="12" customHeight="1" x14ac:dyDescent="0.25">
      <c r="A297" s="51">
        <v>2026</v>
      </c>
      <c r="B297" s="48" t="s">
        <v>7</v>
      </c>
      <c r="C297" s="46">
        <v>10365.410179999999</v>
      </c>
      <c r="D297" s="46">
        <v>0</v>
      </c>
      <c r="E297" s="46">
        <v>0</v>
      </c>
      <c r="F297" s="46">
        <v>0</v>
      </c>
      <c r="G297" s="46">
        <v>0</v>
      </c>
      <c r="H297" s="46">
        <v>0</v>
      </c>
      <c r="I297" s="46">
        <v>1142.7238400000001</v>
      </c>
      <c r="J297" s="46">
        <v>172.21909000000005</v>
      </c>
      <c r="K297" s="49">
        <v>11680.35311</v>
      </c>
      <c r="L297" s="60"/>
      <c r="M297" s="49">
        <v>2493.1156800000003</v>
      </c>
      <c r="N297" s="49">
        <v>5471.6141799999996</v>
      </c>
      <c r="O297" s="49">
        <v>2585.9947000000002</v>
      </c>
      <c r="P297" s="49">
        <v>1560.4566199999999</v>
      </c>
      <c r="Q297" s="49">
        <v>2198.1156900000001</v>
      </c>
      <c r="R297" s="49">
        <v>1098.7381399999999</v>
      </c>
      <c r="S297" s="49">
        <v>4224.1940400000003</v>
      </c>
      <c r="T297" s="49">
        <v>19632.229050000002</v>
      </c>
      <c r="U297" s="49"/>
      <c r="V297" s="55">
        <v>0</v>
      </c>
      <c r="W297" s="61"/>
      <c r="X297" s="44">
        <v>31312.582160000002</v>
      </c>
      <c r="Y297" s="62">
        <v>19632.229050000002</v>
      </c>
      <c r="Z297" s="62">
        <v>11680.35311</v>
      </c>
    </row>
    <row r="298" spans="1:26" ht="12" customHeight="1" x14ac:dyDescent="0.25">
      <c r="A298" s="51">
        <v>2026</v>
      </c>
      <c r="B298" s="48" t="s">
        <v>8</v>
      </c>
      <c r="C298" s="46">
        <v>9977.8156200000012</v>
      </c>
      <c r="D298" s="46">
        <v>0</v>
      </c>
      <c r="E298" s="46">
        <v>0</v>
      </c>
      <c r="F298" s="46">
        <v>0</v>
      </c>
      <c r="G298" s="46">
        <v>0</v>
      </c>
      <c r="H298" s="46">
        <v>0</v>
      </c>
      <c r="I298" s="46">
        <v>2216.4018599999999</v>
      </c>
      <c r="J298" s="46">
        <v>517.81524000000002</v>
      </c>
      <c r="K298" s="49">
        <v>12712.032720000001</v>
      </c>
      <c r="L298" s="60"/>
      <c r="M298" s="49">
        <v>1558.88806</v>
      </c>
      <c r="N298" s="49">
        <v>3299.3052599999996</v>
      </c>
      <c r="O298" s="49">
        <v>1882.0888399999999</v>
      </c>
      <c r="P298" s="49">
        <v>2173.3646200000003</v>
      </c>
      <c r="Q298" s="49">
        <v>2132.4973600000003</v>
      </c>
      <c r="R298" s="49">
        <v>1060.14787</v>
      </c>
      <c r="S298" s="49">
        <v>1065.39645</v>
      </c>
      <c r="T298" s="49">
        <v>13171.688460000001</v>
      </c>
      <c r="U298" s="49"/>
      <c r="V298" s="55">
        <v>0</v>
      </c>
      <c r="W298" s="61"/>
      <c r="X298" s="44">
        <v>25883.72118</v>
      </c>
      <c r="Y298" s="62">
        <v>13171.688460000001</v>
      </c>
      <c r="Z298" s="62">
        <v>12712.032720000001</v>
      </c>
    </row>
    <row r="299" spans="1:26" ht="12" customHeight="1" x14ac:dyDescent="0.25">
      <c r="A299" s="51" t="s">
        <v>39</v>
      </c>
      <c r="B299" s="48" t="s">
        <v>39</v>
      </c>
      <c r="C299" s="46">
        <v>0</v>
      </c>
      <c r="D299" s="46">
        <v>0</v>
      </c>
      <c r="E299" s="46">
        <v>0</v>
      </c>
      <c r="F299" s="46">
        <v>0</v>
      </c>
      <c r="G299" s="46">
        <v>0</v>
      </c>
      <c r="H299" s="46">
        <v>0</v>
      </c>
      <c r="I299" s="46">
        <v>0</v>
      </c>
      <c r="J299" s="46">
        <v>0</v>
      </c>
      <c r="K299" s="49">
        <v>0</v>
      </c>
      <c r="L299" s="60"/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/>
      <c r="V299" s="55">
        <v>0</v>
      </c>
      <c r="W299" s="61"/>
      <c r="X299" s="44">
        <v>0</v>
      </c>
      <c r="Y299" s="62">
        <v>0</v>
      </c>
      <c r="Z299" s="62">
        <v>0</v>
      </c>
    </row>
    <row r="300" spans="1:26" ht="12" customHeight="1" x14ac:dyDescent="0.25">
      <c r="A300" s="51" t="s">
        <v>39</v>
      </c>
      <c r="B300" s="48" t="s">
        <v>39</v>
      </c>
      <c r="C300" s="46">
        <v>0</v>
      </c>
      <c r="D300" s="46">
        <v>0</v>
      </c>
      <c r="E300" s="46">
        <v>0</v>
      </c>
      <c r="F300" s="46">
        <v>0</v>
      </c>
      <c r="G300" s="46">
        <v>0</v>
      </c>
      <c r="H300" s="46">
        <v>0</v>
      </c>
      <c r="I300" s="46">
        <v>0</v>
      </c>
      <c r="J300" s="46">
        <v>0</v>
      </c>
      <c r="K300" s="49">
        <v>0</v>
      </c>
      <c r="L300" s="60"/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/>
      <c r="V300" s="55">
        <v>0</v>
      </c>
      <c r="W300" s="61"/>
      <c r="X300" s="44">
        <v>0</v>
      </c>
      <c r="Y300" s="62">
        <v>0</v>
      </c>
      <c r="Z300" s="62">
        <v>0</v>
      </c>
    </row>
    <row r="301" spans="1:26" ht="12" customHeight="1" x14ac:dyDescent="0.25">
      <c r="A301" s="51" t="s">
        <v>39</v>
      </c>
      <c r="B301" s="48" t="s">
        <v>39</v>
      </c>
      <c r="C301" s="46">
        <v>0</v>
      </c>
      <c r="D301" s="46">
        <v>0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  <c r="K301" s="49">
        <v>0</v>
      </c>
      <c r="L301" s="60"/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/>
      <c r="V301" s="55">
        <v>0</v>
      </c>
      <c r="W301" s="61"/>
      <c r="X301" s="44">
        <v>0</v>
      </c>
      <c r="Y301" s="62">
        <v>0</v>
      </c>
      <c r="Z301" s="62">
        <v>0</v>
      </c>
    </row>
    <row r="302" spans="1:26" ht="12" customHeight="1" x14ac:dyDescent="0.25">
      <c r="A302" s="51" t="s">
        <v>39</v>
      </c>
      <c r="B302" s="48" t="s">
        <v>39</v>
      </c>
      <c r="C302" s="46">
        <v>0</v>
      </c>
      <c r="D302" s="46">
        <v>0</v>
      </c>
      <c r="E302" s="46">
        <v>0</v>
      </c>
      <c r="F302" s="46">
        <v>0</v>
      </c>
      <c r="G302" s="46">
        <v>0</v>
      </c>
      <c r="H302" s="46">
        <v>0</v>
      </c>
      <c r="I302" s="46">
        <v>0</v>
      </c>
      <c r="J302" s="46">
        <v>0</v>
      </c>
      <c r="K302" s="49">
        <v>0</v>
      </c>
      <c r="L302" s="60"/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/>
      <c r="V302" s="55">
        <v>0</v>
      </c>
      <c r="W302" s="61"/>
      <c r="X302" s="44">
        <v>0</v>
      </c>
      <c r="Y302" s="62">
        <v>0</v>
      </c>
      <c r="Z302" s="62">
        <v>0</v>
      </c>
    </row>
    <row r="303" spans="1:26" ht="12" customHeight="1" x14ac:dyDescent="0.25">
      <c r="A303" s="51" t="s">
        <v>39</v>
      </c>
      <c r="B303" s="48" t="s">
        <v>39</v>
      </c>
      <c r="C303" s="46">
        <v>0</v>
      </c>
      <c r="D303" s="46">
        <v>0</v>
      </c>
      <c r="E303" s="46">
        <v>0</v>
      </c>
      <c r="F303" s="46">
        <v>0</v>
      </c>
      <c r="G303" s="46">
        <v>0</v>
      </c>
      <c r="H303" s="46">
        <v>0</v>
      </c>
      <c r="I303" s="46">
        <v>0</v>
      </c>
      <c r="J303" s="46">
        <v>0</v>
      </c>
      <c r="K303" s="49">
        <v>0</v>
      </c>
      <c r="L303" s="60"/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/>
      <c r="V303" s="55">
        <v>0</v>
      </c>
      <c r="W303" s="61"/>
      <c r="X303" s="44">
        <v>0</v>
      </c>
      <c r="Y303" s="62">
        <v>0</v>
      </c>
      <c r="Z303" s="62">
        <v>0</v>
      </c>
    </row>
    <row r="304" spans="1:26" ht="12" customHeight="1" x14ac:dyDescent="0.25">
      <c r="A304" s="51" t="s">
        <v>39</v>
      </c>
      <c r="B304" s="48" t="s">
        <v>39</v>
      </c>
      <c r="C304" s="46">
        <v>0</v>
      </c>
      <c r="D304" s="46">
        <v>0</v>
      </c>
      <c r="E304" s="46">
        <v>0</v>
      </c>
      <c r="F304" s="46">
        <v>0</v>
      </c>
      <c r="G304" s="46">
        <v>0</v>
      </c>
      <c r="H304" s="46">
        <v>0</v>
      </c>
      <c r="I304" s="46">
        <v>0</v>
      </c>
      <c r="J304" s="46">
        <v>0</v>
      </c>
      <c r="K304" s="49">
        <v>0</v>
      </c>
      <c r="L304" s="60"/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/>
      <c r="V304" s="55">
        <v>0</v>
      </c>
      <c r="W304" s="61"/>
      <c r="X304" s="44">
        <v>0</v>
      </c>
      <c r="Y304" s="62">
        <v>0</v>
      </c>
      <c r="Z304" s="62">
        <v>0</v>
      </c>
    </row>
    <row r="305" spans="1:26" ht="12" customHeight="1" x14ac:dyDescent="0.25">
      <c r="A305" s="51"/>
      <c r="B305" s="48"/>
      <c r="C305" s="46"/>
      <c r="D305" s="46"/>
      <c r="E305" s="46"/>
      <c r="F305" s="46"/>
      <c r="G305" s="46"/>
      <c r="H305" s="46"/>
      <c r="I305" s="46"/>
      <c r="J305" s="46"/>
      <c r="K305" s="49"/>
      <c r="L305" s="45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45"/>
      <c r="X305" s="45"/>
      <c r="Y305" s="45"/>
      <c r="Z305" s="45"/>
    </row>
    <row r="306" spans="1:26" ht="12" customHeight="1" x14ac:dyDescent="0.25">
      <c r="A306" s="42"/>
      <c r="B306" s="42"/>
      <c r="C306" s="46"/>
      <c r="D306" s="46"/>
      <c r="E306" s="46"/>
      <c r="F306" s="46"/>
      <c r="G306" s="46"/>
      <c r="H306" s="46"/>
      <c r="I306" s="46"/>
      <c r="J306" s="46"/>
      <c r="K306" s="47"/>
      <c r="L306" s="45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45"/>
      <c r="X306" s="45"/>
      <c r="Y306" s="45"/>
      <c r="Z306" s="45"/>
    </row>
    <row r="307" spans="1:26" ht="12" customHeight="1" x14ac:dyDescent="0.25">
      <c r="A307" s="42"/>
      <c r="B307" s="42"/>
      <c r="C307" s="46"/>
      <c r="D307" s="46"/>
      <c r="E307" s="46"/>
      <c r="F307" s="46"/>
      <c r="G307" s="46"/>
      <c r="H307" s="46"/>
      <c r="I307" s="46"/>
      <c r="J307" s="46"/>
      <c r="K307" s="47"/>
      <c r="L307" s="45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45"/>
      <c r="X307" s="45"/>
      <c r="Y307" s="45"/>
      <c r="Z307" s="45"/>
    </row>
    <row r="308" spans="1:26" ht="12" customHeight="1" x14ac:dyDescent="0.25">
      <c r="A308" s="42"/>
      <c r="B308" s="42"/>
      <c r="C308" s="46"/>
      <c r="D308" s="46"/>
      <c r="E308" s="46"/>
      <c r="F308" s="46"/>
      <c r="G308" s="46"/>
      <c r="H308" s="46"/>
      <c r="I308" s="46"/>
      <c r="J308" s="46"/>
      <c r="K308" s="47"/>
      <c r="L308" s="45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45"/>
      <c r="X308" s="45"/>
      <c r="Y308" s="45"/>
      <c r="Z308" s="45"/>
    </row>
    <row r="309" spans="1:26" ht="12" customHeight="1" x14ac:dyDescent="0.25">
      <c r="A309" s="42"/>
      <c r="B309" s="42"/>
      <c r="C309" s="46"/>
      <c r="D309" s="46"/>
      <c r="E309" s="46"/>
      <c r="F309" s="46"/>
      <c r="G309" s="46"/>
      <c r="H309" s="46"/>
      <c r="I309" s="46"/>
      <c r="J309" s="46"/>
      <c r="K309" s="47"/>
      <c r="L309" s="45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45"/>
      <c r="X309" s="45"/>
      <c r="Y309" s="45"/>
      <c r="Z309" s="45"/>
    </row>
    <row r="310" spans="1:26" ht="12" customHeight="1" x14ac:dyDescent="0.25">
      <c r="A310" s="42"/>
      <c r="B310" s="42"/>
      <c r="C310" s="46"/>
      <c r="D310" s="46"/>
      <c r="E310" s="46"/>
      <c r="F310" s="46"/>
      <c r="G310" s="46"/>
      <c r="H310" s="46"/>
      <c r="I310" s="46"/>
      <c r="J310" s="46"/>
      <c r="K310" s="47"/>
      <c r="L310" s="45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45"/>
      <c r="X310" s="45"/>
      <c r="Y310" s="45"/>
      <c r="Z310" s="45"/>
    </row>
    <row r="311" spans="1:26" ht="12" customHeight="1" x14ac:dyDescent="0.25">
      <c r="A311" s="42"/>
      <c r="B311" s="42"/>
      <c r="C311" s="46"/>
      <c r="D311" s="46"/>
      <c r="E311" s="46"/>
      <c r="F311" s="46"/>
      <c r="G311" s="46"/>
      <c r="H311" s="46"/>
      <c r="I311" s="46"/>
      <c r="J311" s="46"/>
      <c r="K311" s="47"/>
      <c r="L311" s="45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45"/>
      <c r="X311" s="45"/>
      <c r="Y311" s="45"/>
      <c r="Z311" s="45"/>
    </row>
    <row r="312" spans="1:26" ht="12" customHeight="1" x14ac:dyDescent="0.25">
      <c r="A312" s="42"/>
      <c r="B312" s="42"/>
      <c r="C312" s="46"/>
      <c r="D312" s="46"/>
      <c r="E312" s="46"/>
      <c r="F312" s="46"/>
      <c r="G312" s="46"/>
      <c r="H312" s="46"/>
      <c r="I312" s="46"/>
      <c r="J312" s="46"/>
      <c r="K312" s="47"/>
      <c r="L312" s="45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45"/>
      <c r="X312" s="45"/>
      <c r="Y312" s="45"/>
      <c r="Z312" s="45"/>
    </row>
    <row r="313" spans="1:26" ht="12" customHeight="1" x14ac:dyDescent="0.25">
      <c r="A313" s="42"/>
      <c r="B313" s="42"/>
      <c r="C313" s="46"/>
      <c r="D313" s="46"/>
      <c r="E313" s="46"/>
      <c r="F313" s="46"/>
      <c r="G313" s="46"/>
      <c r="H313" s="46"/>
      <c r="I313" s="46"/>
      <c r="J313" s="46"/>
      <c r="K313" s="47"/>
      <c r="L313" s="45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45"/>
      <c r="X313" s="45"/>
      <c r="Y313" s="45"/>
      <c r="Z313" s="45"/>
    </row>
    <row r="314" spans="1:26" ht="12" customHeight="1" x14ac:dyDescent="0.25">
      <c r="A314" s="42"/>
      <c r="B314" s="42"/>
      <c r="C314" s="46"/>
      <c r="D314" s="46"/>
      <c r="E314" s="46"/>
      <c r="F314" s="46"/>
      <c r="G314" s="46"/>
      <c r="H314" s="46"/>
      <c r="I314" s="46"/>
      <c r="J314" s="46"/>
      <c r="K314" s="47"/>
      <c r="L314" s="45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45"/>
      <c r="X314" s="45"/>
      <c r="Y314" s="45"/>
      <c r="Z314" s="45"/>
    </row>
    <row r="315" spans="1:26" ht="12" customHeight="1" x14ac:dyDescent="0.25">
      <c r="A315" s="42"/>
      <c r="B315" s="42"/>
      <c r="C315" s="46"/>
      <c r="D315" s="46"/>
      <c r="E315" s="46"/>
      <c r="F315" s="46"/>
      <c r="G315" s="46"/>
      <c r="H315" s="46"/>
      <c r="I315" s="46"/>
      <c r="J315" s="46"/>
      <c r="K315" s="47"/>
      <c r="L315" s="45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45"/>
      <c r="X315" s="45"/>
      <c r="Y315" s="45"/>
      <c r="Z315" s="45"/>
    </row>
    <row r="316" spans="1:26" ht="12" customHeight="1" x14ac:dyDescent="0.25">
      <c r="A316" s="42"/>
      <c r="B316" s="42"/>
      <c r="C316" s="46"/>
      <c r="D316" s="46"/>
      <c r="E316" s="46"/>
      <c r="F316" s="46"/>
      <c r="G316" s="46"/>
      <c r="H316" s="46"/>
      <c r="I316" s="46"/>
      <c r="J316" s="46"/>
      <c r="K316" s="47"/>
      <c r="L316" s="45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45"/>
      <c r="X316" s="45"/>
      <c r="Y316" s="45"/>
      <c r="Z316" s="45"/>
    </row>
    <row r="317" spans="1:26" ht="12" customHeight="1" x14ac:dyDescent="0.25">
      <c r="A317" s="42"/>
      <c r="B317" s="42"/>
      <c r="C317" s="46"/>
      <c r="D317" s="46"/>
      <c r="E317" s="46"/>
      <c r="F317" s="46"/>
      <c r="G317" s="46"/>
      <c r="H317" s="46"/>
      <c r="I317" s="46"/>
      <c r="J317" s="46"/>
      <c r="K317" s="47"/>
      <c r="L317" s="45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45"/>
      <c r="X317" s="45"/>
      <c r="Y317" s="45"/>
      <c r="Z317" s="45"/>
    </row>
    <row r="318" spans="1:26" ht="12" customHeight="1" x14ac:dyDescent="0.25">
      <c r="A318" s="42"/>
      <c r="B318" s="42"/>
      <c r="C318" s="46"/>
      <c r="D318" s="46"/>
      <c r="E318" s="46"/>
      <c r="F318" s="46"/>
      <c r="G318" s="46"/>
      <c r="H318" s="46"/>
      <c r="I318" s="46"/>
      <c r="J318" s="46"/>
      <c r="K318" s="47"/>
      <c r="L318" s="45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45"/>
      <c r="X318" s="45"/>
      <c r="Y318" s="45"/>
      <c r="Z318" s="45"/>
    </row>
    <row r="319" spans="1:26" ht="12" customHeight="1" x14ac:dyDescent="0.25">
      <c r="A319" s="42"/>
      <c r="B319" s="42"/>
      <c r="C319" s="46"/>
      <c r="D319" s="46"/>
      <c r="E319" s="46"/>
      <c r="F319" s="46"/>
      <c r="G319" s="46"/>
      <c r="H319" s="46"/>
      <c r="I319" s="46"/>
      <c r="J319" s="46"/>
      <c r="K319" s="47"/>
      <c r="L319" s="45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45"/>
      <c r="X319" s="45"/>
      <c r="Y319" s="45"/>
      <c r="Z319" s="45"/>
    </row>
    <row r="320" spans="1:26" ht="12" customHeight="1" x14ac:dyDescent="0.25">
      <c r="A320" s="42"/>
      <c r="B320" s="42"/>
      <c r="C320" s="46"/>
      <c r="D320" s="46"/>
      <c r="E320" s="46"/>
      <c r="F320" s="46"/>
      <c r="G320" s="46"/>
      <c r="H320" s="46"/>
      <c r="I320" s="46"/>
      <c r="J320" s="46"/>
      <c r="K320" s="47"/>
      <c r="L320" s="45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45"/>
      <c r="X320" s="45"/>
      <c r="Y320" s="45"/>
      <c r="Z320" s="45"/>
    </row>
    <row r="321" spans="1:26" ht="12" customHeight="1" x14ac:dyDescent="0.25">
      <c r="A321" s="42"/>
      <c r="B321" s="42"/>
      <c r="C321" s="46"/>
      <c r="D321" s="46"/>
      <c r="E321" s="46"/>
      <c r="F321" s="46"/>
      <c r="G321" s="46"/>
      <c r="H321" s="46"/>
      <c r="I321" s="46"/>
      <c r="J321" s="46"/>
      <c r="K321" s="47"/>
      <c r="L321" s="45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45"/>
      <c r="X321" s="45"/>
      <c r="Y321" s="45"/>
      <c r="Z321" s="45"/>
    </row>
    <row r="322" spans="1:26" ht="12" customHeight="1" x14ac:dyDescent="0.25">
      <c r="A322" s="42"/>
      <c r="B322" s="42"/>
      <c r="C322" s="46"/>
      <c r="D322" s="46"/>
      <c r="E322" s="46"/>
      <c r="F322" s="46"/>
      <c r="G322" s="46"/>
      <c r="H322" s="46"/>
      <c r="I322" s="46"/>
      <c r="J322" s="46"/>
      <c r="K322" s="47"/>
      <c r="L322" s="45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45"/>
      <c r="X322" s="45"/>
      <c r="Y322" s="45"/>
      <c r="Z322" s="45"/>
    </row>
    <row r="323" spans="1:26" ht="12" customHeight="1" x14ac:dyDescent="0.25">
      <c r="A323" s="42"/>
      <c r="B323" s="42"/>
      <c r="C323" s="46"/>
      <c r="D323" s="46"/>
      <c r="E323" s="46"/>
      <c r="F323" s="46"/>
      <c r="G323" s="46"/>
      <c r="H323" s="46"/>
      <c r="I323" s="46"/>
      <c r="J323" s="46"/>
      <c r="K323" s="47"/>
      <c r="L323" s="45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45"/>
      <c r="X323" s="45"/>
      <c r="Y323" s="45"/>
      <c r="Z323" s="45"/>
    </row>
    <row r="324" spans="1:26" ht="12" customHeight="1" x14ac:dyDescent="0.25">
      <c r="A324" s="42"/>
      <c r="B324" s="42"/>
      <c r="C324" s="46"/>
      <c r="D324" s="46"/>
      <c r="E324" s="46"/>
      <c r="F324" s="46"/>
      <c r="G324" s="46"/>
      <c r="H324" s="46"/>
      <c r="I324" s="46"/>
      <c r="J324" s="46"/>
      <c r="K324" s="47"/>
      <c r="L324" s="45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45"/>
      <c r="X324" s="45"/>
      <c r="Y324" s="45"/>
      <c r="Z324" s="45"/>
    </row>
    <row r="325" spans="1:26" ht="12" customHeight="1" x14ac:dyDescent="0.25">
      <c r="A325" s="42"/>
      <c r="B325" s="42"/>
      <c r="C325" s="46"/>
      <c r="D325" s="46"/>
      <c r="E325" s="46"/>
      <c r="F325" s="46"/>
      <c r="G325" s="46"/>
      <c r="H325" s="46"/>
      <c r="I325" s="46"/>
      <c r="J325" s="46"/>
      <c r="K325" s="47"/>
      <c r="L325" s="45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45"/>
      <c r="X325" s="45"/>
      <c r="Y325" s="45"/>
      <c r="Z325" s="45"/>
    </row>
    <row r="326" spans="1:26" ht="12" customHeight="1" x14ac:dyDescent="0.25">
      <c r="A326" s="42"/>
      <c r="B326" s="42"/>
      <c r="C326" s="46"/>
      <c r="D326" s="46"/>
      <c r="E326" s="46"/>
      <c r="F326" s="46"/>
      <c r="G326" s="46"/>
      <c r="H326" s="46"/>
      <c r="I326" s="46"/>
      <c r="J326" s="46"/>
      <c r="K326" s="47"/>
      <c r="L326" s="45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45"/>
      <c r="X326" s="45"/>
      <c r="Y326" s="45"/>
      <c r="Z326" s="45"/>
    </row>
    <row r="327" spans="1:26" ht="12" customHeight="1" x14ac:dyDescent="0.25">
      <c r="A327" s="42"/>
      <c r="B327" s="42"/>
      <c r="C327" s="46"/>
      <c r="D327" s="46"/>
      <c r="E327" s="46"/>
      <c r="F327" s="46"/>
      <c r="G327" s="46"/>
      <c r="H327" s="46"/>
      <c r="I327" s="46"/>
      <c r="J327" s="46"/>
      <c r="K327" s="47"/>
      <c r="L327" s="45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45"/>
      <c r="X327" s="45"/>
      <c r="Y327" s="45"/>
      <c r="Z327" s="45"/>
    </row>
    <row r="328" spans="1:26" ht="12" customHeight="1" x14ac:dyDescent="0.25">
      <c r="A328" s="42"/>
      <c r="B328" s="42"/>
      <c r="C328" s="46"/>
      <c r="D328" s="46"/>
      <c r="E328" s="46"/>
      <c r="F328" s="46"/>
      <c r="G328" s="46"/>
      <c r="H328" s="46"/>
      <c r="I328" s="46"/>
      <c r="J328" s="46"/>
      <c r="K328" s="47"/>
      <c r="L328" s="45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45"/>
      <c r="X328" s="45"/>
      <c r="Y328" s="45"/>
      <c r="Z328" s="45"/>
    </row>
    <row r="329" spans="1:26" ht="12" customHeight="1" x14ac:dyDescent="0.25">
      <c r="A329" s="42"/>
      <c r="B329" s="42"/>
      <c r="C329" s="46"/>
      <c r="D329" s="46"/>
      <c r="E329" s="46"/>
      <c r="F329" s="46"/>
      <c r="G329" s="46"/>
      <c r="H329" s="46"/>
      <c r="I329" s="46"/>
      <c r="J329" s="46"/>
      <c r="K329" s="47"/>
      <c r="L329" s="45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45"/>
      <c r="X329" s="45"/>
      <c r="Y329" s="45"/>
      <c r="Z329" s="45"/>
    </row>
    <row r="330" spans="1:26" ht="12" customHeight="1" x14ac:dyDescent="0.25">
      <c r="A330" s="42"/>
      <c r="B330" s="42"/>
      <c r="C330" s="46"/>
      <c r="D330" s="46"/>
      <c r="E330" s="46"/>
      <c r="F330" s="46"/>
      <c r="G330" s="46"/>
      <c r="H330" s="46"/>
      <c r="I330" s="46"/>
      <c r="J330" s="46"/>
      <c r="K330" s="47"/>
      <c r="L330" s="45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45"/>
      <c r="X330" s="45"/>
      <c r="Y330" s="45"/>
      <c r="Z330" s="45"/>
    </row>
    <row r="331" spans="1:26" ht="12" customHeight="1" x14ac:dyDescent="0.25">
      <c r="A331" s="42"/>
      <c r="B331" s="42"/>
      <c r="C331" s="46"/>
      <c r="D331" s="46"/>
      <c r="E331" s="46"/>
      <c r="F331" s="46"/>
      <c r="G331" s="46"/>
      <c r="H331" s="46"/>
      <c r="I331" s="46"/>
      <c r="J331" s="46"/>
      <c r="K331" s="47"/>
      <c r="L331" s="45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45"/>
      <c r="X331" s="45"/>
      <c r="Y331" s="45"/>
      <c r="Z331" s="45"/>
    </row>
    <row r="332" spans="1:26" ht="12" customHeight="1" x14ac:dyDescent="0.25">
      <c r="A332" s="42"/>
      <c r="B332" s="42"/>
      <c r="C332" s="46"/>
      <c r="D332" s="46"/>
      <c r="E332" s="46"/>
      <c r="F332" s="46"/>
      <c r="G332" s="46"/>
      <c r="H332" s="46"/>
      <c r="I332" s="46"/>
      <c r="J332" s="46"/>
      <c r="K332" s="47"/>
      <c r="L332" s="45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45"/>
      <c r="X332" s="45"/>
      <c r="Y332" s="45"/>
      <c r="Z332" s="45"/>
    </row>
    <row r="333" spans="1:26" ht="12" customHeight="1" x14ac:dyDescent="0.25">
      <c r="A333" s="42"/>
      <c r="B333" s="42"/>
      <c r="C333" s="46"/>
      <c r="D333" s="46"/>
      <c r="E333" s="46"/>
      <c r="F333" s="46"/>
      <c r="G333" s="46"/>
      <c r="H333" s="46"/>
      <c r="I333" s="46"/>
      <c r="J333" s="46"/>
      <c r="K333" s="47"/>
      <c r="L333" s="45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45"/>
      <c r="X333" s="45"/>
      <c r="Y333" s="45"/>
      <c r="Z333" s="45"/>
    </row>
    <row r="334" spans="1:26" ht="12" customHeight="1" x14ac:dyDescent="0.25">
      <c r="A334" s="42"/>
      <c r="B334" s="42"/>
      <c r="C334" s="46"/>
      <c r="D334" s="46"/>
      <c r="E334" s="46"/>
      <c r="F334" s="46"/>
      <c r="G334" s="46"/>
      <c r="H334" s="46"/>
      <c r="I334" s="46"/>
      <c r="J334" s="46"/>
      <c r="K334" s="47"/>
      <c r="L334" s="45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45"/>
      <c r="X334" s="45"/>
      <c r="Y334" s="45"/>
      <c r="Z334" s="45"/>
    </row>
    <row r="335" spans="1:26" ht="12" customHeight="1" x14ac:dyDescent="0.25">
      <c r="A335" s="42"/>
      <c r="B335" s="42"/>
      <c r="C335" s="46"/>
      <c r="D335" s="46"/>
      <c r="E335" s="46"/>
      <c r="F335" s="46"/>
      <c r="G335" s="46"/>
      <c r="H335" s="46"/>
      <c r="I335" s="46"/>
      <c r="J335" s="46"/>
      <c r="K335" s="47"/>
      <c r="L335" s="45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45"/>
      <c r="X335" s="45"/>
      <c r="Y335" s="45"/>
      <c r="Z335" s="45"/>
    </row>
    <row r="336" spans="1:26" ht="12" customHeight="1" x14ac:dyDescent="0.25">
      <c r="A336" s="42"/>
      <c r="B336" s="42"/>
      <c r="C336" s="46"/>
      <c r="D336" s="46"/>
      <c r="E336" s="46"/>
      <c r="F336" s="46"/>
      <c r="G336" s="46"/>
      <c r="H336" s="46"/>
      <c r="I336" s="46"/>
      <c r="J336" s="46"/>
      <c r="K336" s="47"/>
      <c r="L336" s="45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45"/>
      <c r="X336" s="45"/>
      <c r="Y336" s="45"/>
      <c r="Z336" s="45"/>
    </row>
    <row r="337" spans="1:26" ht="12" customHeight="1" x14ac:dyDescent="0.25">
      <c r="A337" s="42"/>
      <c r="B337" s="42"/>
      <c r="C337" s="46"/>
      <c r="D337" s="46"/>
      <c r="E337" s="46"/>
      <c r="F337" s="46"/>
      <c r="G337" s="46"/>
      <c r="H337" s="46"/>
      <c r="I337" s="46"/>
      <c r="J337" s="46"/>
      <c r="K337" s="47"/>
      <c r="L337" s="45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45"/>
      <c r="X337" s="45"/>
      <c r="Y337" s="45"/>
      <c r="Z337" s="45"/>
    </row>
    <row r="338" spans="1:26" ht="12" customHeight="1" x14ac:dyDescent="0.25">
      <c r="A338" s="42"/>
      <c r="B338" s="42"/>
      <c r="C338" s="46"/>
      <c r="D338" s="46"/>
      <c r="E338" s="46"/>
      <c r="F338" s="46"/>
      <c r="G338" s="46"/>
      <c r="H338" s="46"/>
      <c r="I338" s="46"/>
      <c r="J338" s="46"/>
      <c r="K338" s="47"/>
      <c r="L338" s="45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45"/>
      <c r="X338" s="45"/>
      <c r="Y338" s="45"/>
      <c r="Z338" s="45"/>
    </row>
    <row r="339" spans="1:26" ht="12" customHeight="1" x14ac:dyDescent="0.25">
      <c r="A339" s="42"/>
      <c r="B339" s="42"/>
      <c r="C339" s="46"/>
      <c r="D339" s="46"/>
      <c r="E339" s="46"/>
      <c r="F339" s="46"/>
      <c r="G339" s="46"/>
      <c r="H339" s="46"/>
      <c r="I339" s="46"/>
      <c r="J339" s="46"/>
      <c r="K339" s="47"/>
      <c r="L339" s="45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45"/>
      <c r="X339" s="45"/>
      <c r="Y339" s="45"/>
      <c r="Z339" s="45"/>
    </row>
    <row r="340" spans="1:26" ht="12" customHeight="1" x14ac:dyDescent="0.25">
      <c r="A340" s="42"/>
      <c r="B340" s="42"/>
      <c r="C340" s="46"/>
      <c r="D340" s="46"/>
      <c r="E340" s="46"/>
      <c r="F340" s="46"/>
      <c r="G340" s="46"/>
      <c r="H340" s="46"/>
      <c r="I340" s="46"/>
      <c r="J340" s="46"/>
      <c r="K340" s="47"/>
      <c r="L340" s="45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45"/>
      <c r="X340" s="45"/>
      <c r="Y340" s="45"/>
      <c r="Z340" s="45"/>
    </row>
    <row r="341" spans="1:26" ht="12" customHeight="1" x14ac:dyDescent="0.25">
      <c r="A341" s="42"/>
      <c r="B341" s="42"/>
      <c r="C341" s="46"/>
      <c r="D341" s="46"/>
      <c r="E341" s="46"/>
      <c r="F341" s="46"/>
      <c r="G341" s="46"/>
      <c r="H341" s="46"/>
      <c r="I341" s="46"/>
      <c r="J341" s="46"/>
      <c r="K341" s="47"/>
      <c r="L341" s="45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45"/>
      <c r="X341" s="45"/>
      <c r="Y341" s="45"/>
      <c r="Z341" s="45"/>
    </row>
    <row r="342" spans="1:26" ht="12" customHeight="1" x14ac:dyDescent="0.25">
      <c r="A342" s="42"/>
      <c r="B342" s="42"/>
      <c r="C342" s="46"/>
      <c r="D342" s="46"/>
      <c r="E342" s="46"/>
      <c r="F342" s="46"/>
      <c r="G342" s="46"/>
      <c r="H342" s="46"/>
      <c r="I342" s="46"/>
      <c r="J342" s="46"/>
      <c r="K342" s="47"/>
      <c r="L342" s="45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45"/>
      <c r="X342" s="45"/>
      <c r="Y342" s="45"/>
      <c r="Z342" s="45"/>
    </row>
    <row r="343" spans="1:26" ht="12" customHeight="1" x14ac:dyDescent="0.25">
      <c r="A343" s="42"/>
      <c r="B343" s="42"/>
      <c r="C343" s="46"/>
      <c r="D343" s="46"/>
      <c r="E343" s="46"/>
      <c r="F343" s="46"/>
      <c r="G343" s="46"/>
      <c r="H343" s="46"/>
      <c r="I343" s="46"/>
      <c r="J343" s="46"/>
      <c r="K343" s="47"/>
      <c r="L343" s="45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45"/>
      <c r="X343" s="45"/>
      <c r="Y343" s="45"/>
      <c r="Z343" s="45"/>
    </row>
    <row r="344" spans="1:26" ht="12" customHeight="1" x14ac:dyDescent="0.25">
      <c r="A344" s="42"/>
      <c r="B344" s="42"/>
      <c r="C344" s="46"/>
      <c r="D344" s="46"/>
      <c r="E344" s="46"/>
      <c r="F344" s="46"/>
      <c r="G344" s="46"/>
      <c r="H344" s="46"/>
      <c r="I344" s="46"/>
      <c r="J344" s="46"/>
      <c r="K344" s="47"/>
      <c r="L344" s="45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45"/>
      <c r="X344" s="45"/>
      <c r="Y344" s="45"/>
      <c r="Z344" s="45"/>
    </row>
    <row r="345" spans="1:26" ht="12" customHeight="1" x14ac:dyDescent="0.25">
      <c r="A345" s="42"/>
      <c r="B345" s="42"/>
      <c r="C345" s="46"/>
      <c r="D345" s="46"/>
      <c r="E345" s="46"/>
      <c r="F345" s="46"/>
      <c r="G345" s="46"/>
      <c r="H345" s="46"/>
      <c r="I345" s="46"/>
      <c r="J345" s="46"/>
      <c r="K345" s="47"/>
      <c r="L345" s="45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45"/>
      <c r="X345" s="45"/>
      <c r="Y345" s="45"/>
      <c r="Z345" s="45"/>
    </row>
    <row r="346" spans="1:26" ht="12" customHeight="1" x14ac:dyDescent="0.25">
      <c r="A346" s="42"/>
      <c r="B346" s="42"/>
      <c r="C346" s="46"/>
      <c r="D346" s="46"/>
      <c r="E346" s="46"/>
      <c r="F346" s="46"/>
      <c r="G346" s="46"/>
      <c r="H346" s="46"/>
      <c r="I346" s="46"/>
      <c r="J346" s="46"/>
      <c r="K346" s="47"/>
      <c r="L346" s="45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45"/>
      <c r="X346" s="45"/>
      <c r="Y346" s="45"/>
      <c r="Z346" s="45"/>
    </row>
    <row r="347" spans="1:26" ht="12" customHeight="1" x14ac:dyDescent="0.25">
      <c r="A347" s="42"/>
      <c r="B347" s="42"/>
      <c r="C347" s="46"/>
      <c r="D347" s="46"/>
      <c r="E347" s="46"/>
      <c r="F347" s="46"/>
      <c r="G347" s="46"/>
      <c r="H347" s="46"/>
      <c r="I347" s="46"/>
      <c r="J347" s="46"/>
      <c r="K347" s="47"/>
      <c r="L347" s="45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45"/>
      <c r="X347" s="45"/>
      <c r="Y347" s="45"/>
      <c r="Z347" s="45"/>
    </row>
    <row r="348" spans="1:26" ht="12" customHeight="1" x14ac:dyDescent="0.25">
      <c r="A348" s="42"/>
      <c r="B348" s="42"/>
      <c r="C348" s="46"/>
      <c r="D348" s="46"/>
      <c r="E348" s="46"/>
      <c r="F348" s="46"/>
      <c r="G348" s="46"/>
      <c r="H348" s="46"/>
      <c r="I348" s="46"/>
      <c r="J348" s="46"/>
      <c r="K348" s="47"/>
      <c r="L348" s="45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45"/>
      <c r="X348" s="45"/>
      <c r="Y348" s="45"/>
      <c r="Z348" s="45"/>
    </row>
    <row r="349" spans="1:26" ht="12" customHeight="1" x14ac:dyDescent="0.25">
      <c r="A349" s="42"/>
      <c r="B349" s="42"/>
      <c r="C349" s="46"/>
      <c r="D349" s="46"/>
      <c r="E349" s="46"/>
      <c r="F349" s="46"/>
      <c r="G349" s="46"/>
      <c r="H349" s="46"/>
      <c r="I349" s="46"/>
      <c r="J349" s="46"/>
      <c r="K349" s="47"/>
      <c r="L349" s="45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45"/>
      <c r="X349" s="45"/>
      <c r="Y349" s="45"/>
      <c r="Z349" s="45"/>
    </row>
    <row r="350" spans="1:26" ht="12" customHeight="1" x14ac:dyDescent="0.25">
      <c r="A350" s="42"/>
      <c r="B350" s="42"/>
      <c r="C350" s="46"/>
      <c r="D350" s="46"/>
      <c r="E350" s="46"/>
      <c r="F350" s="46"/>
      <c r="G350" s="46"/>
      <c r="H350" s="46"/>
      <c r="I350" s="46"/>
      <c r="J350" s="46"/>
      <c r="K350" s="47"/>
      <c r="L350" s="45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45"/>
      <c r="X350" s="45"/>
      <c r="Y350" s="45"/>
      <c r="Z350" s="45"/>
    </row>
    <row r="351" spans="1:26" ht="12" customHeight="1" x14ac:dyDescent="0.25">
      <c r="A351" s="42"/>
      <c r="B351" s="42"/>
      <c r="C351" s="46"/>
      <c r="D351" s="46"/>
      <c r="E351" s="46"/>
      <c r="F351" s="46"/>
      <c r="G351" s="46"/>
      <c r="H351" s="46"/>
      <c r="I351" s="46"/>
      <c r="J351" s="46"/>
      <c r="K351" s="47"/>
      <c r="L351" s="45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45"/>
      <c r="X351" s="45"/>
      <c r="Y351" s="45"/>
      <c r="Z351" s="45"/>
    </row>
    <row r="352" spans="1:26" ht="12" customHeight="1" x14ac:dyDescent="0.25">
      <c r="A352" s="42"/>
      <c r="B352" s="42"/>
      <c r="C352" s="46"/>
      <c r="D352" s="46"/>
      <c r="E352" s="46"/>
      <c r="F352" s="46"/>
      <c r="G352" s="46"/>
      <c r="H352" s="46"/>
      <c r="I352" s="46"/>
      <c r="J352" s="46"/>
      <c r="K352" s="47"/>
      <c r="L352" s="45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45"/>
      <c r="X352" s="45"/>
      <c r="Y352" s="45"/>
      <c r="Z352" s="45"/>
    </row>
    <row r="353" spans="1:26" ht="12" customHeight="1" x14ac:dyDescent="0.25">
      <c r="A353" s="42"/>
      <c r="B353" s="42"/>
      <c r="C353" s="46"/>
      <c r="D353" s="46"/>
      <c r="E353" s="46"/>
      <c r="F353" s="46"/>
      <c r="G353" s="46"/>
      <c r="H353" s="46"/>
      <c r="I353" s="46"/>
      <c r="J353" s="46"/>
      <c r="K353" s="47"/>
      <c r="L353" s="45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45"/>
      <c r="X353" s="45"/>
      <c r="Y353" s="45"/>
      <c r="Z353" s="45"/>
    </row>
    <row r="354" spans="1:26" ht="12" customHeight="1" x14ac:dyDescent="0.25">
      <c r="A354" s="42"/>
      <c r="B354" s="42"/>
      <c r="C354" s="46"/>
      <c r="D354" s="46"/>
      <c r="E354" s="46"/>
      <c r="F354" s="46"/>
      <c r="G354" s="46"/>
      <c r="H354" s="46"/>
      <c r="I354" s="46"/>
      <c r="J354" s="46"/>
      <c r="K354" s="47"/>
      <c r="L354" s="45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45"/>
      <c r="X354" s="45"/>
      <c r="Y354" s="45"/>
      <c r="Z354" s="45"/>
    </row>
    <row r="355" spans="1:26" ht="12" customHeight="1" x14ac:dyDescent="0.25">
      <c r="A355" s="42"/>
      <c r="B355" s="42"/>
      <c r="C355" s="46"/>
      <c r="D355" s="46"/>
      <c r="E355" s="46"/>
      <c r="F355" s="46"/>
      <c r="G355" s="46"/>
      <c r="H355" s="46"/>
      <c r="I355" s="46"/>
      <c r="J355" s="46"/>
      <c r="K355" s="47"/>
      <c r="L355" s="45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45"/>
      <c r="X355" s="45"/>
      <c r="Y355" s="45"/>
      <c r="Z355" s="45"/>
    </row>
    <row r="356" spans="1:26" ht="12" customHeight="1" x14ac:dyDescent="0.25">
      <c r="A356" s="42"/>
      <c r="B356" s="42"/>
      <c r="C356" s="46"/>
      <c r="D356" s="46"/>
      <c r="E356" s="46"/>
      <c r="F356" s="46"/>
      <c r="G356" s="46"/>
      <c r="H356" s="46"/>
      <c r="I356" s="46"/>
      <c r="J356" s="46"/>
      <c r="K356" s="47"/>
      <c r="L356" s="45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45"/>
      <c r="X356" s="45"/>
      <c r="Y356" s="45"/>
      <c r="Z356" s="45"/>
    </row>
    <row r="357" spans="1:26" ht="12" customHeight="1" x14ac:dyDescent="0.25">
      <c r="A357" s="42"/>
      <c r="B357" s="42"/>
      <c r="C357" s="46"/>
      <c r="D357" s="46"/>
      <c r="E357" s="46"/>
      <c r="F357" s="46"/>
      <c r="G357" s="46"/>
      <c r="H357" s="46"/>
      <c r="I357" s="46"/>
      <c r="J357" s="46"/>
      <c r="K357" s="47"/>
      <c r="L357" s="45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45"/>
      <c r="X357" s="45"/>
      <c r="Y357" s="45"/>
      <c r="Z357" s="45"/>
    </row>
    <row r="358" spans="1:26" ht="12" customHeight="1" x14ac:dyDescent="0.25">
      <c r="A358" s="42"/>
      <c r="B358" s="42"/>
      <c r="C358" s="46"/>
      <c r="D358" s="46"/>
      <c r="E358" s="46"/>
      <c r="F358" s="46"/>
      <c r="G358" s="46"/>
      <c r="H358" s="46"/>
      <c r="I358" s="46"/>
      <c r="J358" s="46"/>
      <c r="K358" s="47"/>
      <c r="L358" s="45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45"/>
      <c r="X358" s="45"/>
      <c r="Y358" s="45"/>
      <c r="Z358" s="45"/>
    </row>
    <row r="359" spans="1:26" ht="12" customHeight="1" x14ac:dyDescent="0.25">
      <c r="A359" s="42"/>
      <c r="B359" s="42"/>
      <c r="C359" s="46"/>
      <c r="D359" s="46"/>
      <c r="E359" s="46"/>
      <c r="F359" s="46"/>
      <c r="G359" s="46"/>
      <c r="H359" s="46"/>
      <c r="I359" s="46"/>
      <c r="J359" s="46"/>
      <c r="K359" s="47"/>
      <c r="L359" s="45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45"/>
      <c r="X359" s="45"/>
      <c r="Y359" s="45"/>
      <c r="Z359" s="45"/>
    </row>
    <row r="360" spans="1:26" ht="12" customHeight="1" x14ac:dyDescent="0.25">
      <c r="A360" s="42"/>
      <c r="B360" s="42"/>
      <c r="C360" s="46"/>
      <c r="D360" s="46"/>
      <c r="E360" s="46"/>
      <c r="F360" s="46"/>
      <c r="G360" s="46"/>
      <c r="H360" s="46"/>
      <c r="I360" s="46"/>
      <c r="J360" s="46"/>
      <c r="K360" s="47"/>
      <c r="L360" s="45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45"/>
      <c r="X360" s="45"/>
      <c r="Y360" s="45"/>
      <c r="Z360" s="45"/>
    </row>
    <row r="361" spans="1:26" ht="12" customHeight="1" x14ac:dyDescent="0.25">
      <c r="A361" s="42"/>
      <c r="B361" s="42"/>
      <c r="C361" s="46"/>
      <c r="D361" s="46"/>
      <c r="E361" s="46"/>
      <c r="F361" s="46"/>
      <c r="G361" s="46"/>
      <c r="H361" s="46"/>
      <c r="I361" s="46"/>
      <c r="J361" s="46"/>
      <c r="K361" s="47"/>
      <c r="L361" s="45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45"/>
      <c r="X361" s="45"/>
      <c r="Y361" s="45"/>
      <c r="Z361" s="45"/>
    </row>
    <row r="362" spans="1:26" ht="12" customHeight="1" x14ac:dyDescent="0.25">
      <c r="A362" s="42"/>
      <c r="B362" s="42"/>
      <c r="C362" s="46"/>
      <c r="D362" s="46"/>
      <c r="E362" s="46"/>
      <c r="F362" s="46"/>
      <c r="G362" s="46"/>
      <c r="H362" s="46"/>
      <c r="I362" s="46"/>
      <c r="J362" s="46"/>
      <c r="K362" s="47"/>
      <c r="L362" s="45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45"/>
      <c r="X362" s="45"/>
      <c r="Y362" s="45"/>
      <c r="Z362" s="45"/>
    </row>
    <row r="363" spans="1:26" ht="12" customHeight="1" x14ac:dyDescent="0.25">
      <c r="A363" s="42"/>
      <c r="B363" s="42"/>
      <c r="C363" s="46"/>
      <c r="D363" s="46"/>
      <c r="E363" s="46"/>
      <c r="F363" s="46"/>
      <c r="G363" s="46"/>
      <c r="H363" s="46"/>
      <c r="I363" s="46"/>
      <c r="J363" s="46"/>
      <c r="K363" s="47"/>
      <c r="L363" s="45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45"/>
      <c r="X363" s="45"/>
      <c r="Y363" s="45"/>
      <c r="Z363" s="45"/>
    </row>
    <row r="364" spans="1:26" ht="12" customHeight="1" x14ac:dyDescent="0.25">
      <c r="A364" s="42"/>
      <c r="B364" s="42"/>
      <c r="C364" s="46"/>
      <c r="D364" s="46"/>
      <c r="E364" s="46"/>
      <c r="F364" s="46"/>
      <c r="G364" s="46"/>
      <c r="H364" s="46"/>
      <c r="I364" s="46"/>
      <c r="J364" s="46"/>
      <c r="K364" s="47"/>
      <c r="L364" s="45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45"/>
      <c r="X364" s="45"/>
      <c r="Y364" s="45"/>
      <c r="Z364" s="45"/>
    </row>
    <row r="365" spans="1:26" ht="12" customHeight="1" x14ac:dyDescent="0.25">
      <c r="A365" s="42"/>
      <c r="B365" s="42"/>
      <c r="C365" s="46"/>
      <c r="D365" s="46"/>
      <c r="E365" s="46"/>
      <c r="F365" s="46"/>
      <c r="G365" s="46"/>
      <c r="H365" s="46"/>
      <c r="I365" s="46"/>
      <c r="J365" s="46"/>
      <c r="K365" s="47"/>
      <c r="L365" s="45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45"/>
      <c r="X365" s="45"/>
      <c r="Y365" s="45"/>
      <c r="Z365" s="45"/>
    </row>
    <row r="366" spans="1:26" ht="12" customHeight="1" x14ac:dyDescent="0.25">
      <c r="A366" s="42"/>
      <c r="B366" s="42"/>
      <c r="C366" s="46"/>
      <c r="D366" s="46"/>
      <c r="E366" s="46"/>
      <c r="F366" s="46"/>
      <c r="G366" s="46"/>
      <c r="H366" s="46"/>
      <c r="I366" s="46"/>
      <c r="J366" s="46"/>
      <c r="K366" s="47"/>
      <c r="L366" s="45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45"/>
      <c r="X366" s="45"/>
      <c r="Y366" s="45"/>
      <c r="Z366" s="45"/>
    </row>
    <row r="367" spans="1:26" ht="12" customHeight="1" x14ac:dyDescent="0.25">
      <c r="A367" s="42"/>
      <c r="B367" s="42"/>
      <c r="C367" s="46"/>
      <c r="D367" s="46"/>
      <c r="E367" s="46"/>
      <c r="F367" s="46"/>
      <c r="G367" s="46"/>
      <c r="H367" s="46"/>
      <c r="I367" s="46"/>
      <c r="J367" s="46"/>
      <c r="K367" s="47"/>
      <c r="L367" s="45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45"/>
      <c r="X367" s="45"/>
      <c r="Y367" s="45"/>
      <c r="Z367" s="45"/>
    </row>
    <row r="368" spans="1:26" ht="12" customHeight="1" x14ac:dyDescent="0.25">
      <c r="A368" s="42"/>
      <c r="B368" s="42"/>
      <c r="C368" s="46"/>
      <c r="D368" s="46"/>
      <c r="E368" s="46"/>
      <c r="F368" s="46"/>
      <c r="G368" s="46"/>
      <c r="H368" s="46"/>
      <c r="I368" s="46"/>
      <c r="J368" s="46"/>
      <c r="K368" s="47"/>
      <c r="L368" s="45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45"/>
      <c r="X368" s="45"/>
      <c r="Y368" s="45"/>
      <c r="Z368" s="45"/>
    </row>
    <row r="369" spans="1:26" ht="12" customHeight="1" x14ac:dyDescent="0.25">
      <c r="A369" s="42"/>
      <c r="B369" s="42"/>
      <c r="C369" s="46"/>
      <c r="D369" s="46"/>
      <c r="E369" s="46"/>
      <c r="F369" s="46"/>
      <c r="G369" s="46"/>
      <c r="H369" s="46"/>
      <c r="I369" s="46"/>
      <c r="J369" s="46"/>
      <c r="K369" s="47"/>
      <c r="L369" s="45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45"/>
      <c r="X369" s="45"/>
      <c r="Y369" s="45"/>
      <c r="Z369" s="45"/>
    </row>
    <row r="370" spans="1:26" ht="12" customHeight="1" x14ac:dyDescent="0.25">
      <c r="A370" s="42"/>
      <c r="B370" s="42"/>
      <c r="C370" s="46"/>
      <c r="D370" s="46"/>
      <c r="E370" s="46"/>
      <c r="F370" s="46"/>
      <c r="G370" s="46"/>
      <c r="H370" s="46"/>
      <c r="I370" s="46"/>
      <c r="J370" s="46"/>
      <c r="K370" s="47"/>
      <c r="L370" s="45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45"/>
      <c r="X370" s="45"/>
      <c r="Y370" s="45"/>
      <c r="Z370" s="45"/>
    </row>
    <row r="371" spans="1:26" ht="12" customHeight="1" x14ac:dyDescent="0.25">
      <c r="A371" s="42"/>
      <c r="B371" s="42"/>
      <c r="C371" s="46"/>
      <c r="D371" s="46"/>
      <c r="E371" s="46"/>
      <c r="F371" s="46"/>
      <c r="G371" s="46"/>
      <c r="H371" s="46"/>
      <c r="I371" s="46"/>
      <c r="J371" s="46"/>
      <c r="K371" s="47"/>
      <c r="L371" s="45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45"/>
      <c r="X371" s="45"/>
      <c r="Y371" s="45"/>
      <c r="Z371" s="45"/>
    </row>
    <row r="372" spans="1:26" ht="12" customHeight="1" x14ac:dyDescent="0.25">
      <c r="A372" s="42"/>
      <c r="B372" s="42"/>
      <c r="C372" s="46"/>
      <c r="D372" s="46"/>
      <c r="E372" s="46"/>
      <c r="F372" s="46"/>
      <c r="G372" s="46"/>
      <c r="H372" s="46"/>
      <c r="I372" s="46"/>
      <c r="J372" s="46"/>
      <c r="K372" s="47"/>
      <c r="L372" s="45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45"/>
      <c r="X372" s="45"/>
      <c r="Y372" s="45"/>
      <c r="Z372" s="45"/>
    </row>
    <row r="373" spans="1:26" ht="12" customHeight="1" x14ac:dyDescent="0.25">
      <c r="A373" s="42"/>
      <c r="B373" s="42"/>
      <c r="C373" s="46"/>
      <c r="D373" s="46"/>
      <c r="E373" s="46"/>
      <c r="F373" s="46"/>
      <c r="G373" s="46"/>
      <c r="H373" s="46"/>
      <c r="I373" s="46"/>
      <c r="J373" s="46"/>
      <c r="K373" s="47"/>
      <c r="L373" s="45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45"/>
      <c r="X373" s="45"/>
      <c r="Y373" s="45"/>
      <c r="Z373" s="45"/>
    </row>
    <row r="374" spans="1:26" ht="12" customHeight="1" x14ac:dyDescent="0.25">
      <c r="A374" s="42"/>
      <c r="B374" s="42"/>
      <c r="C374" s="46"/>
      <c r="D374" s="46"/>
      <c r="E374" s="46"/>
      <c r="F374" s="46"/>
      <c r="G374" s="46"/>
      <c r="H374" s="46"/>
      <c r="I374" s="46"/>
      <c r="J374" s="46"/>
      <c r="K374" s="47"/>
      <c r="L374" s="45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45"/>
      <c r="X374" s="45"/>
      <c r="Y374" s="45"/>
      <c r="Z374" s="45"/>
    </row>
    <row r="375" spans="1:26" ht="12" customHeight="1" x14ac:dyDescent="0.25">
      <c r="A375" s="42"/>
      <c r="B375" s="42"/>
      <c r="C375" s="46"/>
      <c r="D375" s="46"/>
      <c r="E375" s="46"/>
      <c r="F375" s="46"/>
      <c r="G375" s="46"/>
      <c r="H375" s="46"/>
      <c r="I375" s="46"/>
      <c r="J375" s="46"/>
      <c r="K375" s="47"/>
      <c r="L375" s="45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45"/>
      <c r="X375" s="45"/>
      <c r="Y375" s="45"/>
      <c r="Z375" s="45"/>
    </row>
    <row r="376" spans="1:26" ht="12" customHeight="1" x14ac:dyDescent="0.25">
      <c r="A376" s="42"/>
      <c r="B376" s="42"/>
      <c r="C376" s="46"/>
      <c r="D376" s="46"/>
      <c r="E376" s="46"/>
      <c r="F376" s="46"/>
      <c r="G376" s="46"/>
      <c r="H376" s="46"/>
      <c r="I376" s="46"/>
      <c r="J376" s="46"/>
      <c r="K376" s="47"/>
      <c r="L376" s="45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45"/>
      <c r="X376" s="45"/>
      <c r="Y376" s="45"/>
      <c r="Z376" s="45"/>
    </row>
    <row r="377" spans="1:26" ht="12" customHeight="1" x14ac:dyDescent="0.25">
      <c r="A377" s="42"/>
      <c r="B377" s="42"/>
      <c r="C377" s="46"/>
      <c r="D377" s="46"/>
      <c r="E377" s="46"/>
      <c r="F377" s="46"/>
      <c r="G377" s="46"/>
      <c r="H377" s="46"/>
      <c r="I377" s="46"/>
      <c r="J377" s="46"/>
      <c r="K377" s="47"/>
      <c r="L377" s="45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45"/>
      <c r="X377" s="45"/>
      <c r="Y377" s="45"/>
      <c r="Z377" s="45"/>
    </row>
    <row r="378" spans="1:26" ht="12" customHeight="1" x14ac:dyDescent="0.25">
      <c r="A378" s="42"/>
      <c r="B378" s="42"/>
      <c r="C378" s="46"/>
      <c r="D378" s="46"/>
      <c r="E378" s="46"/>
      <c r="F378" s="46"/>
      <c r="G378" s="46"/>
      <c r="H378" s="46"/>
      <c r="I378" s="46"/>
      <c r="J378" s="46"/>
      <c r="K378" s="47"/>
      <c r="L378" s="45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45"/>
      <c r="X378" s="45"/>
      <c r="Y378" s="45"/>
      <c r="Z378" s="45"/>
    </row>
    <row r="379" spans="1:26" ht="12" customHeight="1" x14ac:dyDescent="0.25">
      <c r="A379" s="42"/>
      <c r="B379" s="42"/>
      <c r="C379" s="46"/>
      <c r="D379" s="46"/>
      <c r="E379" s="46"/>
      <c r="F379" s="46"/>
      <c r="G379" s="46"/>
      <c r="H379" s="46"/>
      <c r="I379" s="46"/>
      <c r="J379" s="46"/>
      <c r="K379" s="47"/>
      <c r="L379" s="45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45"/>
      <c r="X379" s="45"/>
      <c r="Y379" s="45"/>
      <c r="Z379" s="45"/>
    </row>
    <row r="380" spans="1:26" ht="12" customHeight="1" x14ac:dyDescent="0.25">
      <c r="A380" s="42"/>
      <c r="B380" s="42"/>
      <c r="C380" s="46"/>
      <c r="D380" s="46"/>
      <c r="E380" s="46"/>
      <c r="F380" s="46"/>
      <c r="G380" s="46"/>
      <c r="H380" s="46"/>
      <c r="I380" s="46"/>
      <c r="J380" s="46"/>
      <c r="K380" s="47"/>
      <c r="L380" s="45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45"/>
      <c r="X380" s="45"/>
      <c r="Y380" s="45"/>
      <c r="Z380" s="45"/>
    </row>
    <row r="381" spans="1:26" ht="12" customHeight="1" x14ac:dyDescent="0.25">
      <c r="A381" s="42"/>
      <c r="B381" s="42"/>
      <c r="C381" s="46"/>
      <c r="D381" s="46"/>
      <c r="E381" s="46"/>
      <c r="F381" s="46"/>
      <c r="G381" s="46"/>
      <c r="H381" s="46"/>
      <c r="I381" s="46"/>
      <c r="J381" s="46"/>
      <c r="K381" s="47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" customHeight="1" x14ac:dyDescent="0.25">
      <c r="A382" s="42"/>
      <c r="B382" s="42"/>
      <c r="C382" s="46"/>
      <c r="D382" s="46"/>
      <c r="E382" s="46"/>
      <c r="F382" s="46"/>
      <c r="G382" s="46"/>
      <c r="H382" s="46"/>
      <c r="I382" s="46"/>
      <c r="J382" s="46"/>
      <c r="K382" s="47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" customHeight="1" x14ac:dyDescent="0.25">
      <c r="A383" s="42"/>
      <c r="B383" s="42"/>
      <c r="C383" s="46"/>
      <c r="D383" s="46"/>
      <c r="E383" s="46"/>
      <c r="F383" s="46"/>
      <c r="G383" s="46"/>
      <c r="H383" s="46"/>
      <c r="I383" s="46"/>
      <c r="J383" s="46"/>
      <c r="K383" s="47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" customHeight="1" x14ac:dyDescent="0.25">
      <c r="A384" s="42"/>
      <c r="B384" s="42"/>
      <c r="C384" s="46"/>
      <c r="D384" s="46"/>
      <c r="E384" s="46"/>
      <c r="F384" s="46"/>
      <c r="G384" s="46"/>
      <c r="H384" s="46"/>
      <c r="I384" s="46"/>
      <c r="J384" s="46"/>
      <c r="K384" s="47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" customHeight="1" x14ac:dyDescent="0.25">
      <c r="A385" s="42"/>
      <c r="B385" s="42"/>
      <c r="C385" s="46"/>
      <c r="D385" s="46"/>
      <c r="E385" s="46"/>
      <c r="F385" s="46"/>
      <c r="G385" s="46"/>
      <c r="H385" s="46"/>
      <c r="I385" s="46"/>
      <c r="J385" s="46"/>
      <c r="K385" s="47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" customHeight="1" x14ac:dyDescent="0.25">
      <c r="A386" s="42"/>
      <c r="B386" s="42"/>
      <c r="C386" s="46"/>
      <c r="D386" s="46"/>
      <c r="E386" s="46"/>
      <c r="F386" s="46"/>
      <c r="G386" s="46"/>
      <c r="H386" s="46"/>
      <c r="I386" s="46"/>
      <c r="J386" s="46"/>
      <c r="K386" s="47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" customHeight="1" x14ac:dyDescent="0.25">
      <c r="A387" s="42"/>
      <c r="B387" s="42"/>
      <c r="C387" s="46"/>
      <c r="D387" s="46"/>
      <c r="E387" s="46"/>
      <c r="F387" s="46"/>
      <c r="G387" s="46"/>
      <c r="H387" s="46"/>
      <c r="I387" s="46"/>
      <c r="J387" s="46"/>
      <c r="K387" s="47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" customHeight="1" x14ac:dyDescent="0.25">
      <c r="A388" s="42"/>
      <c r="B388" s="42"/>
      <c r="C388" s="46"/>
      <c r="D388" s="46"/>
      <c r="E388" s="46"/>
      <c r="F388" s="46"/>
      <c r="G388" s="46"/>
      <c r="H388" s="46"/>
      <c r="I388" s="46"/>
      <c r="J388" s="46"/>
      <c r="K388" s="47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" customHeight="1" x14ac:dyDescent="0.25">
      <c r="A389" s="42"/>
      <c r="B389" s="42"/>
      <c r="C389" s="46"/>
      <c r="D389" s="46"/>
      <c r="E389" s="46"/>
      <c r="F389" s="46"/>
      <c r="G389" s="46"/>
      <c r="H389" s="46"/>
      <c r="I389" s="46"/>
      <c r="J389" s="46"/>
      <c r="K389" s="47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" customHeight="1" x14ac:dyDescent="0.25">
      <c r="A390" s="42"/>
      <c r="B390" s="42"/>
      <c r="C390" s="46"/>
      <c r="D390" s="46"/>
      <c r="E390" s="46"/>
      <c r="F390" s="46"/>
      <c r="G390" s="46"/>
      <c r="H390" s="46"/>
      <c r="I390" s="46"/>
      <c r="J390" s="46"/>
      <c r="K390" s="47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" customHeight="1" x14ac:dyDescent="0.25">
      <c r="A391" s="42"/>
      <c r="B391" s="42"/>
      <c r="C391" s="46"/>
      <c r="D391" s="46"/>
      <c r="E391" s="46"/>
      <c r="F391" s="46"/>
      <c r="G391" s="46"/>
      <c r="H391" s="46"/>
      <c r="I391" s="46"/>
      <c r="J391" s="46"/>
      <c r="K391" s="47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" customHeight="1" x14ac:dyDescent="0.25">
      <c r="A392" s="42"/>
      <c r="B392" s="42"/>
      <c r="C392" s="46"/>
      <c r="D392" s="46"/>
      <c r="E392" s="46"/>
      <c r="F392" s="46"/>
      <c r="G392" s="46"/>
      <c r="H392" s="46"/>
      <c r="I392" s="46"/>
      <c r="J392" s="46"/>
      <c r="K392" s="47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" customHeight="1" x14ac:dyDescent="0.25">
      <c r="A393" s="42"/>
      <c r="B393" s="42"/>
      <c r="C393" s="46"/>
      <c r="D393" s="46"/>
      <c r="E393" s="46"/>
      <c r="F393" s="46"/>
      <c r="G393" s="46"/>
      <c r="H393" s="46"/>
      <c r="I393" s="46"/>
      <c r="J393" s="46"/>
      <c r="K393" s="47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" customHeight="1" x14ac:dyDescent="0.25">
      <c r="A394" s="42"/>
      <c r="B394" s="42"/>
      <c r="C394" s="46"/>
      <c r="D394" s="46"/>
      <c r="E394" s="46"/>
      <c r="F394" s="46"/>
      <c r="G394" s="46"/>
      <c r="H394" s="46"/>
      <c r="I394" s="46"/>
      <c r="J394" s="46"/>
      <c r="K394" s="47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" customHeight="1" x14ac:dyDescent="0.25">
      <c r="A395" s="42"/>
      <c r="B395" s="42"/>
      <c r="C395" s="46"/>
      <c r="D395" s="46"/>
      <c r="E395" s="46"/>
      <c r="F395" s="46"/>
      <c r="G395" s="46"/>
      <c r="H395" s="46"/>
      <c r="I395" s="46"/>
      <c r="J395" s="46"/>
      <c r="K395" s="47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" customHeight="1" x14ac:dyDescent="0.25">
      <c r="A396" s="42"/>
      <c r="B396" s="42"/>
      <c r="C396" s="46"/>
      <c r="D396" s="46"/>
      <c r="E396" s="46"/>
      <c r="F396" s="46"/>
      <c r="G396" s="46"/>
      <c r="H396" s="46"/>
      <c r="I396" s="46"/>
      <c r="J396" s="46"/>
      <c r="K396" s="47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" customHeight="1" x14ac:dyDescent="0.25">
      <c r="A397" s="42"/>
      <c r="B397" s="42"/>
      <c r="C397" s="46"/>
      <c r="D397" s="46"/>
      <c r="E397" s="46"/>
      <c r="F397" s="46"/>
      <c r="G397" s="46"/>
      <c r="H397" s="46"/>
      <c r="I397" s="46"/>
      <c r="J397" s="46"/>
      <c r="K397" s="47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" customHeight="1" x14ac:dyDescent="0.25">
      <c r="A398" s="42"/>
      <c r="B398" s="42"/>
      <c r="C398" s="46"/>
      <c r="D398" s="46"/>
      <c r="E398" s="46"/>
      <c r="F398" s="46"/>
      <c r="G398" s="46"/>
      <c r="H398" s="46"/>
      <c r="I398" s="46"/>
      <c r="J398" s="46"/>
      <c r="K398" s="47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" customHeight="1" x14ac:dyDescent="0.25">
      <c r="A399" s="42"/>
      <c r="B399" s="42"/>
      <c r="C399" s="46"/>
      <c r="D399" s="46"/>
      <c r="E399" s="46"/>
      <c r="F399" s="46"/>
      <c r="G399" s="46"/>
      <c r="H399" s="46"/>
      <c r="I399" s="46"/>
      <c r="J399" s="46"/>
      <c r="K399" s="47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" customHeight="1" x14ac:dyDescent="0.25">
      <c r="A400" s="42"/>
      <c r="B400" s="42"/>
      <c r="C400" s="46"/>
      <c r="D400" s="46"/>
      <c r="E400" s="46"/>
      <c r="F400" s="46"/>
      <c r="G400" s="46"/>
      <c r="H400" s="46"/>
      <c r="I400" s="46"/>
      <c r="J400" s="46"/>
      <c r="K400" s="47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" customHeight="1" x14ac:dyDescent="0.25">
      <c r="A401" s="42"/>
      <c r="B401" s="42"/>
      <c r="C401" s="46"/>
      <c r="D401" s="46"/>
      <c r="E401" s="46"/>
      <c r="F401" s="46"/>
      <c r="G401" s="46"/>
      <c r="H401" s="46"/>
      <c r="I401" s="46"/>
      <c r="J401" s="46"/>
      <c r="K401" s="47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" customHeight="1" x14ac:dyDescent="0.25">
      <c r="A402" s="42"/>
      <c r="B402" s="42"/>
      <c r="C402" s="46"/>
      <c r="D402" s="46"/>
      <c r="E402" s="46"/>
      <c r="F402" s="46"/>
      <c r="G402" s="46"/>
      <c r="H402" s="46"/>
      <c r="I402" s="46"/>
      <c r="J402" s="46"/>
      <c r="K402" s="47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" customHeight="1" x14ac:dyDescent="0.25">
      <c r="A403" s="42"/>
      <c r="B403" s="42"/>
      <c r="C403" s="46"/>
      <c r="D403" s="46"/>
      <c r="E403" s="46"/>
      <c r="F403" s="46"/>
      <c r="G403" s="46"/>
      <c r="H403" s="46"/>
      <c r="I403" s="46"/>
      <c r="J403" s="46"/>
      <c r="K403" s="47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" customHeight="1" x14ac:dyDescent="0.25">
      <c r="A404" s="42"/>
      <c r="B404" s="42"/>
      <c r="C404" s="46"/>
      <c r="D404" s="46"/>
      <c r="E404" s="46"/>
      <c r="F404" s="46"/>
      <c r="G404" s="46"/>
      <c r="H404" s="46"/>
      <c r="I404" s="46"/>
      <c r="J404" s="46"/>
      <c r="K404" s="47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" customHeight="1" x14ac:dyDescent="0.25">
      <c r="A405" s="42"/>
      <c r="B405" s="42"/>
      <c r="C405" s="46"/>
      <c r="D405" s="46"/>
      <c r="E405" s="46"/>
      <c r="F405" s="46"/>
      <c r="G405" s="46"/>
      <c r="H405" s="46"/>
      <c r="I405" s="46"/>
      <c r="J405" s="46"/>
      <c r="K405" s="47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" customHeight="1" x14ac:dyDescent="0.25">
      <c r="A406" s="42"/>
      <c r="B406" s="42"/>
      <c r="C406" s="46"/>
      <c r="D406" s="46"/>
      <c r="E406" s="46"/>
      <c r="F406" s="46"/>
      <c r="G406" s="46"/>
      <c r="H406" s="46"/>
      <c r="I406" s="46"/>
      <c r="J406" s="46"/>
      <c r="K406" s="47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" customHeight="1" x14ac:dyDescent="0.25">
      <c r="A407" s="42"/>
      <c r="B407" s="42"/>
      <c r="C407" s="46"/>
      <c r="D407" s="46"/>
      <c r="E407" s="46"/>
      <c r="F407" s="46"/>
      <c r="G407" s="46"/>
      <c r="H407" s="46"/>
      <c r="I407" s="46"/>
      <c r="J407" s="46"/>
      <c r="K407" s="47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" customHeight="1" x14ac:dyDescent="0.25">
      <c r="A408" s="42"/>
      <c r="B408" s="42"/>
      <c r="C408" s="46"/>
      <c r="D408" s="46"/>
      <c r="E408" s="46"/>
      <c r="F408" s="46"/>
      <c r="G408" s="46"/>
      <c r="H408" s="46"/>
      <c r="I408" s="46"/>
      <c r="J408" s="46"/>
      <c r="K408" s="47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" customHeight="1" x14ac:dyDescent="0.25">
      <c r="A409" s="42"/>
      <c r="B409" s="42"/>
      <c r="C409" s="46"/>
      <c r="D409" s="46"/>
      <c r="E409" s="46"/>
      <c r="F409" s="46"/>
      <c r="G409" s="46"/>
      <c r="H409" s="46"/>
      <c r="I409" s="46"/>
      <c r="J409" s="46"/>
      <c r="K409" s="47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" customHeight="1" x14ac:dyDescent="0.25">
      <c r="A410" s="42"/>
      <c r="B410" s="42"/>
      <c r="C410" s="46"/>
      <c r="D410" s="46"/>
      <c r="E410" s="46"/>
      <c r="F410" s="46"/>
      <c r="G410" s="46"/>
      <c r="H410" s="46"/>
      <c r="I410" s="46"/>
      <c r="J410" s="46"/>
      <c r="K410" s="47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" customHeight="1" x14ac:dyDescent="0.25">
      <c r="A411" s="42"/>
      <c r="B411" s="42"/>
      <c r="C411" s="46"/>
      <c r="D411" s="46"/>
      <c r="E411" s="46"/>
      <c r="F411" s="46"/>
      <c r="G411" s="46"/>
      <c r="H411" s="46"/>
      <c r="I411" s="46"/>
      <c r="J411" s="46"/>
      <c r="K411" s="47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" customHeight="1" x14ac:dyDescent="0.25">
      <c r="A412" s="42"/>
      <c r="B412" s="42"/>
      <c r="C412" s="46"/>
      <c r="D412" s="46"/>
      <c r="E412" s="46"/>
      <c r="F412" s="46"/>
      <c r="G412" s="46"/>
      <c r="H412" s="46"/>
      <c r="I412" s="46"/>
      <c r="J412" s="46"/>
      <c r="K412" s="47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" customHeight="1" x14ac:dyDescent="0.25">
      <c r="A413" s="42"/>
      <c r="B413" s="42"/>
      <c r="C413" s="46"/>
      <c r="D413" s="46"/>
      <c r="E413" s="46"/>
      <c r="F413" s="46"/>
      <c r="G413" s="46"/>
      <c r="H413" s="46"/>
      <c r="I413" s="46"/>
      <c r="J413" s="46"/>
      <c r="K413" s="47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" customHeight="1" x14ac:dyDescent="0.25">
      <c r="A414" s="42"/>
      <c r="B414" s="42"/>
      <c r="C414" s="46"/>
      <c r="D414" s="46"/>
      <c r="E414" s="46"/>
      <c r="F414" s="46"/>
      <c r="G414" s="46"/>
      <c r="H414" s="46"/>
      <c r="I414" s="46"/>
      <c r="J414" s="46"/>
      <c r="K414" s="47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" customHeight="1" x14ac:dyDescent="0.25">
      <c r="A415" s="42"/>
      <c r="B415" s="42"/>
      <c r="C415" s="46"/>
      <c r="D415" s="46"/>
      <c r="E415" s="46"/>
      <c r="F415" s="46"/>
      <c r="G415" s="46"/>
      <c r="H415" s="46"/>
      <c r="I415" s="46"/>
      <c r="J415" s="46"/>
      <c r="K415" s="47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" customHeight="1" x14ac:dyDescent="0.25">
      <c r="A416" s="42"/>
      <c r="B416" s="42"/>
      <c r="C416" s="46"/>
      <c r="D416" s="46"/>
      <c r="E416" s="46"/>
      <c r="F416" s="46"/>
      <c r="G416" s="46"/>
      <c r="H416" s="46"/>
      <c r="I416" s="46"/>
      <c r="J416" s="46"/>
      <c r="K416" s="47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" customHeight="1" x14ac:dyDescent="0.25">
      <c r="A417" s="42"/>
      <c r="B417" s="42"/>
      <c r="C417" s="46"/>
      <c r="D417" s="46"/>
      <c r="E417" s="46"/>
      <c r="F417" s="46"/>
      <c r="G417" s="46"/>
      <c r="H417" s="46"/>
      <c r="I417" s="46"/>
      <c r="J417" s="46"/>
      <c r="K417" s="47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" customHeight="1" x14ac:dyDescent="0.25">
      <c r="A418" s="42"/>
      <c r="B418" s="42"/>
      <c r="C418" s="46"/>
      <c r="D418" s="46"/>
      <c r="E418" s="46"/>
      <c r="F418" s="46"/>
      <c r="G418" s="46"/>
      <c r="H418" s="46"/>
      <c r="I418" s="46"/>
      <c r="J418" s="46"/>
      <c r="K418" s="47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" customHeight="1" x14ac:dyDescent="0.25">
      <c r="A419" s="42"/>
      <c r="B419" s="42"/>
      <c r="C419" s="46"/>
      <c r="D419" s="46"/>
      <c r="E419" s="46"/>
      <c r="F419" s="46"/>
      <c r="G419" s="46"/>
      <c r="H419" s="46"/>
      <c r="I419" s="46"/>
      <c r="J419" s="46"/>
      <c r="K419" s="47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" customHeight="1" x14ac:dyDescent="0.25">
      <c r="A420" s="42"/>
      <c r="B420" s="42"/>
      <c r="C420" s="46"/>
      <c r="D420" s="46"/>
      <c r="E420" s="46"/>
      <c r="F420" s="46"/>
      <c r="G420" s="46"/>
      <c r="H420" s="46"/>
      <c r="I420" s="46"/>
      <c r="J420" s="46"/>
      <c r="K420" s="47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" customHeight="1" x14ac:dyDescent="0.25">
      <c r="A421" s="42"/>
      <c r="B421" s="42"/>
      <c r="C421" s="46"/>
      <c r="D421" s="46"/>
      <c r="E421" s="46"/>
      <c r="F421" s="46"/>
      <c r="G421" s="46"/>
      <c r="H421" s="46"/>
      <c r="I421" s="46"/>
      <c r="J421" s="46"/>
      <c r="K421" s="47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" customHeight="1" x14ac:dyDescent="0.25">
      <c r="A422" s="42"/>
      <c r="B422" s="42"/>
      <c r="C422" s="46"/>
      <c r="D422" s="46"/>
      <c r="E422" s="46"/>
      <c r="F422" s="46"/>
      <c r="G422" s="46"/>
      <c r="H422" s="46"/>
      <c r="I422" s="46"/>
      <c r="J422" s="46"/>
      <c r="K422" s="47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" customHeight="1" x14ac:dyDescent="0.25">
      <c r="A423" s="42"/>
      <c r="B423" s="42"/>
      <c r="C423" s="46"/>
      <c r="D423" s="46"/>
      <c r="E423" s="46"/>
      <c r="F423" s="46"/>
      <c r="G423" s="46"/>
      <c r="H423" s="46"/>
      <c r="I423" s="46"/>
      <c r="J423" s="46"/>
      <c r="K423" s="47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" customHeight="1" x14ac:dyDescent="0.25">
      <c r="A424" s="42"/>
      <c r="B424" s="42"/>
      <c r="C424" s="46"/>
      <c r="D424" s="46"/>
      <c r="E424" s="46"/>
      <c r="F424" s="46"/>
      <c r="G424" s="46"/>
      <c r="H424" s="46"/>
      <c r="I424" s="46"/>
      <c r="J424" s="46"/>
      <c r="K424" s="47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" customHeight="1" x14ac:dyDescent="0.25">
      <c r="A425" s="42"/>
      <c r="B425" s="42"/>
      <c r="C425" s="46"/>
      <c r="D425" s="46"/>
      <c r="E425" s="46"/>
      <c r="F425" s="46"/>
      <c r="G425" s="46"/>
      <c r="H425" s="46"/>
      <c r="I425" s="46"/>
      <c r="J425" s="46"/>
      <c r="K425" s="47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" customHeight="1" x14ac:dyDescent="0.25">
      <c r="A426" s="42"/>
      <c r="B426" s="42"/>
      <c r="C426" s="46"/>
      <c r="D426" s="46"/>
      <c r="E426" s="46"/>
      <c r="F426" s="46"/>
      <c r="G426" s="46"/>
      <c r="H426" s="46"/>
      <c r="I426" s="46"/>
      <c r="J426" s="46"/>
      <c r="K426" s="47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" customHeight="1" x14ac:dyDescent="0.25">
      <c r="A427" s="42"/>
      <c r="B427" s="42"/>
      <c r="C427" s="46"/>
      <c r="D427" s="46"/>
      <c r="E427" s="46"/>
      <c r="F427" s="46"/>
      <c r="G427" s="46"/>
      <c r="H427" s="46"/>
      <c r="I427" s="46"/>
      <c r="J427" s="46"/>
      <c r="K427" s="47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" customHeight="1" x14ac:dyDescent="0.25">
      <c r="A428" s="42"/>
      <c r="B428" s="42"/>
      <c r="C428" s="46"/>
      <c r="D428" s="46"/>
      <c r="E428" s="46"/>
      <c r="F428" s="46"/>
      <c r="G428" s="46"/>
      <c r="H428" s="46"/>
      <c r="I428" s="46"/>
      <c r="J428" s="46"/>
      <c r="K428" s="47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" customHeight="1" x14ac:dyDescent="0.25">
      <c r="A429" s="42"/>
      <c r="B429" s="42"/>
      <c r="C429" s="46"/>
      <c r="D429" s="46"/>
      <c r="E429" s="46"/>
      <c r="F429" s="46"/>
      <c r="G429" s="46"/>
      <c r="H429" s="46"/>
      <c r="I429" s="46"/>
      <c r="J429" s="46"/>
      <c r="K429" s="47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" customHeight="1" x14ac:dyDescent="0.25">
      <c r="A430" s="42"/>
      <c r="B430" s="42"/>
      <c r="C430" s="46"/>
      <c r="D430" s="46"/>
      <c r="E430" s="46"/>
      <c r="F430" s="46"/>
      <c r="G430" s="46"/>
      <c r="H430" s="46"/>
      <c r="I430" s="46"/>
      <c r="J430" s="46"/>
      <c r="K430" s="47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" customHeight="1" x14ac:dyDescent="0.25">
      <c r="A431" s="42"/>
      <c r="B431" s="42"/>
      <c r="C431" s="46"/>
      <c r="D431" s="46"/>
      <c r="E431" s="46"/>
      <c r="F431" s="46"/>
      <c r="G431" s="46"/>
      <c r="H431" s="46"/>
      <c r="I431" s="46"/>
      <c r="J431" s="46"/>
      <c r="K431" s="47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" customHeight="1" x14ac:dyDescent="0.25">
      <c r="A432" s="42"/>
      <c r="B432" s="42"/>
      <c r="C432" s="46"/>
      <c r="D432" s="46"/>
      <c r="E432" s="46"/>
      <c r="F432" s="46"/>
      <c r="G432" s="46"/>
      <c r="H432" s="46"/>
      <c r="I432" s="46"/>
      <c r="J432" s="46"/>
      <c r="K432" s="47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" customHeight="1" x14ac:dyDescent="0.25">
      <c r="A433" s="42"/>
      <c r="B433" s="42"/>
      <c r="C433" s="46"/>
      <c r="D433" s="46"/>
      <c r="E433" s="46"/>
      <c r="F433" s="46"/>
      <c r="G433" s="46"/>
      <c r="H433" s="46"/>
      <c r="I433" s="46"/>
      <c r="J433" s="46"/>
      <c r="K433" s="47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" customHeight="1" x14ac:dyDescent="0.25">
      <c r="A434" s="42"/>
      <c r="B434" s="42"/>
      <c r="C434" s="46"/>
      <c r="D434" s="46"/>
      <c r="E434" s="46"/>
      <c r="F434" s="46"/>
      <c r="G434" s="46"/>
      <c r="H434" s="46"/>
      <c r="I434" s="46"/>
      <c r="J434" s="46"/>
      <c r="K434" s="47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" customHeight="1" x14ac:dyDescent="0.25">
      <c r="A435" s="42"/>
      <c r="B435" s="42"/>
      <c r="C435" s="46"/>
      <c r="D435" s="46"/>
      <c r="E435" s="46"/>
      <c r="F435" s="46"/>
      <c r="G435" s="46"/>
      <c r="H435" s="46"/>
      <c r="I435" s="46"/>
      <c r="J435" s="46"/>
      <c r="K435" s="47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" customHeight="1" x14ac:dyDescent="0.25">
      <c r="A436" s="42"/>
      <c r="B436" s="42"/>
      <c r="C436" s="46"/>
      <c r="D436" s="46"/>
      <c r="E436" s="46"/>
      <c r="F436" s="46"/>
      <c r="G436" s="46"/>
      <c r="H436" s="46"/>
      <c r="I436" s="46"/>
      <c r="J436" s="46"/>
      <c r="K436" s="47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" customHeight="1" x14ac:dyDescent="0.25">
      <c r="A437" s="42"/>
      <c r="B437" s="42"/>
      <c r="C437" s="46"/>
      <c r="D437" s="46"/>
      <c r="E437" s="46"/>
      <c r="F437" s="46"/>
      <c r="G437" s="46"/>
      <c r="H437" s="46"/>
      <c r="I437" s="46"/>
      <c r="J437" s="46"/>
      <c r="K437" s="47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" customHeight="1" x14ac:dyDescent="0.25">
      <c r="A438" s="42"/>
      <c r="B438" s="42"/>
      <c r="C438" s="46"/>
      <c r="D438" s="46"/>
      <c r="E438" s="46"/>
      <c r="F438" s="46"/>
      <c r="G438" s="46"/>
      <c r="H438" s="46"/>
      <c r="I438" s="46"/>
      <c r="J438" s="46"/>
      <c r="K438" s="47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" customHeight="1" x14ac:dyDescent="0.25">
      <c r="A439" s="42"/>
      <c r="B439" s="42"/>
      <c r="C439" s="46"/>
      <c r="D439" s="46"/>
      <c r="E439" s="46"/>
      <c r="F439" s="46"/>
      <c r="G439" s="46"/>
      <c r="H439" s="46"/>
      <c r="I439" s="46"/>
      <c r="J439" s="46"/>
      <c r="K439" s="47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" customHeight="1" x14ac:dyDescent="0.25">
      <c r="A440" s="42"/>
      <c r="B440" s="42"/>
      <c r="C440" s="46"/>
      <c r="D440" s="46"/>
      <c r="E440" s="46"/>
      <c r="F440" s="46"/>
      <c r="G440" s="46"/>
      <c r="H440" s="46"/>
      <c r="I440" s="46"/>
      <c r="J440" s="46"/>
      <c r="K440" s="47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" customHeight="1" x14ac:dyDescent="0.25">
      <c r="A441" s="42"/>
      <c r="B441" s="42"/>
      <c r="C441" s="46"/>
      <c r="D441" s="46"/>
      <c r="E441" s="46"/>
      <c r="F441" s="46"/>
      <c r="G441" s="46"/>
      <c r="H441" s="46"/>
      <c r="I441" s="46"/>
      <c r="J441" s="46"/>
      <c r="K441" s="47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" customHeight="1" x14ac:dyDescent="0.25">
      <c r="A442" s="42"/>
      <c r="B442" s="42"/>
      <c r="C442" s="46"/>
      <c r="D442" s="46"/>
      <c r="E442" s="46"/>
      <c r="F442" s="46"/>
      <c r="G442" s="46"/>
      <c r="H442" s="46"/>
      <c r="I442" s="46"/>
      <c r="J442" s="46"/>
      <c r="K442" s="47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" customHeight="1" x14ac:dyDescent="0.25">
      <c r="A443" s="42"/>
      <c r="B443" s="42"/>
      <c r="C443" s="46"/>
      <c r="D443" s="46"/>
      <c r="E443" s="46"/>
      <c r="F443" s="46"/>
      <c r="G443" s="46"/>
      <c r="H443" s="46"/>
      <c r="I443" s="46"/>
      <c r="J443" s="46"/>
      <c r="K443" s="47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" customHeight="1" x14ac:dyDescent="0.25">
      <c r="A444" s="42"/>
      <c r="B444" s="42"/>
      <c r="C444" s="46"/>
      <c r="D444" s="46"/>
      <c r="E444" s="46"/>
      <c r="F444" s="46"/>
      <c r="G444" s="46"/>
      <c r="H444" s="46"/>
      <c r="I444" s="46"/>
      <c r="J444" s="46"/>
      <c r="K444" s="47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" customHeight="1" x14ac:dyDescent="0.25">
      <c r="A445" s="42"/>
      <c r="B445" s="42"/>
      <c r="C445" s="46"/>
      <c r="D445" s="46"/>
      <c r="E445" s="46"/>
      <c r="F445" s="46"/>
      <c r="G445" s="46"/>
      <c r="H445" s="46"/>
      <c r="I445" s="46"/>
      <c r="J445" s="46"/>
      <c r="K445" s="47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" customHeight="1" x14ac:dyDescent="0.25">
      <c r="A446" s="42"/>
      <c r="B446" s="42"/>
      <c r="C446" s="46"/>
      <c r="D446" s="46"/>
      <c r="E446" s="46"/>
      <c r="F446" s="46"/>
      <c r="G446" s="46"/>
      <c r="H446" s="46"/>
      <c r="I446" s="46"/>
      <c r="J446" s="46"/>
      <c r="K446" s="47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" customHeight="1" x14ac:dyDescent="0.25">
      <c r="A447" s="42"/>
      <c r="B447" s="42"/>
      <c r="C447" s="46"/>
      <c r="D447" s="46"/>
      <c r="E447" s="46"/>
      <c r="F447" s="46"/>
      <c r="G447" s="46"/>
      <c r="H447" s="46"/>
      <c r="I447" s="46"/>
      <c r="J447" s="46"/>
      <c r="K447" s="47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" customHeight="1" x14ac:dyDescent="0.25">
      <c r="A448" s="42"/>
      <c r="B448" s="42"/>
      <c r="C448" s="46"/>
      <c r="D448" s="46"/>
      <c r="E448" s="46"/>
      <c r="F448" s="46"/>
      <c r="G448" s="46"/>
      <c r="H448" s="46"/>
      <c r="I448" s="46"/>
      <c r="J448" s="46"/>
      <c r="K448" s="47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x14ac:dyDescent="0.25">
      <c r="A449" s="42"/>
      <c r="B449" s="42"/>
      <c r="C449" s="46"/>
      <c r="D449" s="46"/>
      <c r="E449" s="46"/>
      <c r="F449" s="46"/>
      <c r="G449" s="46"/>
      <c r="H449" s="46"/>
      <c r="I449" s="46"/>
      <c r="J449" s="46"/>
      <c r="K449" s="47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x14ac:dyDescent="0.25">
      <c r="A450" s="42"/>
      <c r="B450" s="42"/>
      <c r="C450" s="46"/>
      <c r="D450" s="46"/>
      <c r="E450" s="46"/>
      <c r="F450" s="46"/>
      <c r="G450" s="46"/>
      <c r="H450" s="46"/>
      <c r="I450" s="46"/>
      <c r="J450" s="46"/>
      <c r="K450" s="47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x14ac:dyDescent="0.25">
      <c r="A451" s="42"/>
      <c r="B451" s="42"/>
      <c r="C451" s="46"/>
      <c r="D451" s="46"/>
      <c r="E451" s="46"/>
      <c r="F451" s="46"/>
      <c r="G451" s="46"/>
      <c r="H451" s="46"/>
      <c r="I451" s="46"/>
      <c r="J451" s="46"/>
      <c r="K451" s="47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x14ac:dyDescent="0.25">
      <c r="A452" s="42"/>
      <c r="B452" s="42"/>
      <c r="C452" s="46"/>
      <c r="D452" s="46"/>
      <c r="E452" s="46"/>
      <c r="F452" s="46"/>
      <c r="G452" s="46"/>
      <c r="H452" s="46"/>
      <c r="I452" s="46"/>
      <c r="J452" s="46"/>
      <c r="K452" s="47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x14ac:dyDescent="0.25">
      <c r="A453" s="42"/>
      <c r="B453" s="42"/>
      <c r="C453" s="46"/>
      <c r="D453" s="46"/>
      <c r="E453" s="46"/>
      <c r="F453" s="46"/>
      <c r="G453" s="46"/>
      <c r="H453" s="46"/>
      <c r="I453" s="46"/>
      <c r="J453" s="46"/>
      <c r="K453" s="47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x14ac:dyDescent="0.25">
      <c r="A454" s="42"/>
      <c r="B454" s="42"/>
      <c r="C454" s="46"/>
      <c r="D454" s="46"/>
      <c r="E454" s="46"/>
      <c r="F454" s="46"/>
      <c r="G454" s="46"/>
      <c r="H454" s="46"/>
      <c r="I454" s="46"/>
      <c r="J454" s="46"/>
      <c r="K454" s="47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x14ac:dyDescent="0.25">
      <c r="A455" s="42"/>
      <c r="B455" s="42"/>
      <c r="C455" s="46"/>
      <c r="D455" s="46"/>
      <c r="E455" s="46"/>
      <c r="F455" s="46"/>
      <c r="G455" s="46"/>
      <c r="H455" s="46"/>
      <c r="I455" s="46"/>
      <c r="J455" s="46"/>
      <c r="K455" s="47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x14ac:dyDescent="0.25">
      <c r="A456" s="42"/>
      <c r="B456" s="42"/>
      <c r="C456" s="46"/>
      <c r="D456" s="46"/>
      <c r="E456" s="46"/>
      <c r="F456" s="46"/>
      <c r="G456" s="46"/>
      <c r="H456" s="46"/>
      <c r="I456" s="46"/>
      <c r="J456" s="46"/>
      <c r="K456" s="47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x14ac:dyDescent="0.25">
      <c r="A457" s="42"/>
      <c r="B457" s="42"/>
      <c r="C457" s="46"/>
      <c r="D457" s="46"/>
      <c r="E457" s="46"/>
      <c r="F457" s="46"/>
      <c r="G457" s="46"/>
      <c r="H457" s="46"/>
      <c r="I457" s="46"/>
      <c r="J457" s="46"/>
      <c r="K457" s="47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x14ac:dyDescent="0.25">
      <c r="A458" s="42"/>
      <c r="B458" s="42"/>
      <c r="C458" s="46"/>
      <c r="D458" s="46"/>
      <c r="E458" s="46"/>
      <c r="F458" s="46"/>
      <c r="G458" s="46"/>
      <c r="H458" s="46"/>
      <c r="I458" s="46"/>
      <c r="J458" s="46"/>
      <c r="K458" s="47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x14ac:dyDescent="0.25">
      <c r="A459" s="42"/>
      <c r="B459" s="42"/>
      <c r="C459" s="46"/>
      <c r="D459" s="46"/>
      <c r="E459" s="46"/>
      <c r="F459" s="46"/>
      <c r="G459" s="46"/>
      <c r="H459" s="46"/>
      <c r="I459" s="46"/>
      <c r="J459" s="46"/>
      <c r="K459" s="47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x14ac:dyDescent="0.25">
      <c r="A460" s="42"/>
      <c r="B460" s="42"/>
      <c r="C460" s="46"/>
      <c r="D460" s="46"/>
      <c r="E460" s="46"/>
      <c r="F460" s="46"/>
      <c r="G460" s="46"/>
      <c r="H460" s="46"/>
      <c r="I460" s="46"/>
      <c r="J460" s="46"/>
      <c r="K460" s="47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x14ac:dyDescent="0.25">
      <c r="A461" s="42"/>
      <c r="B461" s="42"/>
      <c r="C461" s="46"/>
      <c r="D461" s="46"/>
      <c r="E461" s="46"/>
      <c r="F461" s="46"/>
      <c r="G461" s="46"/>
      <c r="H461" s="46"/>
      <c r="I461" s="46"/>
      <c r="J461" s="46"/>
      <c r="K461" s="47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x14ac:dyDescent="0.25">
      <c r="A462" s="42"/>
      <c r="B462" s="42"/>
      <c r="C462" s="46"/>
      <c r="D462" s="46"/>
      <c r="E462" s="46"/>
      <c r="F462" s="46"/>
      <c r="G462" s="46"/>
      <c r="H462" s="46"/>
      <c r="I462" s="46"/>
      <c r="J462" s="46"/>
      <c r="K462" s="47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x14ac:dyDescent="0.25">
      <c r="A463" s="42"/>
      <c r="B463" s="42"/>
      <c r="C463" s="46"/>
      <c r="D463" s="46"/>
      <c r="E463" s="46"/>
      <c r="F463" s="46"/>
      <c r="G463" s="46"/>
      <c r="H463" s="46"/>
      <c r="I463" s="46"/>
      <c r="J463" s="46"/>
      <c r="K463" s="47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x14ac:dyDescent="0.25">
      <c r="A464" s="42"/>
      <c r="B464" s="42"/>
      <c r="C464" s="46"/>
      <c r="D464" s="46"/>
      <c r="E464" s="46"/>
      <c r="F464" s="46"/>
      <c r="G464" s="46"/>
      <c r="H464" s="46"/>
      <c r="I464" s="46"/>
      <c r="J464" s="46"/>
      <c r="K464" s="47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x14ac:dyDescent="0.25">
      <c r="A465" s="42"/>
      <c r="B465" s="42"/>
      <c r="C465" s="46"/>
      <c r="D465" s="46"/>
      <c r="E465" s="46"/>
      <c r="F465" s="46"/>
      <c r="G465" s="46"/>
      <c r="H465" s="46"/>
      <c r="I465" s="46"/>
      <c r="J465" s="46"/>
      <c r="K465" s="47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x14ac:dyDescent="0.25">
      <c r="A466" s="42"/>
      <c r="B466" s="42"/>
      <c r="C466" s="46"/>
      <c r="D466" s="46"/>
      <c r="E466" s="46"/>
      <c r="F466" s="46"/>
      <c r="G466" s="46"/>
      <c r="H466" s="46"/>
      <c r="I466" s="46"/>
      <c r="J466" s="46"/>
      <c r="K466" s="47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x14ac:dyDescent="0.25">
      <c r="A467" s="42"/>
      <c r="B467" s="42"/>
      <c r="C467" s="46"/>
      <c r="D467" s="46"/>
      <c r="E467" s="46"/>
      <c r="F467" s="46"/>
      <c r="G467" s="46"/>
      <c r="H467" s="46"/>
      <c r="I467" s="46"/>
      <c r="J467" s="46"/>
      <c r="K467" s="47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x14ac:dyDescent="0.25">
      <c r="A468" s="42"/>
      <c r="B468" s="42"/>
      <c r="C468" s="46"/>
      <c r="D468" s="46"/>
      <c r="E468" s="46"/>
      <c r="F468" s="46"/>
      <c r="G468" s="46"/>
      <c r="H468" s="46"/>
      <c r="I468" s="46"/>
      <c r="J468" s="46"/>
      <c r="K468" s="47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x14ac:dyDescent="0.25">
      <c r="A469" s="42"/>
      <c r="B469" s="42"/>
      <c r="C469" s="46"/>
      <c r="D469" s="46"/>
      <c r="E469" s="46"/>
      <c r="F469" s="46"/>
      <c r="G469" s="46"/>
      <c r="H469" s="46"/>
      <c r="I469" s="46"/>
      <c r="J469" s="46"/>
      <c r="K469" s="47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x14ac:dyDescent="0.25">
      <c r="A470" s="42"/>
      <c r="B470" s="42"/>
      <c r="C470" s="46"/>
      <c r="D470" s="46"/>
      <c r="E470" s="46"/>
      <c r="F470" s="46"/>
      <c r="G470" s="46"/>
      <c r="H470" s="46"/>
      <c r="I470" s="46"/>
      <c r="J470" s="46"/>
      <c r="K470" s="47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x14ac:dyDescent="0.25">
      <c r="A471" s="42"/>
      <c r="B471" s="42"/>
      <c r="C471" s="46"/>
      <c r="D471" s="46"/>
      <c r="E471" s="46"/>
      <c r="F471" s="46"/>
      <c r="G471" s="46"/>
      <c r="H471" s="46"/>
      <c r="I471" s="46"/>
      <c r="J471" s="46"/>
      <c r="K471" s="47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x14ac:dyDescent="0.25">
      <c r="A472" s="42"/>
      <c r="B472" s="42"/>
      <c r="C472" s="46"/>
      <c r="D472" s="46"/>
      <c r="E472" s="46"/>
      <c r="F472" s="46"/>
      <c r="G472" s="46"/>
      <c r="H472" s="46"/>
      <c r="I472" s="46"/>
      <c r="J472" s="46"/>
      <c r="K472" s="47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x14ac:dyDescent="0.25">
      <c r="A473" s="42"/>
      <c r="B473" s="42"/>
      <c r="C473" s="46"/>
      <c r="D473" s="46"/>
      <c r="E473" s="46"/>
      <c r="F473" s="46"/>
      <c r="G473" s="46"/>
      <c r="H473" s="46"/>
      <c r="I473" s="46"/>
      <c r="J473" s="46"/>
      <c r="K473" s="47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x14ac:dyDescent="0.25">
      <c r="A474" s="42"/>
      <c r="B474" s="42"/>
      <c r="C474" s="46"/>
      <c r="D474" s="46"/>
      <c r="E474" s="46"/>
      <c r="F474" s="46"/>
      <c r="G474" s="46"/>
      <c r="H474" s="46"/>
      <c r="I474" s="46"/>
      <c r="J474" s="46"/>
      <c r="K474" s="47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x14ac:dyDescent="0.25">
      <c r="A475" s="42"/>
      <c r="B475" s="42"/>
      <c r="C475" s="46"/>
      <c r="D475" s="46"/>
      <c r="E475" s="46"/>
      <c r="F475" s="46"/>
      <c r="G475" s="46"/>
      <c r="H475" s="46"/>
      <c r="I475" s="46"/>
      <c r="J475" s="46"/>
      <c r="K475" s="47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x14ac:dyDescent="0.25">
      <c r="A476" s="42"/>
      <c r="B476" s="42"/>
      <c r="C476" s="46"/>
      <c r="D476" s="46"/>
      <c r="E476" s="46"/>
      <c r="F476" s="46"/>
      <c r="G476" s="46"/>
      <c r="H476" s="46"/>
      <c r="I476" s="46"/>
      <c r="J476" s="46"/>
      <c r="K476" s="47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x14ac:dyDescent="0.25">
      <c r="A477" s="42"/>
      <c r="B477" s="42"/>
      <c r="C477" s="46"/>
      <c r="D477" s="46"/>
      <c r="E477" s="46"/>
      <c r="F477" s="46"/>
      <c r="G477" s="46"/>
      <c r="H477" s="46"/>
      <c r="I477" s="46"/>
      <c r="J477" s="46"/>
      <c r="K477" s="47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x14ac:dyDescent="0.25">
      <c r="A478" s="42"/>
      <c r="B478" s="42"/>
      <c r="C478" s="46"/>
      <c r="D478" s="46"/>
      <c r="E478" s="46"/>
      <c r="F478" s="46"/>
      <c r="G478" s="46"/>
      <c r="H478" s="46"/>
      <c r="I478" s="46"/>
      <c r="J478" s="46"/>
      <c r="K478" s="47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x14ac:dyDescent="0.25">
      <c r="A479" s="42"/>
      <c r="B479" s="42"/>
      <c r="C479" s="46"/>
      <c r="D479" s="46"/>
      <c r="E479" s="46"/>
      <c r="F479" s="46"/>
      <c r="G479" s="46"/>
      <c r="H479" s="46"/>
      <c r="I479" s="46"/>
      <c r="J479" s="46"/>
      <c r="K479" s="47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x14ac:dyDescent="0.25">
      <c r="A480" s="42"/>
      <c r="B480" s="42"/>
      <c r="C480" s="46"/>
      <c r="D480" s="46"/>
      <c r="E480" s="46"/>
      <c r="F480" s="46"/>
      <c r="G480" s="46"/>
      <c r="H480" s="46"/>
      <c r="I480" s="46"/>
      <c r="J480" s="46"/>
      <c r="K480" s="47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x14ac:dyDescent="0.25">
      <c r="A481" s="42"/>
      <c r="B481" s="42"/>
      <c r="C481" s="46"/>
      <c r="D481" s="46"/>
      <c r="E481" s="46"/>
      <c r="F481" s="46"/>
      <c r="G481" s="46"/>
      <c r="H481" s="46"/>
      <c r="I481" s="46"/>
      <c r="J481" s="46"/>
      <c r="K481" s="47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x14ac:dyDescent="0.25">
      <c r="A482" s="42"/>
      <c r="B482" s="42"/>
      <c r="C482" s="46"/>
      <c r="D482" s="46"/>
      <c r="E482" s="46"/>
      <c r="F482" s="46"/>
      <c r="G482" s="46"/>
      <c r="H482" s="46"/>
      <c r="I482" s="46"/>
      <c r="J482" s="46"/>
      <c r="K482" s="47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x14ac:dyDescent="0.25">
      <c r="A483" s="42"/>
      <c r="B483" s="42"/>
      <c r="C483" s="46"/>
      <c r="D483" s="46"/>
      <c r="E483" s="46"/>
      <c r="F483" s="46"/>
      <c r="G483" s="46"/>
      <c r="H483" s="46"/>
      <c r="I483" s="46"/>
      <c r="J483" s="46"/>
      <c r="K483" s="47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x14ac:dyDescent="0.25">
      <c r="A484" s="42"/>
      <c r="B484" s="42"/>
      <c r="C484" s="46"/>
      <c r="D484" s="46"/>
      <c r="E484" s="46"/>
      <c r="F484" s="46"/>
      <c r="G484" s="46"/>
      <c r="H484" s="46"/>
      <c r="I484" s="46"/>
      <c r="J484" s="46"/>
      <c r="K484" s="47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x14ac:dyDescent="0.25">
      <c r="A485" s="42"/>
      <c r="B485" s="42"/>
      <c r="C485" s="46"/>
      <c r="D485" s="46"/>
      <c r="E485" s="46"/>
      <c r="F485" s="46"/>
      <c r="G485" s="46"/>
      <c r="H485" s="46"/>
      <c r="I485" s="46"/>
      <c r="J485" s="46"/>
      <c r="K485" s="47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x14ac:dyDescent="0.25">
      <c r="A486" s="42"/>
      <c r="B486" s="42"/>
      <c r="C486" s="46"/>
      <c r="D486" s="46"/>
      <c r="E486" s="46"/>
      <c r="F486" s="46"/>
      <c r="G486" s="46"/>
      <c r="H486" s="46"/>
      <c r="I486" s="46"/>
      <c r="J486" s="46"/>
      <c r="K486" s="47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x14ac:dyDescent="0.25">
      <c r="A487" s="42"/>
      <c r="B487" s="42"/>
      <c r="C487" s="46"/>
      <c r="D487" s="46"/>
      <c r="E487" s="46"/>
      <c r="F487" s="46"/>
      <c r="G487" s="46"/>
      <c r="H487" s="46"/>
      <c r="I487" s="46"/>
      <c r="J487" s="46"/>
      <c r="K487" s="47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x14ac:dyDescent="0.25">
      <c r="A488" s="42"/>
      <c r="B488" s="42"/>
      <c r="C488" s="46"/>
      <c r="D488" s="46"/>
      <c r="E488" s="46"/>
      <c r="F488" s="46"/>
      <c r="G488" s="46"/>
      <c r="H488" s="46"/>
      <c r="I488" s="46"/>
      <c r="J488" s="46"/>
      <c r="K488" s="47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x14ac:dyDescent="0.25">
      <c r="A489" s="42"/>
      <c r="B489" s="42"/>
      <c r="C489" s="46"/>
      <c r="D489" s="46"/>
      <c r="E489" s="46"/>
      <c r="F489" s="46"/>
      <c r="G489" s="46"/>
      <c r="H489" s="46"/>
      <c r="I489" s="46"/>
      <c r="J489" s="46"/>
      <c r="K489" s="47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x14ac:dyDescent="0.25">
      <c r="A490" s="42"/>
      <c r="B490" s="42"/>
      <c r="C490" s="46"/>
      <c r="D490" s="46"/>
      <c r="E490" s="46"/>
      <c r="F490" s="46"/>
      <c r="G490" s="46"/>
      <c r="H490" s="46"/>
      <c r="I490" s="46"/>
      <c r="J490" s="46"/>
      <c r="K490" s="47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x14ac:dyDescent="0.25">
      <c r="A491" s="42"/>
      <c r="B491" s="42"/>
      <c r="C491" s="46"/>
      <c r="D491" s="46"/>
      <c r="E491" s="46"/>
      <c r="F491" s="46"/>
      <c r="G491" s="46"/>
      <c r="H491" s="46"/>
      <c r="I491" s="46"/>
      <c r="J491" s="46"/>
      <c r="K491" s="47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x14ac:dyDescent="0.25">
      <c r="A492" s="42"/>
      <c r="B492" s="42"/>
      <c r="C492" s="46"/>
      <c r="D492" s="46"/>
      <c r="E492" s="46"/>
      <c r="F492" s="46"/>
      <c r="G492" s="46"/>
      <c r="H492" s="46"/>
      <c r="I492" s="46"/>
      <c r="J492" s="46"/>
      <c r="K492" s="47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x14ac:dyDescent="0.25">
      <c r="A493" s="42"/>
      <c r="B493" s="42"/>
      <c r="C493" s="46"/>
      <c r="D493" s="46"/>
      <c r="E493" s="46"/>
      <c r="F493" s="46"/>
      <c r="G493" s="46"/>
      <c r="H493" s="46"/>
      <c r="I493" s="46"/>
      <c r="J493" s="46"/>
      <c r="K493" s="47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x14ac:dyDescent="0.25">
      <c r="A494" s="42"/>
      <c r="B494" s="42"/>
      <c r="C494" s="46"/>
      <c r="D494" s="46"/>
      <c r="E494" s="46"/>
      <c r="F494" s="46"/>
      <c r="G494" s="46"/>
      <c r="H494" s="46"/>
      <c r="I494" s="46"/>
      <c r="J494" s="46"/>
      <c r="K494" s="47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x14ac:dyDescent="0.25">
      <c r="A495" s="42"/>
      <c r="B495" s="42"/>
      <c r="C495" s="46"/>
      <c r="D495" s="46"/>
      <c r="E495" s="46"/>
      <c r="F495" s="46"/>
      <c r="G495" s="46"/>
      <c r="H495" s="46"/>
      <c r="I495" s="46"/>
      <c r="J495" s="46"/>
      <c r="K495" s="47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x14ac:dyDescent="0.25">
      <c r="A496" s="42"/>
      <c r="B496" s="42"/>
      <c r="C496" s="46"/>
      <c r="D496" s="46"/>
      <c r="E496" s="46"/>
      <c r="F496" s="46"/>
      <c r="G496" s="46"/>
      <c r="H496" s="46"/>
      <c r="I496" s="46"/>
      <c r="J496" s="46"/>
      <c r="K496" s="47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x14ac:dyDescent="0.25">
      <c r="A497" s="42"/>
      <c r="B497" s="42"/>
      <c r="C497" s="46"/>
      <c r="D497" s="46"/>
      <c r="E497" s="46"/>
      <c r="F497" s="46"/>
      <c r="G497" s="46"/>
      <c r="H497" s="46"/>
      <c r="I497" s="46"/>
      <c r="J497" s="46"/>
      <c r="K497" s="47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x14ac:dyDescent="0.25">
      <c r="A498" s="42"/>
      <c r="B498" s="42"/>
      <c r="C498" s="46"/>
      <c r="D498" s="46"/>
      <c r="E498" s="46"/>
      <c r="F498" s="46"/>
      <c r="G498" s="46"/>
      <c r="H498" s="46"/>
      <c r="I498" s="46"/>
      <c r="J498" s="46"/>
      <c r="K498" s="47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x14ac:dyDescent="0.25">
      <c r="A499" s="42"/>
      <c r="B499" s="42"/>
      <c r="C499" s="46"/>
      <c r="D499" s="46"/>
      <c r="E499" s="46"/>
      <c r="F499" s="46"/>
      <c r="G499" s="46"/>
      <c r="H499" s="46"/>
      <c r="I499" s="46"/>
      <c r="J499" s="46"/>
      <c r="K499" s="47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x14ac:dyDescent="0.25">
      <c r="A500" s="42"/>
      <c r="B500" s="42"/>
      <c r="C500" s="46"/>
      <c r="D500" s="46"/>
      <c r="E500" s="46"/>
      <c r="F500" s="46"/>
      <c r="G500" s="46"/>
      <c r="H500" s="46"/>
      <c r="I500" s="46"/>
      <c r="J500" s="46"/>
      <c r="K500" s="47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x14ac:dyDescent="0.25">
      <c r="A501" s="42"/>
      <c r="B501" s="42"/>
      <c r="C501" s="46"/>
      <c r="D501" s="46"/>
      <c r="E501" s="46"/>
      <c r="F501" s="46"/>
      <c r="G501" s="46"/>
      <c r="H501" s="46"/>
      <c r="I501" s="46"/>
      <c r="J501" s="46"/>
      <c r="K501" s="47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x14ac:dyDescent="0.25">
      <c r="A502" s="42"/>
      <c r="B502" s="42"/>
      <c r="C502" s="46"/>
      <c r="D502" s="46"/>
      <c r="E502" s="46"/>
      <c r="F502" s="46"/>
      <c r="G502" s="46"/>
      <c r="H502" s="46"/>
      <c r="I502" s="46"/>
      <c r="J502" s="46"/>
      <c r="K502" s="47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x14ac:dyDescent="0.25">
      <c r="A503" s="42"/>
      <c r="B503" s="42"/>
      <c r="C503" s="46"/>
      <c r="D503" s="46"/>
      <c r="E503" s="46"/>
      <c r="F503" s="46"/>
      <c r="G503" s="46"/>
      <c r="H503" s="46"/>
      <c r="I503" s="46"/>
      <c r="J503" s="46"/>
      <c r="K503" s="47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x14ac:dyDescent="0.25">
      <c r="A504" s="42"/>
      <c r="B504" s="42"/>
      <c r="C504" s="46"/>
      <c r="D504" s="46"/>
      <c r="E504" s="46"/>
      <c r="F504" s="46"/>
      <c r="G504" s="46"/>
      <c r="H504" s="46"/>
      <c r="I504" s="46"/>
      <c r="J504" s="46"/>
      <c r="K504" s="47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x14ac:dyDescent="0.25">
      <c r="A505" s="42"/>
      <c r="B505" s="42"/>
      <c r="C505" s="46"/>
      <c r="D505" s="46"/>
      <c r="E505" s="46"/>
      <c r="F505" s="46"/>
      <c r="G505" s="46"/>
      <c r="H505" s="46"/>
      <c r="I505" s="46"/>
      <c r="J505" s="46"/>
      <c r="K505" s="47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x14ac:dyDescent="0.25">
      <c r="A506" s="42"/>
      <c r="B506" s="42"/>
      <c r="C506" s="46"/>
      <c r="D506" s="46"/>
      <c r="E506" s="46"/>
      <c r="F506" s="46"/>
      <c r="G506" s="46"/>
      <c r="H506" s="46"/>
      <c r="I506" s="46"/>
      <c r="J506" s="46"/>
      <c r="K506" s="47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x14ac:dyDescent="0.25">
      <c r="A507" s="42"/>
      <c r="B507" s="42"/>
      <c r="C507" s="46"/>
      <c r="D507" s="46"/>
      <c r="E507" s="46"/>
      <c r="F507" s="46"/>
      <c r="G507" s="46"/>
      <c r="H507" s="46"/>
      <c r="I507" s="46"/>
      <c r="J507" s="46"/>
      <c r="K507" s="47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x14ac:dyDescent="0.25">
      <c r="A508" s="42"/>
      <c r="B508" s="42"/>
      <c r="C508" s="46"/>
      <c r="D508" s="46"/>
      <c r="E508" s="46"/>
      <c r="F508" s="46"/>
      <c r="G508" s="46"/>
      <c r="H508" s="46"/>
      <c r="I508" s="46"/>
      <c r="J508" s="46"/>
      <c r="K508" s="47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x14ac:dyDescent="0.25">
      <c r="A509" s="42"/>
      <c r="B509" s="42"/>
      <c r="C509" s="46"/>
      <c r="D509" s="46"/>
      <c r="E509" s="46"/>
      <c r="F509" s="46"/>
      <c r="G509" s="46"/>
      <c r="H509" s="46"/>
      <c r="I509" s="46"/>
      <c r="J509" s="46"/>
      <c r="K509" s="47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x14ac:dyDescent="0.25">
      <c r="A510" s="42"/>
      <c r="B510" s="42"/>
      <c r="C510" s="46"/>
      <c r="D510" s="46"/>
      <c r="E510" s="46"/>
      <c r="F510" s="46"/>
      <c r="G510" s="46"/>
      <c r="H510" s="46"/>
      <c r="I510" s="46"/>
      <c r="J510" s="46"/>
      <c r="K510" s="47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x14ac:dyDescent="0.25">
      <c r="A511" s="42"/>
      <c r="B511" s="42"/>
      <c r="C511" s="46"/>
      <c r="D511" s="46"/>
      <c r="E511" s="46"/>
      <c r="F511" s="46"/>
      <c r="G511" s="46"/>
      <c r="H511" s="46"/>
      <c r="I511" s="46"/>
      <c r="J511" s="46"/>
      <c r="K511" s="47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x14ac:dyDescent="0.25">
      <c r="A512" s="42"/>
      <c r="B512" s="42"/>
      <c r="C512" s="46"/>
      <c r="D512" s="46"/>
      <c r="E512" s="46"/>
      <c r="F512" s="46"/>
      <c r="G512" s="46"/>
      <c r="H512" s="46"/>
      <c r="I512" s="46"/>
      <c r="J512" s="46"/>
      <c r="K512" s="47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x14ac:dyDescent="0.25">
      <c r="A513" s="42"/>
      <c r="B513" s="42"/>
      <c r="C513" s="46"/>
      <c r="D513" s="46"/>
      <c r="E513" s="46"/>
      <c r="F513" s="46"/>
      <c r="G513" s="46"/>
      <c r="H513" s="46"/>
      <c r="I513" s="46"/>
      <c r="J513" s="46"/>
      <c r="K513" s="47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x14ac:dyDescent="0.25">
      <c r="A514" s="42"/>
      <c r="B514" s="42"/>
      <c r="C514" s="46"/>
      <c r="D514" s="46"/>
      <c r="E514" s="46"/>
      <c r="F514" s="46"/>
      <c r="G514" s="46"/>
      <c r="H514" s="46"/>
      <c r="I514" s="46"/>
      <c r="J514" s="46"/>
      <c r="K514" s="47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x14ac:dyDescent="0.25">
      <c r="A515" s="42"/>
      <c r="B515" s="42"/>
      <c r="C515" s="46"/>
      <c r="D515" s="46"/>
      <c r="E515" s="46"/>
      <c r="F515" s="46"/>
      <c r="G515" s="46"/>
      <c r="H515" s="46"/>
      <c r="I515" s="46"/>
      <c r="J515" s="46"/>
      <c r="K515" s="47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x14ac:dyDescent="0.25">
      <c r="A516" s="42"/>
      <c r="B516" s="42"/>
      <c r="C516" s="46"/>
      <c r="D516" s="46"/>
      <c r="E516" s="46"/>
      <c r="F516" s="46"/>
      <c r="G516" s="46"/>
      <c r="H516" s="46"/>
      <c r="I516" s="46"/>
      <c r="J516" s="46"/>
      <c r="K516" s="47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x14ac:dyDescent="0.25">
      <c r="A517" s="42"/>
      <c r="B517" s="42"/>
      <c r="C517" s="46"/>
      <c r="D517" s="46"/>
      <c r="E517" s="46"/>
      <c r="F517" s="46"/>
      <c r="G517" s="46"/>
      <c r="H517" s="46"/>
      <c r="I517" s="46"/>
      <c r="J517" s="46"/>
      <c r="K517" s="47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x14ac:dyDescent="0.25">
      <c r="A518" s="42"/>
      <c r="B518" s="42"/>
      <c r="C518" s="46"/>
      <c r="D518" s="46"/>
      <c r="E518" s="46"/>
      <c r="F518" s="46"/>
      <c r="G518" s="46"/>
      <c r="H518" s="46"/>
      <c r="I518" s="46"/>
      <c r="J518" s="46"/>
      <c r="K518" s="47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x14ac:dyDescent="0.25">
      <c r="A519" s="42"/>
      <c r="B519" s="42"/>
      <c r="C519" s="46"/>
      <c r="D519" s="46"/>
      <c r="E519" s="46"/>
      <c r="F519" s="46"/>
      <c r="G519" s="46"/>
      <c r="H519" s="46"/>
      <c r="I519" s="46"/>
      <c r="J519" s="46"/>
      <c r="K519" s="47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x14ac:dyDescent="0.25">
      <c r="A520" s="42"/>
      <c r="B520" s="42"/>
      <c r="C520" s="46"/>
      <c r="D520" s="46"/>
      <c r="E520" s="46"/>
      <c r="F520" s="46"/>
      <c r="G520" s="46"/>
      <c r="H520" s="46"/>
      <c r="I520" s="46"/>
      <c r="J520" s="46"/>
      <c r="K520" s="47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x14ac:dyDescent="0.25">
      <c r="A521" s="42"/>
      <c r="B521" s="42"/>
      <c r="C521" s="46"/>
      <c r="D521" s="46"/>
      <c r="E521" s="46"/>
      <c r="F521" s="46"/>
      <c r="G521" s="46"/>
      <c r="H521" s="46"/>
      <c r="I521" s="46"/>
      <c r="J521" s="46"/>
      <c r="K521" s="47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x14ac:dyDescent="0.25">
      <c r="A522" s="42"/>
      <c r="B522" s="42"/>
      <c r="C522" s="46"/>
      <c r="D522" s="46"/>
      <c r="E522" s="46"/>
      <c r="F522" s="46"/>
      <c r="G522" s="46"/>
      <c r="H522" s="46"/>
      <c r="I522" s="46"/>
      <c r="J522" s="46"/>
      <c r="K522" s="47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x14ac:dyDescent="0.25">
      <c r="A523" s="42"/>
      <c r="B523" s="42"/>
      <c r="C523" s="46"/>
      <c r="D523" s="46"/>
      <c r="E523" s="46"/>
      <c r="F523" s="46"/>
      <c r="G523" s="46"/>
      <c r="H523" s="46"/>
      <c r="I523" s="46"/>
      <c r="J523" s="46"/>
      <c r="K523" s="47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x14ac:dyDescent="0.25">
      <c r="A524" s="42"/>
      <c r="B524" s="42"/>
      <c r="C524" s="46"/>
      <c r="D524" s="46"/>
      <c r="E524" s="46"/>
      <c r="F524" s="46"/>
      <c r="G524" s="46"/>
      <c r="H524" s="46"/>
      <c r="I524" s="46"/>
      <c r="J524" s="46"/>
      <c r="K524" s="47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x14ac:dyDescent="0.25">
      <c r="A525" s="42"/>
      <c r="B525" s="42"/>
      <c r="C525" s="46"/>
      <c r="D525" s="46"/>
      <c r="E525" s="46"/>
      <c r="F525" s="46"/>
      <c r="G525" s="46"/>
      <c r="H525" s="46"/>
      <c r="I525" s="46"/>
      <c r="J525" s="46"/>
      <c r="K525" s="47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x14ac:dyDescent="0.25">
      <c r="A526" s="42"/>
      <c r="B526" s="42"/>
      <c r="C526" s="46"/>
      <c r="D526" s="46"/>
      <c r="E526" s="46"/>
      <c r="F526" s="46"/>
      <c r="G526" s="46"/>
      <c r="H526" s="46"/>
      <c r="I526" s="46"/>
      <c r="J526" s="46"/>
      <c r="K526" s="47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x14ac:dyDescent="0.25">
      <c r="A527" s="42"/>
      <c r="B527" s="42"/>
      <c r="C527" s="46"/>
      <c r="D527" s="46"/>
      <c r="E527" s="46"/>
      <c r="F527" s="46"/>
      <c r="G527" s="46"/>
      <c r="H527" s="46"/>
      <c r="I527" s="46"/>
      <c r="J527" s="46"/>
      <c r="K527" s="47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x14ac:dyDescent="0.25">
      <c r="A528" s="42"/>
      <c r="B528" s="42"/>
      <c r="C528" s="46"/>
      <c r="D528" s="46"/>
      <c r="E528" s="46"/>
      <c r="F528" s="46"/>
      <c r="G528" s="46"/>
      <c r="H528" s="46"/>
      <c r="I528" s="46"/>
      <c r="J528" s="46"/>
      <c r="K528" s="47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x14ac:dyDescent="0.25">
      <c r="A529" s="42"/>
      <c r="B529" s="42"/>
      <c r="C529" s="46"/>
      <c r="D529" s="46"/>
      <c r="E529" s="46"/>
      <c r="F529" s="46"/>
      <c r="G529" s="46"/>
      <c r="H529" s="46"/>
      <c r="I529" s="46"/>
      <c r="J529" s="46"/>
      <c r="K529" s="47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x14ac:dyDescent="0.25">
      <c r="A530" s="42"/>
      <c r="B530" s="42"/>
      <c r="C530" s="46"/>
      <c r="D530" s="46"/>
      <c r="E530" s="46"/>
      <c r="F530" s="46"/>
      <c r="G530" s="46"/>
      <c r="H530" s="46"/>
      <c r="I530" s="46"/>
      <c r="J530" s="46"/>
      <c r="K530" s="47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x14ac:dyDescent="0.25">
      <c r="A531" s="42"/>
      <c r="B531" s="42"/>
      <c r="C531" s="46"/>
      <c r="D531" s="46"/>
      <c r="E531" s="46"/>
      <c r="F531" s="46"/>
      <c r="G531" s="46"/>
      <c r="H531" s="46"/>
      <c r="I531" s="46"/>
      <c r="J531" s="46"/>
      <c r="K531" s="47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x14ac:dyDescent="0.25">
      <c r="A532" s="42"/>
      <c r="B532" s="42"/>
      <c r="C532" s="46"/>
      <c r="D532" s="46"/>
      <c r="E532" s="46"/>
      <c r="F532" s="46"/>
      <c r="G532" s="46"/>
      <c r="H532" s="46"/>
      <c r="I532" s="46"/>
      <c r="J532" s="46"/>
      <c r="K532" s="47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x14ac:dyDescent="0.25">
      <c r="A533" s="42"/>
      <c r="B533" s="42"/>
      <c r="C533" s="46"/>
      <c r="D533" s="46"/>
      <c r="E533" s="46"/>
      <c r="F533" s="46"/>
      <c r="G533" s="46"/>
      <c r="H533" s="46"/>
      <c r="I533" s="46"/>
      <c r="J533" s="46"/>
      <c r="K533" s="47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x14ac:dyDescent="0.25">
      <c r="A534" s="42"/>
      <c r="B534" s="42"/>
      <c r="C534" s="46"/>
      <c r="D534" s="46"/>
      <c r="E534" s="46"/>
      <c r="F534" s="46"/>
      <c r="G534" s="46"/>
      <c r="H534" s="46"/>
      <c r="I534" s="46"/>
      <c r="J534" s="46"/>
      <c r="K534" s="47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x14ac:dyDescent="0.25">
      <c r="A535" s="42"/>
      <c r="B535" s="42"/>
      <c r="C535" s="46"/>
      <c r="D535" s="46"/>
      <c r="E535" s="46"/>
      <c r="F535" s="46"/>
      <c r="G535" s="46"/>
      <c r="H535" s="46"/>
      <c r="I535" s="46"/>
      <c r="J535" s="46"/>
      <c r="K535" s="47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x14ac:dyDescent="0.25">
      <c r="A536" s="42"/>
      <c r="B536" s="42"/>
      <c r="C536" s="46"/>
      <c r="D536" s="46"/>
      <c r="E536" s="46"/>
      <c r="F536" s="46"/>
      <c r="G536" s="46"/>
      <c r="H536" s="46"/>
      <c r="I536" s="46"/>
      <c r="J536" s="46"/>
      <c r="K536" s="47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x14ac:dyDescent="0.25">
      <c r="A537" s="42"/>
      <c r="B537" s="42"/>
      <c r="C537" s="46"/>
      <c r="D537" s="46"/>
      <c r="E537" s="46"/>
      <c r="F537" s="46"/>
      <c r="G537" s="46"/>
      <c r="H537" s="46"/>
      <c r="I537" s="46"/>
      <c r="J537" s="46"/>
      <c r="K537" s="47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x14ac:dyDescent="0.25">
      <c r="A538" s="42"/>
      <c r="B538" s="42"/>
      <c r="C538" s="46"/>
      <c r="D538" s="46"/>
      <c r="E538" s="46"/>
      <c r="F538" s="46"/>
      <c r="G538" s="46"/>
      <c r="H538" s="46"/>
      <c r="I538" s="46"/>
      <c r="J538" s="46"/>
      <c r="K538" s="47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x14ac:dyDescent="0.25">
      <c r="A539" s="42"/>
      <c r="B539" s="42"/>
      <c r="C539" s="46"/>
      <c r="D539" s="46"/>
      <c r="E539" s="46"/>
      <c r="F539" s="46"/>
      <c r="G539" s="46"/>
      <c r="H539" s="46"/>
      <c r="I539" s="46"/>
      <c r="J539" s="46"/>
      <c r="K539" s="47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x14ac:dyDescent="0.25">
      <c r="A540" s="42"/>
      <c r="B540" s="42"/>
      <c r="C540" s="46"/>
      <c r="D540" s="46"/>
      <c r="E540" s="46"/>
      <c r="F540" s="46"/>
      <c r="G540" s="46"/>
      <c r="H540" s="46"/>
      <c r="I540" s="46"/>
      <c r="J540" s="46"/>
      <c r="K540" s="47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x14ac:dyDescent="0.25">
      <c r="A541" s="42"/>
      <c r="B541" s="42"/>
      <c r="C541" s="46"/>
      <c r="D541" s="46"/>
      <c r="E541" s="46"/>
      <c r="F541" s="46"/>
      <c r="G541" s="46"/>
      <c r="H541" s="46"/>
      <c r="I541" s="46"/>
      <c r="J541" s="46"/>
      <c r="K541" s="47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x14ac:dyDescent="0.25">
      <c r="A542" s="42"/>
      <c r="B542" s="42"/>
      <c r="C542" s="46"/>
      <c r="D542" s="46"/>
      <c r="E542" s="46"/>
      <c r="F542" s="46"/>
      <c r="G542" s="46"/>
      <c r="H542" s="46"/>
      <c r="I542" s="46"/>
      <c r="J542" s="46"/>
      <c r="K542" s="47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x14ac:dyDescent="0.25">
      <c r="A543" s="42"/>
      <c r="B543" s="42"/>
      <c r="C543" s="46"/>
      <c r="D543" s="46"/>
      <c r="E543" s="46"/>
      <c r="F543" s="46"/>
      <c r="G543" s="46"/>
      <c r="H543" s="46"/>
      <c r="I543" s="46"/>
      <c r="J543" s="46"/>
      <c r="K543" s="47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x14ac:dyDescent="0.25">
      <c r="A544" s="42"/>
      <c r="B544" s="42"/>
      <c r="C544" s="46"/>
      <c r="D544" s="46"/>
      <c r="E544" s="46"/>
      <c r="F544" s="46"/>
      <c r="G544" s="46"/>
      <c r="H544" s="46"/>
      <c r="I544" s="46"/>
      <c r="J544" s="46"/>
      <c r="K544" s="47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x14ac:dyDescent="0.25">
      <c r="A545" s="42"/>
      <c r="B545" s="42"/>
      <c r="C545" s="46"/>
      <c r="D545" s="46"/>
      <c r="E545" s="46"/>
      <c r="F545" s="46"/>
      <c r="G545" s="46"/>
      <c r="H545" s="46"/>
      <c r="I545" s="46"/>
      <c r="J545" s="46"/>
      <c r="K545" s="47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x14ac:dyDescent="0.25">
      <c r="A546" s="42"/>
      <c r="B546" s="42"/>
      <c r="C546" s="46"/>
      <c r="D546" s="46"/>
      <c r="E546" s="46"/>
      <c r="F546" s="46"/>
      <c r="G546" s="46"/>
      <c r="H546" s="46"/>
      <c r="I546" s="46"/>
      <c r="J546" s="46"/>
      <c r="K546" s="47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x14ac:dyDescent="0.25">
      <c r="A547" s="42"/>
      <c r="B547" s="42"/>
      <c r="C547" s="46"/>
      <c r="D547" s="46"/>
      <c r="E547" s="46"/>
      <c r="F547" s="46"/>
      <c r="G547" s="46"/>
      <c r="H547" s="46"/>
      <c r="I547" s="46"/>
      <c r="J547" s="46"/>
      <c r="K547" s="47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x14ac:dyDescent="0.25">
      <c r="A548" s="42"/>
      <c r="B548" s="42"/>
      <c r="C548" s="46"/>
      <c r="D548" s="46"/>
      <c r="E548" s="46"/>
      <c r="F548" s="46"/>
      <c r="G548" s="46"/>
      <c r="H548" s="46"/>
      <c r="I548" s="46"/>
      <c r="J548" s="46"/>
      <c r="K548" s="47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x14ac:dyDescent="0.25">
      <c r="A549" s="42"/>
      <c r="B549" s="42"/>
      <c r="C549" s="46"/>
      <c r="D549" s="46"/>
      <c r="E549" s="46"/>
      <c r="F549" s="46"/>
      <c r="G549" s="46"/>
      <c r="H549" s="46"/>
      <c r="I549" s="46"/>
      <c r="J549" s="46"/>
      <c r="K549" s="47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x14ac:dyDescent="0.25">
      <c r="A550" s="42"/>
      <c r="B550" s="42"/>
      <c r="C550" s="46"/>
      <c r="D550" s="46"/>
      <c r="E550" s="46"/>
      <c r="F550" s="46"/>
      <c r="G550" s="46"/>
      <c r="H550" s="46"/>
      <c r="I550" s="46"/>
      <c r="J550" s="46"/>
      <c r="K550" s="47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x14ac:dyDescent="0.25">
      <c r="A551" s="42"/>
      <c r="B551" s="42"/>
      <c r="C551" s="46"/>
      <c r="D551" s="46"/>
      <c r="E551" s="46"/>
      <c r="F551" s="46"/>
      <c r="G551" s="46"/>
      <c r="H551" s="46"/>
      <c r="I551" s="46"/>
      <c r="J551" s="46"/>
      <c r="K551" s="47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x14ac:dyDescent="0.25">
      <c r="A552" s="42"/>
      <c r="B552" s="42"/>
      <c r="C552" s="46"/>
      <c r="D552" s="46"/>
      <c r="E552" s="46"/>
      <c r="F552" s="46"/>
      <c r="G552" s="46"/>
      <c r="H552" s="46"/>
      <c r="I552" s="46"/>
      <c r="J552" s="46"/>
      <c r="K552" s="47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x14ac:dyDescent="0.25">
      <c r="A553" s="42"/>
      <c r="B553" s="42"/>
      <c r="C553" s="46"/>
      <c r="D553" s="46"/>
      <c r="E553" s="46"/>
      <c r="F553" s="46"/>
      <c r="G553" s="46"/>
      <c r="H553" s="46"/>
      <c r="I553" s="46"/>
      <c r="J553" s="46"/>
      <c r="K553" s="47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x14ac:dyDescent="0.25">
      <c r="A554" s="42"/>
      <c r="B554" s="42"/>
      <c r="C554" s="46"/>
      <c r="D554" s="46"/>
      <c r="E554" s="46"/>
      <c r="F554" s="46"/>
      <c r="G554" s="46"/>
      <c r="H554" s="46"/>
      <c r="I554" s="46"/>
      <c r="J554" s="46"/>
      <c r="K554" s="47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x14ac:dyDescent="0.25">
      <c r="A555" s="42"/>
      <c r="B555" s="42"/>
      <c r="C555" s="46"/>
      <c r="D555" s="46"/>
      <c r="E555" s="46"/>
      <c r="F555" s="46"/>
      <c r="G555" s="46"/>
      <c r="H555" s="46"/>
      <c r="I555" s="46"/>
      <c r="J555" s="46"/>
      <c r="K555" s="47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x14ac:dyDescent="0.25">
      <c r="A556" s="42"/>
      <c r="B556" s="42"/>
      <c r="C556" s="46"/>
      <c r="D556" s="46"/>
      <c r="E556" s="46"/>
      <c r="F556" s="46"/>
      <c r="G556" s="46"/>
      <c r="H556" s="46"/>
      <c r="I556" s="46"/>
      <c r="J556" s="46"/>
      <c r="K556" s="47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x14ac:dyDescent="0.25">
      <c r="A557" s="42"/>
      <c r="B557" s="42"/>
      <c r="C557" s="46"/>
      <c r="D557" s="46"/>
      <c r="E557" s="46"/>
      <c r="F557" s="46"/>
      <c r="G557" s="46"/>
      <c r="H557" s="46"/>
      <c r="I557" s="46"/>
      <c r="J557" s="46"/>
      <c r="K557" s="47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x14ac:dyDescent="0.25">
      <c r="A558" s="42"/>
      <c r="B558" s="42"/>
      <c r="C558" s="46"/>
      <c r="D558" s="46"/>
      <c r="E558" s="46"/>
      <c r="F558" s="46"/>
      <c r="G558" s="46"/>
      <c r="H558" s="46"/>
      <c r="I558" s="46"/>
      <c r="J558" s="46"/>
      <c r="K558" s="47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x14ac:dyDescent="0.25">
      <c r="A559" s="42"/>
      <c r="B559" s="42"/>
      <c r="C559" s="46"/>
      <c r="D559" s="46"/>
      <c r="E559" s="46"/>
      <c r="F559" s="46"/>
      <c r="G559" s="46"/>
      <c r="H559" s="46"/>
      <c r="I559" s="46"/>
      <c r="J559" s="46"/>
      <c r="K559" s="47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x14ac:dyDescent="0.25">
      <c r="A560" s="42"/>
      <c r="B560" s="42"/>
      <c r="C560" s="46"/>
      <c r="D560" s="46"/>
      <c r="E560" s="46"/>
      <c r="F560" s="46"/>
      <c r="G560" s="46"/>
      <c r="H560" s="46"/>
      <c r="I560" s="46"/>
      <c r="J560" s="46"/>
      <c r="K560" s="47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x14ac:dyDescent="0.25">
      <c r="A561" s="42"/>
      <c r="B561" s="42"/>
      <c r="C561" s="46"/>
      <c r="D561" s="46"/>
      <c r="E561" s="46"/>
      <c r="F561" s="46"/>
      <c r="G561" s="46"/>
      <c r="H561" s="46"/>
      <c r="I561" s="46"/>
      <c r="J561" s="46"/>
      <c r="K561" s="47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x14ac:dyDescent="0.25">
      <c r="A562" s="42"/>
      <c r="B562" s="42"/>
      <c r="C562" s="46"/>
      <c r="D562" s="46"/>
      <c r="E562" s="46"/>
      <c r="F562" s="46"/>
      <c r="G562" s="46"/>
      <c r="H562" s="46"/>
      <c r="I562" s="46"/>
      <c r="J562" s="46"/>
      <c r="K562" s="47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x14ac:dyDescent="0.25">
      <c r="A563" s="42"/>
      <c r="B563" s="42"/>
      <c r="C563" s="46"/>
      <c r="D563" s="46"/>
      <c r="E563" s="46"/>
      <c r="F563" s="46"/>
      <c r="G563" s="46"/>
      <c r="H563" s="46"/>
      <c r="I563" s="46"/>
      <c r="J563" s="46"/>
      <c r="K563" s="47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x14ac:dyDescent="0.25">
      <c r="A564" s="42"/>
      <c r="B564" s="42"/>
      <c r="C564" s="46"/>
      <c r="D564" s="46"/>
      <c r="E564" s="46"/>
      <c r="F564" s="46"/>
      <c r="G564" s="46"/>
      <c r="H564" s="46"/>
      <c r="I564" s="46"/>
      <c r="J564" s="46"/>
      <c r="K564" s="47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x14ac:dyDescent="0.25">
      <c r="A565" s="42"/>
      <c r="B565" s="42"/>
      <c r="C565" s="46"/>
      <c r="D565" s="46"/>
      <c r="E565" s="46"/>
      <c r="F565" s="46"/>
      <c r="G565" s="46"/>
      <c r="H565" s="46"/>
      <c r="I565" s="46"/>
      <c r="J565" s="46"/>
      <c r="K565" s="47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x14ac:dyDescent="0.25">
      <c r="A566" s="42"/>
      <c r="B566" s="42"/>
      <c r="C566" s="46"/>
      <c r="D566" s="46"/>
      <c r="E566" s="46"/>
      <c r="F566" s="46"/>
      <c r="G566" s="46"/>
      <c r="H566" s="46"/>
      <c r="I566" s="46"/>
      <c r="J566" s="46"/>
      <c r="K566" s="47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x14ac:dyDescent="0.25">
      <c r="A567" s="42"/>
      <c r="B567" s="42"/>
      <c r="C567" s="46"/>
      <c r="D567" s="46"/>
      <c r="E567" s="46"/>
      <c r="F567" s="46"/>
      <c r="G567" s="46"/>
      <c r="H567" s="46"/>
      <c r="I567" s="46"/>
      <c r="J567" s="46"/>
      <c r="K567" s="47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x14ac:dyDescent="0.25">
      <c r="A568" s="42"/>
      <c r="B568" s="42"/>
      <c r="C568" s="46"/>
      <c r="D568" s="46"/>
      <c r="E568" s="46"/>
      <c r="F568" s="46"/>
      <c r="G568" s="46"/>
      <c r="H568" s="46"/>
      <c r="I568" s="46"/>
      <c r="J568" s="46"/>
      <c r="K568" s="47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x14ac:dyDescent="0.25">
      <c r="A569" s="42"/>
      <c r="B569" s="42"/>
      <c r="C569" s="46"/>
      <c r="D569" s="46"/>
      <c r="E569" s="46"/>
      <c r="F569" s="46"/>
      <c r="G569" s="46"/>
      <c r="H569" s="46"/>
      <c r="I569" s="46"/>
      <c r="J569" s="46"/>
      <c r="K569" s="47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x14ac:dyDescent="0.25">
      <c r="A570" s="42"/>
      <c r="B570" s="42"/>
      <c r="C570" s="46"/>
      <c r="D570" s="46"/>
      <c r="E570" s="46"/>
      <c r="F570" s="46"/>
      <c r="G570" s="46"/>
      <c r="H570" s="46"/>
      <c r="I570" s="46"/>
      <c r="J570" s="46"/>
      <c r="K570" s="47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x14ac:dyDescent="0.25">
      <c r="A571" s="42"/>
      <c r="B571" s="42"/>
      <c r="C571" s="46"/>
      <c r="D571" s="46"/>
      <c r="E571" s="46"/>
      <c r="F571" s="46"/>
      <c r="G571" s="46"/>
      <c r="H571" s="46"/>
      <c r="I571" s="46"/>
      <c r="J571" s="46"/>
      <c r="K571" s="47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x14ac:dyDescent="0.25">
      <c r="A572" s="42"/>
      <c r="B572" s="42"/>
      <c r="C572" s="46"/>
      <c r="D572" s="46"/>
      <c r="E572" s="46"/>
      <c r="F572" s="46"/>
      <c r="G572" s="46"/>
      <c r="H572" s="46"/>
      <c r="I572" s="46"/>
      <c r="J572" s="46"/>
      <c r="K572" s="47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x14ac:dyDescent="0.25">
      <c r="A573" s="42"/>
      <c r="B573" s="42"/>
      <c r="C573" s="46"/>
      <c r="D573" s="46"/>
      <c r="E573" s="46"/>
      <c r="F573" s="46"/>
      <c r="G573" s="46"/>
      <c r="H573" s="46"/>
      <c r="I573" s="46"/>
      <c r="J573" s="46"/>
      <c r="K573" s="47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x14ac:dyDescent="0.25">
      <c r="A574" s="42"/>
      <c r="B574" s="42"/>
      <c r="C574" s="46"/>
      <c r="D574" s="46"/>
      <c r="E574" s="46"/>
      <c r="F574" s="46"/>
      <c r="G574" s="46"/>
      <c r="H574" s="46"/>
      <c r="I574" s="46"/>
      <c r="J574" s="46"/>
      <c r="K574" s="47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x14ac:dyDescent="0.25">
      <c r="A575" s="42"/>
      <c r="B575" s="42"/>
      <c r="C575" s="46"/>
      <c r="D575" s="46"/>
      <c r="E575" s="46"/>
      <c r="F575" s="46"/>
      <c r="G575" s="46"/>
      <c r="H575" s="46"/>
      <c r="I575" s="46"/>
      <c r="J575" s="46"/>
      <c r="K575" s="47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x14ac:dyDescent="0.25">
      <c r="A576" s="42"/>
      <c r="B576" s="42"/>
      <c r="C576" s="46"/>
      <c r="D576" s="46"/>
      <c r="E576" s="46"/>
      <c r="F576" s="46"/>
      <c r="G576" s="46"/>
      <c r="H576" s="46"/>
      <c r="I576" s="46"/>
      <c r="J576" s="46"/>
      <c r="K576" s="47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x14ac:dyDescent="0.25">
      <c r="A577" s="42"/>
      <c r="B577" s="42"/>
      <c r="C577" s="46"/>
      <c r="D577" s="46"/>
      <c r="E577" s="46"/>
      <c r="F577" s="46"/>
      <c r="G577" s="46"/>
      <c r="H577" s="46"/>
      <c r="I577" s="46"/>
      <c r="J577" s="46"/>
      <c r="K577" s="47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x14ac:dyDescent="0.25">
      <c r="A578" s="1"/>
      <c r="B578" s="1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x14ac:dyDescent="0.25">
      <c r="A579" s="1"/>
      <c r="B579" s="1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x14ac:dyDescent="0.25">
      <c r="A580" s="1"/>
      <c r="B580" s="1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x14ac:dyDescent="0.25">
      <c r="A581" s="1"/>
      <c r="B581" s="1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x14ac:dyDescent="0.25">
      <c r="A582" s="1"/>
      <c r="B582" s="1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x14ac:dyDescent="0.25">
      <c r="A583" s="1"/>
      <c r="B583" s="1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x14ac:dyDescent="0.25">
      <c r="A584" s="1"/>
      <c r="B584" s="1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x14ac:dyDescent="0.25">
      <c r="A585" s="1"/>
      <c r="B585" s="1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x14ac:dyDescent="0.25">
      <c r="A586" s="1"/>
      <c r="B586" s="1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x14ac:dyDescent="0.25">
      <c r="A587" s="1"/>
      <c r="B587" s="1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x14ac:dyDescent="0.25">
      <c r="A588" s="1"/>
      <c r="B588" s="1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x14ac:dyDescent="0.25">
      <c r="A589" s="1"/>
      <c r="B589" s="1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x14ac:dyDescent="0.25">
      <c r="A590" s="1"/>
      <c r="B590" s="1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x14ac:dyDescent="0.25">
      <c r="A591" s="1"/>
      <c r="B591" s="1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x14ac:dyDescent="0.25">
      <c r="A592" s="1"/>
      <c r="B592" s="1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x14ac:dyDescent="0.25">
      <c r="A593" s="1"/>
      <c r="B593" s="1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x14ac:dyDescent="0.25">
      <c r="A594" s="1"/>
      <c r="B594" s="1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x14ac:dyDescent="0.25">
      <c r="A595" s="1"/>
      <c r="B595" s="1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x14ac:dyDescent="0.25">
      <c r="A596" s="1"/>
      <c r="B596" s="1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x14ac:dyDescent="0.25">
      <c r="A597" s="1"/>
      <c r="B597" s="1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x14ac:dyDescent="0.25">
      <c r="A598" s="1"/>
      <c r="B598" s="1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x14ac:dyDescent="0.25">
      <c r="A599" s="1"/>
      <c r="B599" s="1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x14ac:dyDescent="0.25">
      <c r="A600" s="1"/>
      <c r="B600" s="1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x14ac:dyDescent="0.25">
      <c r="A601" s="1"/>
      <c r="B601" s="1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x14ac:dyDescent="0.25">
      <c r="A602" s="1"/>
      <c r="B602" s="1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x14ac:dyDescent="0.25">
      <c r="A603" s="1"/>
      <c r="B603" s="1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x14ac:dyDescent="0.25">
      <c r="A604" s="1"/>
      <c r="B604" s="1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x14ac:dyDescent="0.25">
      <c r="A605" s="1"/>
      <c r="B605" s="1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x14ac:dyDescent="0.25">
      <c r="A606" s="1"/>
      <c r="B606" s="1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x14ac:dyDescent="0.25">
      <c r="A607" s="1"/>
      <c r="B607" s="1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x14ac:dyDescent="0.25">
      <c r="A608" s="1"/>
      <c r="B608" s="1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x14ac:dyDescent="0.25">
      <c r="A609" s="1"/>
      <c r="B609" s="1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x14ac:dyDescent="0.25">
      <c r="A610" s="1"/>
      <c r="B610" s="1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x14ac:dyDescent="0.25">
      <c r="A611" s="1"/>
      <c r="B611" s="1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x14ac:dyDescent="0.25">
      <c r="A612" s="1"/>
      <c r="B612" s="1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x14ac:dyDescent="0.25">
      <c r="A613" s="1"/>
      <c r="B613" s="1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x14ac:dyDescent="0.25">
      <c r="A614" s="1"/>
      <c r="B614" s="1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x14ac:dyDescent="0.25">
      <c r="A615" s="1"/>
      <c r="B615" s="1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x14ac:dyDescent="0.25">
      <c r="A616" s="1"/>
      <c r="B616" s="1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x14ac:dyDescent="0.25">
      <c r="A617" s="1"/>
      <c r="B617" s="1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x14ac:dyDescent="0.25">
      <c r="A618" s="1"/>
      <c r="B618" s="1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x14ac:dyDescent="0.25">
      <c r="A619" s="1"/>
      <c r="B619" s="1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x14ac:dyDescent="0.25">
      <c r="A620" s="1"/>
      <c r="B620" s="1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x14ac:dyDescent="0.25">
      <c r="A621" s="1"/>
      <c r="B621" s="1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x14ac:dyDescent="0.25">
      <c r="A622" s="1"/>
      <c r="B622" s="1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x14ac:dyDescent="0.25">
      <c r="A623" s="1"/>
      <c r="B623" s="1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x14ac:dyDescent="0.25">
      <c r="A624" s="1"/>
      <c r="B624" s="1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x14ac:dyDescent="0.25">
      <c r="A625" s="1"/>
      <c r="B625" s="1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x14ac:dyDescent="0.25">
      <c r="A626" s="1"/>
      <c r="B626" s="1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x14ac:dyDescent="0.25">
      <c r="A627" s="1"/>
      <c r="B627" s="1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x14ac:dyDescent="0.25">
      <c r="A628" s="1"/>
      <c r="B628" s="1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x14ac:dyDescent="0.25">
      <c r="A629" s="1"/>
      <c r="B629" s="1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x14ac:dyDescent="0.25">
      <c r="A630" s="1"/>
      <c r="B630" s="1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x14ac:dyDescent="0.25">
      <c r="A631" s="1"/>
      <c r="B631" s="1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x14ac:dyDescent="0.25">
      <c r="A632" s="1"/>
      <c r="B632" s="1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x14ac:dyDescent="0.25">
      <c r="A633" s="1"/>
      <c r="B633" s="1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x14ac:dyDescent="0.25">
      <c r="A634" s="1"/>
      <c r="B634" s="1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x14ac:dyDescent="0.25">
      <c r="A635" s="1"/>
      <c r="B635" s="1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x14ac:dyDescent="0.25">
      <c r="A636" s="1"/>
      <c r="B636" s="1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x14ac:dyDescent="0.25">
      <c r="A637" s="1"/>
      <c r="B637" s="1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x14ac:dyDescent="0.25">
      <c r="A638" s="1"/>
      <c r="B638" s="1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x14ac:dyDescent="0.25">
      <c r="A639" s="1"/>
      <c r="B639" s="1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x14ac:dyDescent="0.25">
      <c r="A640" s="1"/>
      <c r="B640" s="1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x14ac:dyDescent="0.25">
      <c r="A641" s="1"/>
      <c r="B641" s="1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x14ac:dyDescent="0.25">
      <c r="A642" s="1"/>
      <c r="B642" s="1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x14ac:dyDescent="0.25">
      <c r="A643" s="1"/>
      <c r="B643" s="1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x14ac:dyDescent="0.25">
      <c r="A644" s="1"/>
      <c r="B644" s="1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x14ac:dyDescent="0.25">
      <c r="A645" s="1"/>
      <c r="B645" s="1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x14ac:dyDescent="0.25">
      <c r="A646" s="1"/>
      <c r="B646" s="1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x14ac:dyDescent="0.25">
      <c r="A647" s="1"/>
      <c r="B647" s="1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x14ac:dyDescent="0.25">
      <c r="A648" s="1"/>
      <c r="B648" s="1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x14ac:dyDescent="0.25">
      <c r="A649" s="1"/>
      <c r="B649" s="1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x14ac:dyDescent="0.25">
      <c r="A650" s="1"/>
      <c r="B650" s="1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x14ac:dyDescent="0.25">
      <c r="A651" s="1"/>
      <c r="B651" s="1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x14ac:dyDescent="0.25">
      <c r="A652" s="1"/>
      <c r="B652" s="1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x14ac:dyDescent="0.25">
      <c r="A653" s="1"/>
      <c r="B653" s="1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x14ac:dyDescent="0.25">
      <c r="A654" s="1"/>
      <c r="B654" s="1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x14ac:dyDescent="0.25">
      <c r="A655" s="1"/>
      <c r="B655" s="1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x14ac:dyDescent="0.25">
      <c r="A656" s="1"/>
      <c r="B656" s="1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x14ac:dyDescent="0.25">
      <c r="A657" s="1"/>
      <c r="B657" s="1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x14ac:dyDescent="0.25">
      <c r="A658" s="1"/>
      <c r="B658" s="1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x14ac:dyDescent="0.25">
      <c r="A659" s="1"/>
      <c r="B659" s="1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x14ac:dyDescent="0.25">
      <c r="A660" s="1"/>
      <c r="B660" s="1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x14ac:dyDescent="0.25">
      <c r="A661" s="1"/>
      <c r="B661" s="1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x14ac:dyDescent="0.25">
      <c r="A662" s="1"/>
      <c r="B662" s="1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x14ac:dyDescent="0.25">
      <c r="A663" s="1"/>
      <c r="B663" s="1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x14ac:dyDescent="0.25">
      <c r="A664" s="1"/>
      <c r="B664" s="1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x14ac:dyDescent="0.25">
      <c r="A665" s="1"/>
      <c r="B665" s="1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x14ac:dyDescent="0.25">
      <c r="A666" s="1"/>
      <c r="B666" s="1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x14ac:dyDescent="0.25">
      <c r="A667" s="1"/>
      <c r="B667" s="1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x14ac:dyDescent="0.25">
      <c r="A668" s="1"/>
      <c r="B668" s="1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x14ac:dyDescent="0.25">
      <c r="A669" s="1"/>
      <c r="B669" s="1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x14ac:dyDescent="0.25">
      <c r="A670" s="1"/>
      <c r="B670" s="1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x14ac:dyDescent="0.25">
      <c r="A671" s="1"/>
      <c r="B671" s="1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x14ac:dyDescent="0.25">
      <c r="A672" s="1"/>
      <c r="B672" s="1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x14ac:dyDescent="0.25">
      <c r="A673" s="1"/>
      <c r="B673" s="1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x14ac:dyDescent="0.25">
      <c r="A674" s="1"/>
      <c r="B674" s="1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x14ac:dyDescent="0.25">
      <c r="A675" s="1"/>
      <c r="B675" s="1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x14ac:dyDescent="0.25">
      <c r="A676" s="1"/>
      <c r="B676" s="1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x14ac:dyDescent="0.25">
      <c r="A677" s="1"/>
      <c r="B677" s="1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x14ac:dyDescent="0.25">
      <c r="A678" s="1"/>
      <c r="B678" s="1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x14ac:dyDescent="0.25">
      <c r="A679" s="1"/>
      <c r="B679" s="1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x14ac:dyDescent="0.25">
      <c r="A680" s="1"/>
      <c r="B680" s="1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x14ac:dyDescent="0.25">
      <c r="A681" s="1"/>
      <c r="B681" s="1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x14ac:dyDescent="0.25">
      <c r="A682" s="1"/>
      <c r="B682" s="1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x14ac:dyDescent="0.25">
      <c r="A683" s="1"/>
      <c r="B683" s="1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x14ac:dyDescent="0.25">
      <c r="A684" s="1"/>
      <c r="B684" s="1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x14ac:dyDescent="0.25">
      <c r="A685" s="1"/>
      <c r="B685" s="1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x14ac:dyDescent="0.25">
      <c r="A686" s="1"/>
      <c r="B686" s="1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x14ac:dyDescent="0.25">
      <c r="A687" s="1"/>
      <c r="B687" s="1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x14ac:dyDescent="0.25">
      <c r="A688" s="1"/>
      <c r="B688" s="1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x14ac:dyDescent="0.25">
      <c r="A689" s="1"/>
      <c r="B689" s="1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x14ac:dyDescent="0.25">
      <c r="A690" s="1"/>
      <c r="B690" s="1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x14ac:dyDescent="0.25">
      <c r="A691" s="1"/>
      <c r="B691" s="1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x14ac:dyDescent="0.25">
      <c r="A692" s="1"/>
      <c r="B692" s="1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x14ac:dyDescent="0.25">
      <c r="A693" s="1"/>
      <c r="B693" s="1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x14ac:dyDescent="0.25">
      <c r="A694" s="1"/>
      <c r="B694" s="1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x14ac:dyDescent="0.25">
      <c r="A695" s="1"/>
      <c r="B695" s="1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x14ac:dyDescent="0.25">
      <c r="A696" s="1"/>
      <c r="B696" s="1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x14ac:dyDescent="0.25">
      <c r="A697" s="1"/>
      <c r="B697" s="1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x14ac:dyDescent="0.25">
      <c r="A698" s="1"/>
      <c r="B698" s="1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x14ac:dyDescent="0.25">
      <c r="A699" s="1"/>
      <c r="B699" s="1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x14ac:dyDescent="0.25">
      <c r="A700" s="1"/>
      <c r="B700" s="1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x14ac:dyDescent="0.25">
      <c r="A701" s="1"/>
      <c r="B701" s="1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x14ac:dyDescent="0.25">
      <c r="A702" s="1"/>
      <c r="B702" s="1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x14ac:dyDescent="0.25">
      <c r="A703" s="1"/>
      <c r="B703" s="1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x14ac:dyDescent="0.25">
      <c r="A704" s="1"/>
      <c r="B704" s="1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x14ac:dyDescent="0.25">
      <c r="A705" s="1"/>
      <c r="B705" s="1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x14ac:dyDescent="0.25">
      <c r="A706" s="1"/>
      <c r="B706" s="1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x14ac:dyDescent="0.25">
      <c r="A707" s="1"/>
      <c r="B707" s="1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x14ac:dyDescent="0.25">
      <c r="A708" s="1"/>
      <c r="B708" s="1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x14ac:dyDescent="0.25">
      <c r="A709" s="1"/>
      <c r="B709" s="1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x14ac:dyDescent="0.25">
      <c r="A710" s="1"/>
      <c r="B710" s="1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x14ac:dyDescent="0.25">
      <c r="A711" s="1"/>
      <c r="B711" s="1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x14ac:dyDescent="0.25">
      <c r="A712" s="1"/>
      <c r="B712" s="1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x14ac:dyDescent="0.25">
      <c r="A713" s="1"/>
      <c r="B713" s="1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x14ac:dyDescent="0.25">
      <c r="A714" s="1"/>
      <c r="B714" s="1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x14ac:dyDescent="0.25">
      <c r="A715" s="1"/>
      <c r="B715" s="1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x14ac:dyDescent="0.25">
      <c r="A716" s="1"/>
      <c r="B716" s="1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x14ac:dyDescent="0.25">
      <c r="A717" s="1"/>
      <c r="B717" s="1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x14ac:dyDescent="0.25">
      <c r="A718" s="1"/>
      <c r="B718" s="1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x14ac:dyDescent="0.25">
      <c r="A719" s="1"/>
      <c r="B719" s="1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x14ac:dyDescent="0.25">
      <c r="A720" s="1"/>
      <c r="B720" s="1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x14ac:dyDescent="0.25">
      <c r="A721" s="1"/>
      <c r="B721" s="1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x14ac:dyDescent="0.25">
      <c r="A722" s="1"/>
      <c r="B722" s="1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x14ac:dyDescent="0.25">
      <c r="A723" s="1"/>
      <c r="B723" s="1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x14ac:dyDescent="0.25">
      <c r="A724" s="1"/>
      <c r="B724" s="1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x14ac:dyDescent="0.25">
      <c r="A725" s="1"/>
      <c r="B725" s="1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x14ac:dyDescent="0.25">
      <c r="A726" s="1"/>
      <c r="B726" s="1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x14ac:dyDescent="0.25">
      <c r="A727" s="1"/>
      <c r="B727" s="1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x14ac:dyDescent="0.25">
      <c r="A728" s="1"/>
      <c r="B728" s="1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x14ac:dyDescent="0.25">
      <c r="A729" s="1"/>
      <c r="B729" s="1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x14ac:dyDescent="0.25">
      <c r="A730" s="1"/>
      <c r="B730" s="1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x14ac:dyDescent="0.25">
      <c r="A731" s="1"/>
      <c r="B731" s="1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x14ac:dyDescent="0.25">
      <c r="A732" s="1"/>
      <c r="B732" s="1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x14ac:dyDescent="0.25">
      <c r="A733" s="1"/>
      <c r="B733" s="1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x14ac:dyDescent="0.25">
      <c r="A734" s="1"/>
      <c r="B734" s="1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x14ac:dyDescent="0.25">
      <c r="A735" s="1"/>
      <c r="B735" s="1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x14ac:dyDescent="0.25">
      <c r="A736" s="1"/>
      <c r="B736" s="1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x14ac:dyDescent="0.25">
      <c r="A737" s="1"/>
      <c r="B737" s="1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x14ac:dyDescent="0.25">
      <c r="A738" s="1"/>
      <c r="B738" s="1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x14ac:dyDescent="0.25">
      <c r="A739" s="1"/>
      <c r="B739" s="1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x14ac:dyDescent="0.25">
      <c r="A740" s="1"/>
      <c r="B740" s="1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x14ac:dyDescent="0.25">
      <c r="A741" s="1"/>
      <c r="B741" s="1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x14ac:dyDescent="0.25">
      <c r="A742" s="1"/>
      <c r="B742" s="1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x14ac:dyDescent="0.25">
      <c r="A743" s="1"/>
      <c r="B743" s="1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x14ac:dyDescent="0.25">
      <c r="A744" s="1"/>
      <c r="B744" s="1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x14ac:dyDescent="0.25">
      <c r="A745" s="1"/>
      <c r="B745" s="1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x14ac:dyDescent="0.25">
      <c r="A746" s="1"/>
      <c r="B746" s="1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x14ac:dyDescent="0.25">
      <c r="A747" s="1"/>
      <c r="B747" s="1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x14ac:dyDescent="0.25">
      <c r="A748" s="1"/>
      <c r="B748" s="1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x14ac:dyDescent="0.25">
      <c r="A749" s="1"/>
      <c r="B749" s="1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x14ac:dyDescent="0.25">
      <c r="A750" s="1"/>
      <c r="B750" s="1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x14ac:dyDescent="0.25">
      <c r="A751" s="1"/>
      <c r="B751" s="1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x14ac:dyDescent="0.25">
      <c r="A752" s="1"/>
      <c r="B752" s="1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x14ac:dyDescent="0.25">
      <c r="A753" s="1"/>
      <c r="B753" s="1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x14ac:dyDescent="0.25">
      <c r="A754" s="1"/>
      <c r="B754" s="1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x14ac:dyDescent="0.25">
      <c r="A755" s="1"/>
      <c r="B755" s="1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x14ac:dyDescent="0.25">
      <c r="A756" s="1"/>
      <c r="B756" s="1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x14ac:dyDescent="0.25">
      <c r="A757" s="1"/>
      <c r="B757" s="1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x14ac:dyDescent="0.25">
      <c r="A758" s="1"/>
      <c r="B758" s="1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x14ac:dyDescent="0.25">
      <c r="A759" s="1"/>
      <c r="B759" s="1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x14ac:dyDescent="0.25">
      <c r="A760" s="1"/>
      <c r="B760" s="1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x14ac:dyDescent="0.25">
      <c r="A761" s="1"/>
      <c r="B761" s="1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x14ac:dyDescent="0.25">
      <c r="A762" s="1"/>
      <c r="B762" s="1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x14ac:dyDescent="0.25">
      <c r="A763" s="1"/>
      <c r="B763" s="1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x14ac:dyDescent="0.25">
      <c r="A764" s="1"/>
      <c r="B764" s="1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x14ac:dyDescent="0.25">
      <c r="A765" s="1"/>
      <c r="B765" s="1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x14ac:dyDescent="0.25">
      <c r="A766" s="1"/>
      <c r="B766" s="1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x14ac:dyDescent="0.25">
      <c r="A767" s="1"/>
      <c r="B767" s="1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x14ac:dyDescent="0.25">
      <c r="A768" s="1"/>
      <c r="B768" s="1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x14ac:dyDescent="0.25">
      <c r="A769" s="1"/>
      <c r="B769" s="1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x14ac:dyDescent="0.25">
      <c r="A770" s="1"/>
      <c r="B770" s="1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x14ac:dyDescent="0.25">
      <c r="A771" s="1"/>
      <c r="B771" s="1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x14ac:dyDescent="0.25">
      <c r="A772" s="1"/>
      <c r="B772" s="1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x14ac:dyDescent="0.25">
      <c r="A773" s="1"/>
      <c r="B773" s="1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x14ac:dyDescent="0.25">
      <c r="A774" s="1"/>
      <c r="B774" s="1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x14ac:dyDescent="0.25">
      <c r="A775" s="1"/>
      <c r="B775" s="1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x14ac:dyDescent="0.25">
      <c r="A776" s="1"/>
      <c r="B776" s="1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x14ac:dyDescent="0.25">
      <c r="A777" s="1"/>
      <c r="B777" s="1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x14ac:dyDescent="0.25">
      <c r="A778" s="1"/>
      <c r="B778" s="1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x14ac:dyDescent="0.25">
      <c r="A779" s="1"/>
      <c r="B779" s="1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x14ac:dyDescent="0.25">
      <c r="A780" s="1"/>
      <c r="B780" s="1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x14ac:dyDescent="0.25">
      <c r="A781" s="1"/>
      <c r="B781" s="1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x14ac:dyDescent="0.25">
      <c r="A782" s="1"/>
      <c r="B782" s="1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x14ac:dyDescent="0.25">
      <c r="A783" s="1"/>
      <c r="B783" s="1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x14ac:dyDescent="0.25">
      <c r="A784" s="1"/>
      <c r="B784" s="1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x14ac:dyDescent="0.25">
      <c r="A785" s="1"/>
      <c r="B785" s="1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x14ac:dyDescent="0.25">
      <c r="A786" s="1"/>
      <c r="B786" s="1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x14ac:dyDescent="0.25">
      <c r="A787" s="1"/>
      <c r="B787" s="1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x14ac:dyDescent="0.25">
      <c r="A788" s="1"/>
      <c r="B788" s="1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x14ac:dyDescent="0.25">
      <c r="A789" s="1"/>
      <c r="B789" s="1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x14ac:dyDescent="0.25">
      <c r="A790" s="1"/>
      <c r="B790" s="1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x14ac:dyDescent="0.25">
      <c r="A791" s="1"/>
      <c r="B791" s="1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x14ac:dyDescent="0.25">
      <c r="A792" s="1"/>
      <c r="B792" s="1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x14ac:dyDescent="0.25">
      <c r="A793" s="1"/>
      <c r="B793" s="1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x14ac:dyDescent="0.25">
      <c r="A794" s="1"/>
      <c r="B794" s="1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x14ac:dyDescent="0.25">
      <c r="A795" s="1"/>
      <c r="B795" s="1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x14ac:dyDescent="0.25">
      <c r="A796" s="1"/>
      <c r="B796" s="1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x14ac:dyDescent="0.25">
      <c r="A797" s="1"/>
      <c r="B797" s="1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x14ac:dyDescent="0.25">
      <c r="A798" s="1"/>
      <c r="B798" s="1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x14ac:dyDescent="0.25">
      <c r="A799" s="1"/>
      <c r="B799" s="1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x14ac:dyDescent="0.25">
      <c r="A800" s="1"/>
      <c r="B800" s="1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x14ac:dyDescent="0.25">
      <c r="A801" s="1"/>
      <c r="B801" s="1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x14ac:dyDescent="0.25">
      <c r="A802" s="1"/>
      <c r="B802" s="1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x14ac:dyDescent="0.25">
      <c r="A803" s="1"/>
      <c r="B803" s="1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x14ac:dyDescent="0.25">
      <c r="A804" s="1"/>
      <c r="B804" s="1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x14ac:dyDescent="0.25">
      <c r="A805" s="1"/>
      <c r="B805" s="1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x14ac:dyDescent="0.25">
      <c r="A806" s="1"/>
      <c r="B806" s="1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x14ac:dyDescent="0.25">
      <c r="A807" s="1"/>
      <c r="B807" s="1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x14ac:dyDescent="0.25">
      <c r="A808" s="1"/>
      <c r="B808" s="1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x14ac:dyDescent="0.25">
      <c r="A809" s="1"/>
      <c r="B809" s="1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x14ac:dyDescent="0.25">
      <c r="A810" s="1"/>
      <c r="B810" s="1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x14ac:dyDescent="0.25">
      <c r="A811" s="1"/>
      <c r="B811" s="1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x14ac:dyDescent="0.25">
      <c r="A812" s="1"/>
      <c r="B812" s="1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x14ac:dyDescent="0.25">
      <c r="A813" s="1"/>
      <c r="B813" s="1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x14ac:dyDescent="0.25">
      <c r="A814" s="1"/>
      <c r="B814" s="1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x14ac:dyDescent="0.25">
      <c r="A815" s="1"/>
      <c r="B815" s="1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x14ac:dyDescent="0.25">
      <c r="A816" s="1"/>
      <c r="B816" s="1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x14ac:dyDescent="0.25">
      <c r="A817" s="1"/>
      <c r="B817" s="1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x14ac:dyDescent="0.25">
      <c r="A818" s="1"/>
      <c r="B818" s="1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x14ac:dyDescent="0.25">
      <c r="A819" s="1"/>
      <c r="B819" s="1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x14ac:dyDescent="0.25">
      <c r="A820" s="1"/>
      <c r="B820" s="1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x14ac:dyDescent="0.25">
      <c r="A821" s="1"/>
      <c r="B821" s="1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x14ac:dyDescent="0.25">
      <c r="A822" s="1"/>
      <c r="B822" s="1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x14ac:dyDescent="0.25">
      <c r="A823" s="1"/>
      <c r="B823" s="1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x14ac:dyDescent="0.25">
      <c r="A824" s="1"/>
      <c r="B824" s="1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x14ac:dyDescent="0.25">
      <c r="A825" s="1"/>
      <c r="B825" s="1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x14ac:dyDescent="0.25">
      <c r="A826" s="1"/>
      <c r="B826" s="1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x14ac:dyDescent="0.25">
      <c r="A827" s="1"/>
      <c r="B827" s="1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x14ac:dyDescent="0.25">
      <c r="A828" s="1"/>
      <c r="B828" s="1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x14ac:dyDescent="0.25">
      <c r="A829" s="1"/>
      <c r="B829" s="1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x14ac:dyDescent="0.25">
      <c r="A830" s="1"/>
      <c r="B830" s="1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x14ac:dyDescent="0.25">
      <c r="A831" s="1"/>
      <c r="B831" s="1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x14ac:dyDescent="0.25">
      <c r="A832" s="1"/>
      <c r="B832" s="1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x14ac:dyDescent="0.25">
      <c r="A833" s="1"/>
      <c r="B833" s="1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x14ac:dyDescent="0.25">
      <c r="A834" s="1"/>
      <c r="B834" s="1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x14ac:dyDescent="0.25">
      <c r="A835" s="1"/>
      <c r="B835" s="1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x14ac:dyDescent="0.25">
      <c r="A836" s="1"/>
      <c r="B836" s="1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x14ac:dyDescent="0.25">
      <c r="A837" s="1"/>
      <c r="B837" s="1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x14ac:dyDescent="0.25">
      <c r="A838" s="1"/>
      <c r="B838" s="1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x14ac:dyDescent="0.25">
      <c r="A839" s="1"/>
      <c r="B839" s="1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x14ac:dyDescent="0.25">
      <c r="A840" s="1"/>
      <c r="B840" s="1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x14ac:dyDescent="0.25">
      <c r="A841" s="1"/>
      <c r="B841" s="1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x14ac:dyDescent="0.25">
      <c r="A842" s="1"/>
      <c r="B842" s="1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x14ac:dyDescent="0.25">
      <c r="A843" s="1"/>
      <c r="B843" s="1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x14ac:dyDescent="0.25">
      <c r="A844" s="1"/>
      <c r="B844" s="1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x14ac:dyDescent="0.25">
      <c r="A845" s="1"/>
      <c r="B845" s="1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x14ac:dyDescent="0.25">
      <c r="A846" s="1"/>
      <c r="B846" s="1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x14ac:dyDescent="0.25">
      <c r="A847" s="1"/>
      <c r="B847" s="1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x14ac:dyDescent="0.25">
      <c r="A848" s="1"/>
      <c r="B848" s="1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x14ac:dyDescent="0.25">
      <c r="A849" s="1"/>
      <c r="B849" s="1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x14ac:dyDescent="0.25">
      <c r="A850" s="1"/>
      <c r="B850" s="1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x14ac:dyDescent="0.25">
      <c r="A851" s="1"/>
      <c r="B851" s="1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x14ac:dyDescent="0.25">
      <c r="A852" s="1"/>
      <c r="B852" s="1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x14ac:dyDescent="0.25">
      <c r="A853" s="1"/>
      <c r="B853" s="1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x14ac:dyDescent="0.25">
      <c r="A854" s="1"/>
      <c r="B854" s="1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x14ac:dyDescent="0.25">
      <c r="A855" s="1"/>
      <c r="B855" s="1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x14ac:dyDescent="0.25">
      <c r="A856" s="1"/>
      <c r="B856" s="1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x14ac:dyDescent="0.25">
      <c r="A857" s="1"/>
      <c r="B857" s="1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x14ac:dyDescent="0.25">
      <c r="A858" s="1"/>
      <c r="B858" s="1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x14ac:dyDescent="0.25">
      <c r="A859" s="1"/>
      <c r="B859" s="1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x14ac:dyDescent="0.25">
      <c r="A860" s="1"/>
      <c r="B860" s="1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x14ac:dyDescent="0.25">
      <c r="A861" s="1"/>
      <c r="B861" s="1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x14ac:dyDescent="0.25">
      <c r="A862" s="1"/>
      <c r="B862" s="1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x14ac:dyDescent="0.25">
      <c r="A863" s="1"/>
      <c r="B863" s="1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x14ac:dyDescent="0.25">
      <c r="A864" s="1"/>
      <c r="B864" s="1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x14ac:dyDescent="0.25">
      <c r="A865" s="1"/>
      <c r="B865" s="1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x14ac:dyDescent="0.25">
      <c r="A866" s="1"/>
      <c r="B866" s="1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x14ac:dyDescent="0.25">
      <c r="A867" s="1"/>
      <c r="B867" s="1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x14ac:dyDescent="0.25">
      <c r="A868" s="1"/>
      <c r="B868" s="1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x14ac:dyDescent="0.25">
      <c r="A869" s="1"/>
      <c r="B869" s="1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x14ac:dyDescent="0.25">
      <c r="A870" s="1"/>
      <c r="B870" s="1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x14ac:dyDescent="0.25">
      <c r="A871" s="1"/>
      <c r="B871" s="1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x14ac:dyDescent="0.25">
      <c r="A872" s="1"/>
      <c r="B872" s="1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x14ac:dyDescent="0.25">
      <c r="A873" s="1"/>
      <c r="B873" s="1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x14ac:dyDescent="0.25">
      <c r="A874" s="1"/>
      <c r="B874" s="1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x14ac:dyDescent="0.25">
      <c r="A875" s="1"/>
      <c r="B875" s="1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x14ac:dyDescent="0.25">
      <c r="A876" s="1"/>
      <c r="B876" s="1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x14ac:dyDescent="0.25">
      <c r="A877" s="1"/>
      <c r="B877" s="1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x14ac:dyDescent="0.25">
      <c r="A878" s="1"/>
      <c r="B878" s="1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x14ac:dyDescent="0.25">
      <c r="A879" s="1"/>
      <c r="B879" s="1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x14ac:dyDescent="0.25">
      <c r="A880" s="1"/>
      <c r="B880" s="1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x14ac:dyDescent="0.25">
      <c r="A881" s="1"/>
      <c r="B881" s="1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x14ac:dyDescent="0.25">
      <c r="A882" s="1"/>
      <c r="B882" s="1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x14ac:dyDescent="0.25">
      <c r="A883" s="1"/>
      <c r="B883" s="1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x14ac:dyDescent="0.25">
      <c r="A884" s="1"/>
      <c r="B884" s="1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x14ac:dyDescent="0.25">
      <c r="A885" s="1"/>
      <c r="B885" s="1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x14ac:dyDescent="0.25">
      <c r="A886" s="1"/>
      <c r="B886" s="1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x14ac:dyDescent="0.25">
      <c r="A887" s="1"/>
      <c r="B887" s="1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x14ac:dyDescent="0.25">
      <c r="A888" s="1"/>
      <c r="B888" s="1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x14ac:dyDescent="0.25">
      <c r="A889" s="1"/>
      <c r="B889" s="1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x14ac:dyDescent="0.25">
      <c r="A890" s="1"/>
      <c r="B890" s="1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x14ac:dyDescent="0.25">
      <c r="A891" s="1"/>
      <c r="B891" s="1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x14ac:dyDescent="0.25">
      <c r="A892" s="1"/>
      <c r="B892" s="1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x14ac:dyDescent="0.25">
      <c r="A893" s="1"/>
      <c r="B893" s="1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x14ac:dyDescent="0.25">
      <c r="A894" s="1"/>
      <c r="B894" s="1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x14ac:dyDescent="0.25">
      <c r="A895" s="1"/>
      <c r="B895" s="1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x14ac:dyDescent="0.25">
      <c r="A896" s="1"/>
      <c r="B896" s="1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x14ac:dyDescent="0.25">
      <c r="A897" s="1"/>
      <c r="B897" s="1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x14ac:dyDescent="0.25">
      <c r="A898" s="1"/>
      <c r="B898" s="1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x14ac:dyDescent="0.25">
      <c r="A899" s="1"/>
      <c r="B899" s="1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x14ac:dyDescent="0.25">
      <c r="A900" s="1"/>
      <c r="B900" s="1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x14ac:dyDescent="0.25">
      <c r="A901" s="1"/>
      <c r="B901" s="1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x14ac:dyDescent="0.25">
      <c r="A902" s="1"/>
      <c r="B902" s="1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x14ac:dyDescent="0.25">
      <c r="A903" s="1"/>
      <c r="B903" s="1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x14ac:dyDescent="0.25">
      <c r="A904" s="1"/>
      <c r="B904" s="1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x14ac:dyDescent="0.25">
      <c r="A905" s="1"/>
      <c r="B905" s="1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x14ac:dyDescent="0.25">
      <c r="A906" s="1"/>
      <c r="B906" s="1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x14ac:dyDescent="0.25">
      <c r="A907" s="1"/>
      <c r="B907" s="1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x14ac:dyDescent="0.25">
      <c r="A908" s="1"/>
      <c r="B908" s="1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x14ac:dyDescent="0.25">
      <c r="A909" s="1"/>
      <c r="B909" s="1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x14ac:dyDescent="0.25">
      <c r="A910" s="1"/>
      <c r="B910" s="1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x14ac:dyDescent="0.25">
      <c r="A911" s="1"/>
      <c r="B911" s="1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x14ac:dyDescent="0.25">
      <c r="A912" s="1"/>
      <c r="B912" s="1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x14ac:dyDescent="0.25">
      <c r="A913" s="1"/>
      <c r="B913" s="1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x14ac:dyDescent="0.25">
      <c r="A914" s="1"/>
      <c r="B914" s="1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x14ac:dyDescent="0.25">
      <c r="A915" s="1"/>
      <c r="B915" s="1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x14ac:dyDescent="0.25">
      <c r="A916" s="1"/>
      <c r="B916" s="1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x14ac:dyDescent="0.25">
      <c r="A917" s="1"/>
      <c r="B917" s="1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x14ac:dyDescent="0.25">
      <c r="A918" s="1"/>
      <c r="B918" s="1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x14ac:dyDescent="0.25">
      <c r="A919" s="1"/>
      <c r="B919" s="1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x14ac:dyDescent="0.25">
      <c r="A920" s="1"/>
      <c r="B920" s="1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x14ac:dyDescent="0.25">
      <c r="A921" s="1"/>
      <c r="B921" s="1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x14ac:dyDescent="0.25">
      <c r="A922" s="1"/>
      <c r="B922" s="1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x14ac:dyDescent="0.25">
      <c r="A923" s="1"/>
      <c r="B923" s="1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x14ac:dyDescent="0.25">
      <c r="A924" s="1"/>
      <c r="B924" s="1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x14ac:dyDescent="0.25">
      <c r="A925" s="1"/>
      <c r="B925" s="1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x14ac:dyDescent="0.25">
      <c r="A926" s="1"/>
      <c r="B926" s="1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x14ac:dyDescent="0.25">
      <c r="A927" s="1"/>
      <c r="B927" s="1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x14ac:dyDescent="0.25">
      <c r="A928" s="1"/>
      <c r="B928" s="1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x14ac:dyDescent="0.25">
      <c r="A929" s="1"/>
      <c r="B929" s="1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x14ac:dyDescent="0.25">
      <c r="A930" s="1"/>
      <c r="B930" s="1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x14ac:dyDescent="0.25">
      <c r="A931" s="1"/>
      <c r="B931" s="1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x14ac:dyDescent="0.25">
      <c r="A932" s="1"/>
      <c r="B932" s="1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x14ac:dyDescent="0.25">
      <c r="A933" s="1"/>
      <c r="B933" s="1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x14ac:dyDescent="0.25">
      <c r="A934" s="1"/>
      <c r="B934" s="1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x14ac:dyDescent="0.25">
      <c r="A935" s="1"/>
      <c r="B935" s="1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x14ac:dyDescent="0.25">
      <c r="A936" s="1"/>
      <c r="B936" s="1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x14ac:dyDescent="0.25">
      <c r="A937" s="1"/>
      <c r="B937" s="1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x14ac:dyDescent="0.25">
      <c r="A938" s="1"/>
      <c r="B938" s="1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x14ac:dyDescent="0.25">
      <c r="A939" s="1"/>
      <c r="B939" s="1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x14ac:dyDescent="0.25">
      <c r="A940" s="1"/>
      <c r="B940" s="1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x14ac:dyDescent="0.25">
      <c r="A941" s="1"/>
      <c r="B941" s="1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x14ac:dyDescent="0.25">
      <c r="A942" s="1"/>
      <c r="B942" s="1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x14ac:dyDescent="0.25">
      <c r="A943" s="1"/>
      <c r="B943" s="1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x14ac:dyDescent="0.25">
      <c r="A944" s="1"/>
      <c r="B944" s="1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x14ac:dyDescent="0.25">
      <c r="A945" s="1"/>
      <c r="B945" s="1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x14ac:dyDescent="0.25">
      <c r="A946" s="1"/>
      <c r="B946" s="1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x14ac:dyDescent="0.25">
      <c r="A947" s="1"/>
      <c r="B947" s="1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x14ac:dyDescent="0.25">
      <c r="A948" s="1"/>
      <c r="B948" s="1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x14ac:dyDescent="0.25">
      <c r="A949" s="1"/>
      <c r="B949" s="1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x14ac:dyDescent="0.25">
      <c r="A950" s="1"/>
      <c r="B950" s="1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x14ac:dyDescent="0.25">
      <c r="A951" s="1"/>
      <c r="B951" s="1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x14ac:dyDescent="0.25">
      <c r="A952" s="1"/>
      <c r="B952" s="1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x14ac:dyDescent="0.25">
      <c r="A953" s="1"/>
      <c r="B953" s="1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x14ac:dyDescent="0.25">
      <c r="A954" s="1"/>
      <c r="B954" s="1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x14ac:dyDescent="0.25">
      <c r="A955" s="1"/>
      <c r="B955" s="1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x14ac:dyDescent="0.25">
      <c r="A956" s="1"/>
      <c r="B956" s="1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x14ac:dyDescent="0.25">
      <c r="A957" s="1"/>
      <c r="B957" s="1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x14ac:dyDescent="0.25">
      <c r="A958" s="1"/>
      <c r="B958" s="1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x14ac:dyDescent="0.25">
      <c r="A959" s="1"/>
      <c r="B959" s="1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x14ac:dyDescent="0.25">
      <c r="A960" s="1"/>
      <c r="B960" s="1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x14ac:dyDescent="0.25">
      <c r="A961" s="1"/>
      <c r="B961" s="1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x14ac:dyDescent="0.25">
      <c r="A962" s="1"/>
      <c r="B962" s="1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x14ac:dyDescent="0.25">
      <c r="A963" s="1"/>
      <c r="B963" s="1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x14ac:dyDescent="0.25">
      <c r="A964" s="1"/>
      <c r="B964" s="1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x14ac:dyDescent="0.25">
      <c r="A965" s="1"/>
      <c r="B965" s="1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x14ac:dyDescent="0.25">
      <c r="A966" s="1"/>
      <c r="B966" s="1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x14ac:dyDescent="0.25">
      <c r="A967" s="1"/>
      <c r="B967" s="1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x14ac:dyDescent="0.25">
      <c r="A968" s="1"/>
      <c r="B968" s="1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x14ac:dyDescent="0.25">
      <c r="A969" s="1"/>
      <c r="B969" s="1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x14ac:dyDescent="0.25">
      <c r="A970" s="1"/>
      <c r="B970" s="1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x14ac:dyDescent="0.25">
      <c r="A971" s="1"/>
      <c r="B971" s="1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x14ac:dyDescent="0.25">
      <c r="A972" s="1"/>
      <c r="B972" s="1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x14ac:dyDescent="0.25">
      <c r="A973" s="1"/>
      <c r="B973" s="1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x14ac:dyDescent="0.25">
      <c r="A974" s="1"/>
      <c r="B974" s="1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x14ac:dyDescent="0.25">
      <c r="A975" s="1"/>
      <c r="B975" s="1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x14ac:dyDescent="0.25">
      <c r="A976" s="1"/>
      <c r="B976" s="1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x14ac:dyDescent="0.25">
      <c r="A977" s="1"/>
      <c r="B977" s="1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x14ac:dyDescent="0.25">
      <c r="A978" s="1"/>
      <c r="B978" s="1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x14ac:dyDescent="0.25">
      <c r="A979" s="1"/>
      <c r="B979" s="1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x14ac:dyDescent="0.25">
      <c r="A980" s="1"/>
      <c r="B980" s="1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x14ac:dyDescent="0.25">
      <c r="A981" s="1"/>
      <c r="B981" s="1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x14ac:dyDescent="0.25">
      <c r="A982" s="1"/>
      <c r="B982" s="1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x14ac:dyDescent="0.25">
      <c r="A983" s="1"/>
      <c r="B983" s="1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x14ac:dyDescent="0.25">
      <c r="A984" s="1"/>
      <c r="B984" s="1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x14ac:dyDescent="0.25">
      <c r="A985" s="1"/>
      <c r="B985" s="1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x14ac:dyDescent="0.25">
      <c r="A986" s="1"/>
      <c r="B986" s="1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x14ac:dyDescent="0.25">
      <c r="A987" s="1"/>
      <c r="B987" s="1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x14ac:dyDescent="0.25">
      <c r="A988" s="1"/>
      <c r="B988" s="1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x14ac:dyDescent="0.25">
      <c r="A989" s="1"/>
      <c r="B989" s="1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x14ac:dyDescent="0.25">
      <c r="A990" s="1"/>
      <c r="B990" s="1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x14ac:dyDescent="0.25">
      <c r="A991" s="1"/>
      <c r="B991" s="1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x14ac:dyDescent="0.25">
      <c r="A992" s="1"/>
      <c r="B992" s="1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x14ac:dyDescent="0.25">
      <c r="A993" s="1"/>
      <c r="B993" s="1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x14ac:dyDescent="0.25">
      <c r="A994" s="1"/>
      <c r="B994" s="1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x14ac:dyDescent="0.25">
      <c r="A995" s="1"/>
      <c r="B995" s="1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x14ac:dyDescent="0.25">
      <c r="A996" s="1"/>
      <c r="B996" s="1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x14ac:dyDescent="0.25">
      <c r="A997" s="1"/>
      <c r="B997" s="1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x14ac:dyDescent="0.25">
      <c r="A998" s="1"/>
      <c r="B998" s="1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x14ac:dyDescent="0.25">
      <c r="A999" s="1"/>
      <c r="B999" s="1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x14ac:dyDescent="0.25">
      <c r="A1000" s="1"/>
      <c r="B1000" s="1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5">
    <mergeCell ref="C5:K5"/>
    <mergeCell ref="M5:T5"/>
    <mergeCell ref="X5:X6"/>
    <mergeCell ref="Y5:Y6"/>
    <mergeCell ref="Z5:Z6"/>
  </mergeCells>
  <conditionalFormatting sqref="A7:B1000">
    <cfRule type="expression" dxfId="19" priority="28">
      <formula>IF(AND($A7&gt;0,ISEVEN($A7)),TRUE,FALSE)</formula>
    </cfRule>
    <cfRule type="expression" dxfId="18" priority="29">
      <formula>IF(AND($A7&gt;0,ISODD($A7)),TRUE,FALSE)</formula>
    </cfRule>
  </conditionalFormatting>
  <conditionalFormatting sqref="A7:K1000 M7:T1000">
    <cfRule type="cellIs" dxfId="17" priority="17" operator="equal">
      <formula>0</formula>
    </cfRule>
    <cfRule type="expression" dxfId="16" priority="18">
      <formula>IF($B7="total",TRUE,FALSE)</formula>
    </cfRule>
    <cfRule type="expression" dxfId="15" priority="19">
      <formula>IF($B7="total",TRUE,FALSE)</formula>
    </cfRule>
  </conditionalFormatting>
  <conditionalFormatting sqref="K7:K1000">
    <cfRule type="expression" dxfId="14" priority="23">
      <formula>IF(AND($A7&gt;0,ISEVEN($A7)),TRUE,FALSE)</formula>
    </cfRule>
    <cfRule type="expression" dxfId="13" priority="24">
      <formula>IF(AND($A7&gt;0,ISODD($A7)),TRUE,FALSE)</formula>
    </cfRule>
  </conditionalFormatting>
  <conditionalFormatting sqref="T7:T1000">
    <cfRule type="expression" dxfId="12" priority="12">
      <formula>IF(AND($A7&gt;0,ISEVEN($A7)),TRUE,FALSE)</formula>
    </cfRule>
    <cfRule type="expression" dxfId="11" priority="13">
      <formula>IF(AND($A7&gt;0,ISODD($A7)),TRUE,FALSE)</formula>
    </cfRule>
  </conditionalFormatting>
  <conditionalFormatting sqref="V7:V1000">
    <cfRule type="cellIs" dxfId="10" priority="6" operator="equal">
      <formula>0</formula>
    </cfRule>
    <cfRule type="expression" dxfId="9" priority="7">
      <formula>IF($B7="total",TRUE,FALSE)</formula>
    </cfRule>
    <cfRule type="expression" dxfId="8" priority="8">
      <formula>IF($B7="total",TRUE,FALSE)</formula>
    </cfRule>
  </conditionalFormatting>
  <conditionalFormatting sqref="X7:X1000">
    <cfRule type="expression" dxfId="7" priority="2">
      <formula>IF($B7="total",TRUE,FALSE)</formula>
    </cfRule>
    <cfRule type="expression" dxfId="6" priority="3">
      <formula>IF($B7="total",TRUE,FALSE)</formula>
    </cfRule>
    <cfRule type="expression" dxfId="5" priority="4">
      <formula>IF(AND($A7&gt;0,ISEVEN($A7)),TRUE,FALSE)</formula>
    </cfRule>
    <cfRule type="expression" dxfId="4" priority="5">
      <formula>IF(AND($A7&gt;0,ISODD($A7)),TRUE,FALSE)</formula>
    </cfRule>
  </conditionalFormatting>
  <conditionalFormatting sqref="X7:Z1000">
    <cfRule type="cellIs" dxfId="3" priority="1" operator="equal">
      <formula>0</formula>
    </cfRule>
  </conditionalFormatting>
  <conditionalFormatting sqref="Y7:Z1000">
    <cfRule type="expression" dxfId="2" priority="36">
      <formula>IF($B7="total",TRUE,FALSE)</formula>
    </cfRule>
    <cfRule type="cellIs" dxfId="1" priority="37" operator="between">
      <formula>-0.0000000000000001</formula>
      <formula>-0.49999999999999</formula>
    </cfRule>
    <cfRule type="cellIs" dxfId="0" priority="38" operator="between">
      <formula>0.0000000000001</formula>
      <formula>0.499999999999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Inicio</vt:lpstr>
      <vt:lpstr>Conexiones Internacionales</vt:lpstr>
      <vt:lpstr>Plantas regasif. y cisternas</vt:lpstr>
      <vt:lpstr>Todos</vt:lpstr>
      <vt:lpstr>Inicio!Área_de_impresión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2016-01-12T12:16:11Z</dcterms:created>
  <dcterms:modified xsi:type="dcterms:W3CDTF">2026-08-03T09:26:57Z</dcterms:modified>
</cp:coreProperties>
</file>